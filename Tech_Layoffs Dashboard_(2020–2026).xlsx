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Cristian\Downloads\Tech Layoffs (2020-2026)\"/>
    </mc:Choice>
  </mc:AlternateContent>
  <xr:revisionPtr revIDLastSave="0" documentId="8_{4CB826AC-6DB4-42F3-86CD-F757D637DFD1}" xr6:coauthVersionLast="47" xr6:coauthVersionMax="47" xr10:uidLastSave="{00000000-0000-0000-0000-000000000000}"/>
  <bookViews>
    <workbookView xWindow="270" yWindow="195" windowWidth="20505" windowHeight="20685" firstSheet="1" activeTab="3" xr2:uid="{B0A5FA6C-9E1C-4C64-9F15-E49DB7BDAF31}"/>
  </bookViews>
  <sheets>
    <sheet name="Pivot_CompaniesCount" sheetId="6" r:id="rId1"/>
    <sheet name="layoffs_final" sheetId="1" r:id="rId2"/>
    <sheet name="Pivot Tables" sheetId="4" r:id="rId3"/>
    <sheet name="Dashboard" sheetId="5" r:id="rId4"/>
  </sheets>
  <definedNames>
    <definedName name="NativeTimeline_date_clean">#N/A</definedName>
    <definedName name="Slicer_funding_tier">#N/A</definedName>
    <definedName name="Slicer_industry">#N/A</definedName>
    <definedName name="Slicer_stage">#N/A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G183" i="4"/>
  <c r="E183" i="4"/>
  <c r="C183" i="4" a="1"/>
  <c r="C183" i="4" s="1"/>
  <c r="A18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<sst xmlns="http://schemas.openxmlformats.org/spreadsheetml/2006/main" count="28048" uniqueCount="3077">
  <si>
    <t>company</t>
  </si>
  <si>
    <t>industry</t>
  </si>
  <si>
    <t>country</t>
  </si>
  <si>
    <t>stage</t>
  </si>
  <si>
    <t>total_laid_off_num</t>
  </si>
  <si>
    <t>percentage_laid_off_num</t>
  </si>
  <si>
    <t>funds_raised_num</t>
  </si>
  <si>
    <t>date_clean</t>
  </si>
  <si>
    <t>layoff_year</t>
  </si>
  <si>
    <t>layoff_month</t>
  </si>
  <si>
    <t>funding_tier</t>
  </si>
  <si>
    <t>has_confirmed_size</t>
  </si>
  <si>
    <t>Microsoft</t>
  </si>
  <si>
    <t>Other</t>
  </si>
  <si>
    <t>United States</t>
  </si>
  <si>
    <t>Post-IPO</t>
  </si>
  <si>
    <t>Under $10M</t>
  </si>
  <si>
    <t>TikTok</t>
  </si>
  <si>
    <t>Consumer</t>
  </si>
  <si>
    <t>Ireland</t>
  </si>
  <si>
    <t>Acquired</t>
  </si>
  <si>
    <t>NULL</t>
  </si>
  <si>
    <t>Unknown</t>
  </si>
  <si>
    <t>Tokopedia</t>
  </si>
  <si>
    <t>Retail</t>
  </si>
  <si>
    <t>Indonesia</t>
  </si>
  <si>
    <t>Over $1B</t>
  </si>
  <si>
    <t>PlaxidityX</t>
  </si>
  <si>
    <t>Security</t>
  </si>
  <si>
    <t>Israel</t>
  </si>
  <si>
    <t>$10M-$100M</t>
  </si>
  <si>
    <t>Elementor</t>
  </si>
  <si>
    <t>Media</t>
  </si>
  <si>
    <t>Series B</t>
  </si>
  <si>
    <t>Equip Health</t>
  </si>
  <si>
    <t>Healthcare</t>
  </si>
  <si>
    <t>$100M-$1B</t>
  </si>
  <si>
    <t>SAS</t>
  </si>
  <si>
    <t>Data</t>
  </si>
  <si>
    <t>ADP</t>
  </si>
  <si>
    <t>HR</t>
  </si>
  <si>
    <t>Culture Amp</t>
  </si>
  <si>
    <t>Australia</t>
  </si>
  <si>
    <t>Series F</t>
  </si>
  <si>
    <t>CompanyCam</t>
  </si>
  <si>
    <t>Recruiting</t>
  </si>
  <si>
    <t>Series C</t>
  </si>
  <si>
    <t>JiviAI</t>
  </si>
  <si>
    <t>India</t>
  </si>
  <si>
    <t>Seed</t>
  </si>
  <si>
    <t>Bungie</t>
  </si>
  <si>
    <t>BitGo</t>
  </si>
  <si>
    <t>Crypto</t>
  </si>
  <si>
    <t>Amperity</t>
  </si>
  <si>
    <t>Marketing</t>
  </si>
  <si>
    <t>Series D</t>
  </si>
  <si>
    <t>Sonos</t>
  </si>
  <si>
    <t>Cyberbit</t>
  </si>
  <si>
    <t>Elastic</t>
  </si>
  <si>
    <t>Snyk</t>
  </si>
  <si>
    <t>Oracle</t>
  </si>
  <si>
    <t>Ethereum Foundation</t>
  </si>
  <si>
    <t>Switzerland</t>
  </si>
  <si>
    <t>Lazada Group</t>
  </si>
  <si>
    <t>Singapore</t>
  </si>
  <si>
    <t>Lucid Motors</t>
  </si>
  <si>
    <t>Transportation</t>
  </si>
  <si>
    <t>91Trucks</t>
  </si>
  <si>
    <t>Series A</t>
  </si>
  <si>
    <t>Tractive</t>
  </si>
  <si>
    <t>Hardware</t>
  </si>
  <si>
    <t>Austria</t>
  </si>
  <si>
    <t>Lastminute</t>
  </si>
  <si>
    <t>Travel</t>
  </si>
  <si>
    <t>Netherlands</t>
  </si>
  <si>
    <t>Optimove</t>
  </si>
  <si>
    <t>Robinhood</t>
  </si>
  <si>
    <t>Finance</t>
  </si>
  <si>
    <t>Artlist</t>
  </si>
  <si>
    <t>FNZ</t>
  </si>
  <si>
    <t>United Kingdom</t>
  </si>
  <si>
    <t>Private Equity</t>
  </si>
  <si>
    <t>Matter Labs</t>
  </si>
  <si>
    <t>Germany</t>
  </si>
  <si>
    <t>Rackspace</t>
  </si>
  <si>
    <t>Rivian</t>
  </si>
  <si>
    <t>Pleo</t>
  </si>
  <si>
    <t>Denmark</t>
  </si>
  <si>
    <t>ServiceNow</t>
  </si>
  <si>
    <t>Support</t>
  </si>
  <si>
    <t>Opendoor</t>
  </si>
  <si>
    <t>Real Estate</t>
  </si>
  <si>
    <t>Veritone</t>
  </si>
  <si>
    <t>AI</t>
  </si>
  <si>
    <t>Shopee</t>
  </si>
  <si>
    <t>Food</t>
  </si>
  <si>
    <t>Paytm</t>
  </si>
  <si>
    <t>Subsidiary</t>
  </si>
  <si>
    <t>Salesforce</t>
  </si>
  <si>
    <t>Sales</t>
  </si>
  <si>
    <t>Verily</t>
  </si>
  <si>
    <t>Hailo</t>
  </si>
  <si>
    <t>Manufacturing</t>
  </si>
  <si>
    <t>Tools for Humanity</t>
  </si>
  <si>
    <t>Zencity</t>
  </si>
  <si>
    <t>Quizlet</t>
  </si>
  <si>
    <t>Education</t>
  </si>
  <si>
    <t>FanDuel</t>
  </si>
  <si>
    <t>Google</t>
  </si>
  <si>
    <t>Dandy</t>
  </si>
  <si>
    <t>Skai</t>
  </si>
  <si>
    <t>Series E</t>
  </si>
  <si>
    <t>Uber</t>
  </si>
  <si>
    <t>GitLab</t>
  </si>
  <si>
    <t>Product</t>
  </si>
  <si>
    <t>Aleph Farms</t>
  </si>
  <si>
    <t>Manhattan Associates</t>
  </si>
  <si>
    <t>Logistics</t>
  </si>
  <si>
    <t>Lightricks</t>
  </si>
  <si>
    <t>Credit Karma</t>
  </si>
  <si>
    <t>SentinelOne</t>
  </si>
  <si>
    <t>Interview Kickstart</t>
  </si>
  <si>
    <t>Amdocs</t>
  </si>
  <si>
    <t>Rapyd</t>
  </si>
  <si>
    <t>NetApp</t>
  </si>
  <si>
    <t>Webflow</t>
  </si>
  <si>
    <t>Groupon</t>
  </si>
  <si>
    <t>BigID</t>
  </si>
  <si>
    <t>Picnic</t>
  </si>
  <si>
    <t>Wix</t>
  </si>
  <si>
    <t>ClickUp</t>
  </si>
  <si>
    <t>Meta</t>
  </si>
  <si>
    <t>Intuit</t>
  </si>
  <si>
    <t>AI21 Labs</t>
  </si>
  <si>
    <t>Kraken</t>
  </si>
  <si>
    <t>Innovaccer</t>
  </si>
  <si>
    <t>Dune</t>
  </si>
  <si>
    <t>Norway</t>
  </si>
  <si>
    <t>Gambling.com Group</t>
  </si>
  <si>
    <t>Cisco</t>
  </si>
  <si>
    <t>Infrastructure</t>
  </si>
  <si>
    <t>LinkedIn</t>
  </si>
  <si>
    <t>Jumia</t>
  </si>
  <si>
    <t>Nigeria</t>
  </si>
  <si>
    <t>Guesty</t>
  </si>
  <si>
    <t>Breadfast</t>
  </si>
  <si>
    <t>Egypt</t>
  </si>
  <si>
    <t>Trend Micro</t>
  </si>
  <si>
    <t>MRI Software</t>
  </si>
  <si>
    <t>One Identity</t>
  </si>
  <si>
    <t>MessageBird</t>
  </si>
  <si>
    <t>ZoomInfo</t>
  </si>
  <si>
    <t>Adda247</t>
  </si>
  <si>
    <t>Parker</t>
  </si>
  <si>
    <t>Staffbase</t>
  </si>
  <si>
    <t>Cloudflare</t>
  </si>
  <si>
    <t>Bill.com</t>
  </si>
  <si>
    <t>Ticketmaster</t>
  </si>
  <si>
    <t>DeepL</t>
  </si>
  <si>
    <t>Upwork</t>
  </si>
  <si>
    <t>Truecaller</t>
  </si>
  <si>
    <t>Sweden</t>
  </si>
  <si>
    <t>Arctic Wolf</t>
  </si>
  <si>
    <t>Pocket FM</t>
  </si>
  <si>
    <t>LSports</t>
  </si>
  <si>
    <t>ApnaMart</t>
  </si>
  <si>
    <t>reAlpha</t>
  </si>
  <si>
    <t>PayPal</t>
  </si>
  <si>
    <t>Coinbase</t>
  </si>
  <si>
    <t>Freshworks</t>
  </si>
  <si>
    <t>0G</t>
  </si>
  <si>
    <t>Careem</t>
  </si>
  <si>
    <t>United Arab Emirates</t>
  </si>
  <si>
    <t>Shopify</t>
  </si>
  <si>
    <t>Canada</t>
  </si>
  <si>
    <t>Pentera</t>
  </si>
  <si>
    <t>SuperOps</t>
  </si>
  <si>
    <t>Remarkable</t>
  </si>
  <si>
    <t>Noa Technologies</t>
  </si>
  <si>
    <t>Epidemic Sound</t>
  </si>
  <si>
    <t>GeoComply</t>
  </si>
  <si>
    <t>Qt Company</t>
  </si>
  <si>
    <t>Acko</t>
  </si>
  <si>
    <t>Sama</t>
  </si>
  <si>
    <t>Kenya</t>
  </si>
  <si>
    <t>Shutterfly</t>
  </si>
  <si>
    <t>Quora</t>
  </si>
  <si>
    <t>Snap</t>
  </si>
  <si>
    <t>UKG</t>
  </si>
  <si>
    <t>Taboola</t>
  </si>
  <si>
    <t>Swyftx</t>
  </si>
  <si>
    <t>Nayax</t>
  </si>
  <si>
    <t>Productboard</t>
  </si>
  <si>
    <t>GoCardless</t>
  </si>
  <si>
    <t>Series G</t>
  </si>
  <si>
    <t>Eventbrite</t>
  </si>
  <si>
    <t>StarkWare</t>
  </si>
  <si>
    <t>Esh Group</t>
  </si>
  <si>
    <t>Life360</t>
  </si>
  <si>
    <t>Qualcomm</t>
  </si>
  <si>
    <t>Cars.com</t>
  </si>
  <si>
    <t>Pepper Pay</t>
  </si>
  <si>
    <t>IAC</t>
  </si>
  <si>
    <t>GoPro</t>
  </si>
  <si>
    <t>Pendo</t>
  </si>
  <si>
    <t>Bolt</t>
  </si>
  <si>
    <t>Welltech</t>
  </si>
  <si>
    <t>Fitness</t>
  </si>
  <si>
    <t>Cyprus</t>
  </si>
  <si>
    <t>NeuroPixel.AI</t>
  </si>
  <si>
    <t>Vimeo</t>
  </si>
  <si>
    <t>MARA</t>
  </si>
  <si>
    <t>Monzo</t>
  </si>
  <si>
    <t>Covrzy</t>
  </si>
  <si>
    <t>Rec Room</t>
  </si>
  <si>
    <t>Yupp</t>
  </si>
  <si>
    <t>Enpal</t>
  </si>
  <si>
    <t>Energy</t>
  </si>
  <si>
    <t>Monte Carlo</t>
  </si>
  <si>
    <t>Quandoo</t>
  </si>
  <si>
    <t>Epic Games</t>
  </si>
  <si>
    <t>Zendesk</t>
  </si>
  <si>
    <t>OpenText</t>
  </si>
  <si>
    <t>Spotify</t>
  </si>
  <si>
    <t>Gemini</t>
  </si>
  <si>
    <t>Snowflake</t>
  </si>
  <si>
    <t>Crypto.com</t>
  </si>
  <si>
    <t>FranShares</t>
  </si>
  <si>
    <t>Dell</t>
  </si>
  <si>
    <t>Stone</t>
  </si>
  <si>
    <t>Brazil</t>
  </si>
  <si>
    <t>Loopio</t>
  </si>
  <si>
    <t>Digg</t>
  </si>
  <si>
    <t>Atlassian</t>
  </si>
  <si>
    <t>InvestCloud</t>
  </si>
  <si>
    <t>Flipkart</t>
  </si>
  <si>
    <t>SSense</t>
  </si>
  <si>
    <t>Marketsource</t>
  </si>
  <si>
    <t>Supernal</t>
  </si>
  <si>
    <t>Envato</t>
  </si>
  <si>
    <t>Amazon</t>
  </si>
  <si>
    <t>At-Bay</t>
  </si>
  <si>
    <t>MicroVision</t>
  </si>
  <si>
    <t>Verint Systems</t>
  </si>
  <si>
    <t>Zap Africa</t>
  </si>
  <si>
    <t>Block</t>
  </si>
  <si>
    <t>Ocado</t>
  </si>
  <si>
    <t>eBay</t>
  </si>
  <si>
    <t>C3.ai</t>
  </si>
  <si>
    <t>Deliveroo</t>
  </si>
  <si>
    <t>WiseTech</t>
  </si>
  <si>
    <t>TrueCar</t>
  </si>
  <si>
    <t>DraftKings</t>
  </si>
  <si>
    <t>Livspace</t>
  </si>
  <si>
    <t>Codecademy</t>
  </si>
  <si>
    <t>Xero</t>
  </si>
  <si>
    <t>New Zealand</t>
  </si>
  <si>
    <t>Cyberark</t>
  </si>
  <si>
    <t>Huawei</t>
  </si>
  <si>
    <t>Axonius</t>
  </si>
  <si>
    <t>Firebolt</t>
  </si>
  <si>
    <t>Clari</t>
  </si>
  <si>
    <t>Glossier</t>
  </si>
  <si>
    <t>Dayforce</t>
  </si>
  <si>
    <t>Fi.Money</t>
  </si>
  <si>
    <t>Workday</t>
  </si>
  <si>
    <t>Rewire</t>
  </si>
  <si>
    <t>Smartsheet</t>
  </si>
  <si>
    <t>Zillow</t>
  </si>
  <si>
    <t>Zipcar</t>
  </si>
  <si>
    <t>Expedia</t>
  </si>
  <si>
    <t>Zupee</t>
  </si>
  <si>
    <t>Peloton</t>
  </si>
  <si>
    <t>Kiwi.com</t>
  </si>
  <si>
    <t>Czech Republic</t>
  </si>
  <si>
    <t>Gloo</t>
  </si>
  <si>
    <t>ASML</t>
  </si>
  <si>
    <t>Pinterest</t>
  </si>
  <si>
    <t>Moon Active</t>
  </si>
  <si>
    <t>Entropy</t>
  </si>
  <si>
    <t>Roof Stacks</t>
  </si>
  <si>
    <t>Turkey</t>
  </si>
  <si>
    <t>Autodesk</t>
  </si>
  <si>
    <t>Polygon</t>
  </si>
  <si>
    <t>Cayman Islands</t>
  </si>
  <si>
    <t>Ericsson</t>
  </si>
  <si>
    <t>Tipalti</t>
  </si>
  <si>
    <t>Informatica</t>
  </si>
  <si>
    <t>Playtika</t>
  </si>
  <si>
    <t>Aleph Alpha</t>
  </si>
  <si>
    <t>eToro</t>
  </si>
  <si>
    <t>Alle</t>
  </si>
  <si>
    <t>StoreDot</t>
  </si>
  <si>
    <t>MercadoLibre</t>
  </si>
  <si>
    <t>FormFactor</t>
  </si>
  <si>
    <t>Kaseya</t>
  </si>
  <si>
    <t>Foretellix</t>
  </si>
  <si>
    <t>Tailwind Labs</t>
  </si>
  <si>
    <t>Angi</t>
  </si>
  <si>
    <t>Multiverse</t>
  </si>
  <si>
    <t>Sapiens</t>
  </si>
  <si>
    <t>Yellow.ai</t>
  </si>
  <si>
    <t>The Trade Desk</t>
  </si>
  <si>
    <t>PowerSchool</t>
  </si>
  <si>
    <t>Zebra Technologies</t>
  </si>
  <si>
    <t>Believer Meats</t>
  </si>
  <si>
    <t>EyeEm</t>
  </si>
  <si>
    <t>Lusha</t>
  </si>
  <si>
    <t>Tenstorrent</t>
  </si>
  <si>
    <t>Whatfix</t>
  </si>
  <si>
    <t>VSCO</t>
  </si>
  <si>
    <t>GenWise</t>
  </si>
  <si>
    <t>Mobileye</t>
  </si>
  <si>
    <t>Payoneer</t>
  </si>
  <si>
    <t>Teads</t>
  </si>
  <si>
    <t>Cellebrite</t>
  </si>
  <si>
    <t>Modern Hydrogen</t>
  </si>
  <si>
    <t>Aqua Security</t>
  </si>
  <si>
    <t>Inbound Health</t>
  </si>
  <si>
    <t>Junglee Games</t>
  </si>
  <si>
    <t>HP</t>
  </si>
  <si>
    <t>ezCater</t>
  </si>
  <si>
    <t>Monarch Tractor</t>
  </si>
  <si>
    <t>Uruguay</t>
  </si>
  <si>
    <t>Veson Nautical</t>
  </si>
  <si>
    <t>Pipe</t>
  </si>
  <si>
    <t>BharatAgri</t>
  </si>
  <si>
    <t>AI Fleet</t>
  </si>
  <si>
    <t>Synopsys</t>
  </si>
  <si>
    <t>Deepwatch</t>
  </si>
  <si>
    <t>GamesKraft</t>
  </si>
  <si>
    <t>Sonder</t>
  </si>
  <si>
    <t>MyBambu</t>
  </si>
  <si>
    <t>Hewlett Packard Enterprise</t>
  </si>
  <si>
    <t>Indeed</t>
  </si>
  <si>
    <t>TripAdvisor</t>
  </si>
  <si>
    <t>Porter</t>
  </si>
  <si>
    <t>Personio</t>
  </si>
  <si>
    <t>Chegg</t>
  </si>
  <si>
    <t>Medtronic</t>
  </si>
  <si>
    <t>Hootsuite</t>
  </si>
  <si>
    <t>Robin AI</t>
  </si>
  <si>
    <t>Legal</t>
  </si>
  <si>
    <t>Applied Material</t>
  </si>
  <si>
    <t>Altruist</t>
  </si>
  <si>
    <t>Ludeo</t>
  </si>
  <si>
    <t>Zepto</t>
  </si>
  <si>
    <t>Series H</t>
  </si>
  <si>
    <t>Broadcom</t>
  </si>
  <si>
    <t>Tia</t>
  </si>
  <si>
    <t>OfferUp</t>
  </si>
  <si>
    <t>Handshake</t>
  </si>
  <si>
    <t>Paycom</t>
  </si>
  <si>
    <t>Simpl</t>
  </si>
  <si>
    <t>Just Eat</t>
  </si>
  <si>
    <t>Yolo Group</t>
  </si>
  <si>
    <t>Estonia</t>
  </si>
  <si>
    <t>ZipRecruiter</t>
  </si>
  <si>
    <t>Fiverr</t>
  </si>
  <si>
    <t>Sorbet</t>
  </si>
  <si>
    <t>Hike</t>
  </si>
  <si>
    <t>xAI</t>
  </si>
  <si>
    <t>Verbit</t>
  </si>
  <si>
    <t>Scope3</t>
  </si>
  <si>
    <t>Head Digital Works</t>
  </si>
  <si>
    <t>GupShup</t>
  </si>
  <si>
    <t>Bobble AI</t>
  </si>
  <si>
    <t>The Gist</t>
  </si>
  <si>
    <t>theGist</t>
  </si>
  <si>
    <t>Games 24x7</t>
  </si>
  <si>
    <t>Mobile Premier League</t>
  </si>
  <si>
    <t>Krutrim</t>
  </si>
  <si>
    <t>Flip</t>
  </si>
  <si>
    <t>Klaviyo</t>
  </si>
  <si>
    <t>BeepKart</t>
  </si>
  <si>
    <t>Kyte</t>
  </si>
  <si>
    <t>Restaurant365</t>
  </si>
  <si>
    <t>F5</t>
  </si>
  <si>
    <t>Micron</t>
  </si>
  <si>
    <t>BenchSci</t>
  </si>
  <si>
    <t>Crunchyroll</t>
  </si>
  <si>
    <t>Japan</t>
  </si>
  <si>
    <t>Kaltura</t>
  </si>
  <si>
    <t>Nextdoor</t>
  </si>
  <si>
    <t>Yotpo</t>
  </si>
  <si>
    <t>Windsurf</t>
  </si>
  <si>
    <t>Wondery</t>
  </si>
  <si>
    <t>Clear</t>
  </si>
  <si>
    <t>Astra</t>
  </si>
  <si>
    <t>Eyeo</t>
  </si>
  <si>
    <t>Ohm Mobility</t>
  </si>
  <si>
    <t>ConsenSys</t>
  </si>
  <si>
    <t>Zeen</t>
  </si>
  <si>
    <t>Rocket Companies</t>
  </si>
  <si>
    <t>TytoCare</t>
  </si>
  <si>
    <t>Amicole</t>
  </si>
  <si>
    <t>CodeParrot</t>
  </si>
  <si>
    <t>Scale AI</t>
  </si>
  <si>
    <t>Lenovo</t>
  </si>
  <si>
    <t>Jamf</t>
  </si>
  <si>
    <t>King.com</t>
  </si>
  <si>
    <t>Blip</t>
  </si>
  <si>
    <t>Intel</t>
  </si>
  <si>
    <t>TripleLift</t>
  </si>
  <si>
    <t>Indeed + Glassdoor</t>
  </si>
  <si>
    <t>Augury</t>
  </si>
  <si>
    <t>Eigen Labs</t>
  </si>
  <si>
    <t>Subtl AI</t>
  </si>
  <si>
    <t>Retrain.ai</t>
  </si>
  <si>
    <t>Okra</t>
  </si>
  <si>
    <t>TomTom</t>
  </si>
  <si>
    <t>Bumble</t>
  </si>
  <si>
    <t>Klue</t>
  </si>
  <si>
    <t>Pluralsight</t>
  </si>
  <si>
    <t>Khoros</t>
  </si>
  <si>
    <t>Sabi</t>
  </si>
  <si>
    <t>Salto</t>
  </si>
  <si>
    <t>Airtime</t>
  </si>
  <si>
    <t>Hims &amp; Hers</t>
  </si>
  <si>
    <t>Business Insider</t>
  </si>
  <si>
    <t>Cars24</t>
  </si>
  <si>
    <t>nCino</t>
  </si>
  <si>
    <t>Otipy</t>
  </si>
  <si>
    <t>LeddarTech</t>
  </si>
  <si>
    <t>Climeworks</t>
  </si>
  <si>
    <t>Builder.ai</t>
  </si>
  <si>
    <t>Luminar</t>
  </si>
  <si>
    <t>Blink Charging</t>
  </si>
  <si>
    <t>VerSe Innovation copy</t>
  </si>
  <si>
    <t>Series J</t>
  </si>
  <si>
    <t>GroundGame Health</t>
  </si>
  <si>
    <t>Noogata</t>
  </si>
  <si>
    <t>Match Group</t>
  </si>
  <si>
    <t>CrowdStrike</t>
  </si>
  <si>
    <t>General Fusion</t>
  </si>
  <si>
    <t>Deep Instinct</t>
  </si>
  <si>
    <t>Log 9 Materials</t>
  </si>
  <si>
    <t>Beam</t>
  </si>
  <si>
    <t>Bench</t>
  </si>
  <si>
    <t>Electronic Arts</t>
  </si>
  <si>
    <t>Stem</t>
  </si>
  <si>
    <t>Spotter</t>
  </si>
  <si>
    <t>Tomorrow</t>
  </si>
  <si>
    <t>SambaNova</t>
  </si>
  <si>
    <t>Katana</t>
  </si>
  <si>
    <t>Zopper</t>
  </si>
  <si>
    <t>Turo</t>
  </si>
  <si>
    <t>AppLovin</t>
  </si>
  <si>
    <t>Smashing</t>
  </si>
  <si>
    <t>Forto</t>
  </si>
  <si>
    <t>Marin Software</t>
  </si>
  <si>
    <t>Wing Cloud</t>
  </si>
  <si>
    <t>Coho AI</t>
  </si>
  <si>
    <t>Five9</t>
  </si>
  <si>
    <t>Tract</t>
  </si>
  <si>
    <t>Automattic</t>
  </si>
  <si>
    <t>Canva</t>
  </si>
  <si>
    <t>WhyHive</t>
  </si>
  <si>
    <t>Zomato</t>
  </si>
  <si>
    <t>Northvolt</t>
  </si>
  <si>
    <t>2U</t>
  </si>
  <si>
    <t>Palantir</t>
  </si>
  <si>
    <t>Niantic</t>
  </si>
  <si>
    <t>Prefect</t>
  </si>
  <si>
    <t>Brightcove</t>
  </si>
  <si>
    <t>Acxiom</t>
  </si>
  <si>
    <t>HelloFresh</t>
  </si>
  <si>
    <t>Otorio</t>
  </si>
  <si>
    <t>ActiveFence</t>
  </si>
  <si>
    <t>D-ID</t>
  </si>
  <si>
    <t>Arrival</t>
  </si>
  <si>
    <t>Zonar Systems</t>
  </si>
  <si>
    <t>Wayfair</t>
  </si>
  <si>
    <t>LiveRamp</t>
  </si>
  <si>
    <t>Ola Electric</t>
  </si>
  <si>
    <t>ANS Commerce</t>
  </si>
  <si>
    <t>Grubhub</t>
  </si>
  <si>
    <t>Digimarc</t>
  </si>
  <si>
    <t>Flywire</t>
  </si>
  <si>
    <t>Commercetools</t>
  </si>
  <si>
    <t>Skybox Security</t>
  </si>
  <si>
    <t>HerMD</t>
  </si>
  <si>
    <t>Ibotta</t>
  </si>
  <si>
    <t>NetEase</t>
  </si>
  <si>
    <t>Electriq Global</t>
  </si>
  <si>
    <t>SeatGeek</t>
  </si>
  <si>
    <t>Vendease</t>
  </si>
  <si>
    <t>Riskified</t>
  </si>
  <si>
    <t>Logically</t>
  </si>
  <si>
    <t>Eviation Aircraft</t>
  </si>
  <si>
    <t>Aerospace</t>
  </si>
  <si>
    <t>Blue Origin</t>
  </si>
  <si>
    <t>Metro Africa Xpress</t>
  </si>
  <si>
    <t>Sophos</t>
  </si>
  <si>
    <t>Redfin</t>
  </si>
  <si>
    <t>Zepz</t>
  </si>
  <si>
    <t>Getaround</t>
  </si>
  <si>
    <t>Unity</t>
  </si>
  <si>
    <t>Wise</t>
  </si>
  <si>
    <t>Justworks</t>
  </si>
  <si>
    <t>Sprinklr</t>
  </si>
  <si>
    <t>NanoLock</t>
  </si>
  <si>
    <t>Refurbed</t>
  </si>
  <si>
    <t>Outbrain</t>
  </si>
  <si>
    <t>SRTX</t>
  </si>
  <si>
    <t>Tabnine</t>
  </si>
  <si>
    <t>Hugging Face</t>
  </si>
  <si>
    <t>Cruise</t>
  </si>
  <si>
    <t>Okta</t>
  </si>
  <si>
    <t>AppsFlyer</t>
  </si>
  <si>
    <t>Asana</t>
  </si>
  <si>
    <t>Innoviz</t>
  </si>
  <si>
    <t>Sure</t>
  </si>
  <si>
    <t>Cushion</t>
  </si>
  <si>
    <t>Placer.ai</t>
  </si>
  <si>
    <t>Digital River</t>
  </si>
  <si>
    <t>Aurora Labs</t>
  </si>
  <si>
    <t>Stripe</t>
  </si>
  <si>
    <t>Series I</t>
  </si>
  <si>
    <t>Turso</t>
  </si>
  <si>
    <t>Unbabel</t>
  </si>
  <si>
    <t>Portugal</t>
  </si>
  <si>
    <t>Chrono24</t>
  </si>
  <si>
    <t>Aurora Solar</t>
  </si>
  <si>
    <t>HeyJobs</t>
  </si>
  <si>
    <t>ShareChat</t>
  </si>
  <si>
    <t>Textio</t>
  </si>
  <si>
    <t>Advisor Credit Exchange</t>
  </si>
  <si>
    <t>TechCrunch</t>
  </si>
  <si>
    <t>Alza</t>
  </si>
  <si>
    <t>Boozt</t>
  </si>
  <si>
    <t>Pandion</t>
  </si>
  <si>
    <t>Icon</t>
  </si>
  <si>
    <t>Construction</t>
  </si>
  <si>
    <t>Cloud Software Group</t>
  </si>
  <si>
    <t>SolarEdge</t>
  </si>
  <si>
    <t>Level</t>
  </si>
  <si>
    <t>Brave Care</t>
  </si>
  <si>
    <t>Epicery</t>
  </si>
  <si>
    <t>France</t>
  </si>
  <si>
    <t>Lilium</t>
  </si>
  <si>
    <t>BionicHIVE</t>
  </si>
  <si>
    <t>RealSelf</t>
  </si>
  <si>
    <t>Refinery29</t>
  </si>
  <si>
    <t>Thrive</t>
  </si>
  <si>
    <t>Cint</t>
  </si>
  <si>
    <t>Yahoo</t>
  </si>
  <si>
    <t>Foundry</t>
  </si>
  <si>
    <t>Calendly</t>
  </si>
  <si>
    <t>Canoo</t>
  </si>
  <si>
    <t>Bluevine</t>
  </si>
  <si>
    <t>Spectrm</t>
  </si>
  <si>
    <t>EasyKnock</t>
  </si>
  <si>
    <t>Carousell</t>
  </si>
  <si>
    <t>Mixtroz</t>
  </si>
  <si>
    <t>Circle</t>
  </si>
  <si>
    <t>Vox Media</t>
  </si>
  <si>
    <t>Stash</t>
  </si>
  <si>
    <t>Booking Holdings</t>
  </si>
  <si>
    <t>Lightspeed Commerce</t>
  </si>
  <si>
    <t>Kobo360</t>
  </si>
  <si>
    <t>Klub</t>
  </si>
  <si>
    <t>AlphaSense</t>
  </si>
  <si>
    <t>Sprout Social</t>
  </si>
  <si>
    <t>Apple</t>
  </si>
  <si>
    <t>Adjust</t>
  </si>
  <si>
    <t>Hopper</t>
  </si>
  <si>
    <t>Headspace</t>
  </si>
  <si>
    <t>Own</t>
  </si>
  <si>
    <t>TrueLayer</t>
  </si>
  <si>
    <t>Better Collective</t>
  </si>
  <si>
    <t>Kuku FM</t>
  </si>
  <si>
    <t>AMD</t>
  </si>
  <si>
    <t>Forward</t>
  </si>
  <si>
    <t>Lyra Health</t>
  </si>
  <si>
    <t>New Relic</t>
  </si>
  <si>
    <t>Stoa</t>
  </si>
  <si>
    <t>Enphase Energy</t>
  </si>
  <si>
    <t>23andMe</t>
  </si>
  <si>
    <t>Sword Health</t>
  </si>
  <si>
    <t>BigCommerce</t>
  </si>
  <si>
    <t>Booking.com</t>
  </si>
  <si>
    <t>Exosonic</t>
  </si>
  <si>
    <t>Akamai</t>
  </si>
  <si>
    <t>ShareFile</t>
  </si>
  <si>
    <t>iRobot</t>
  </si>
  <si>
    <t>Outreach</t>
  </si>
  <si>
    <t>Avaya</t>
  </si>
  <si>
    <t>Mozilla Foundation</t>
  </si>
  <si>
    <t>Incredibuild</t>
  </si>
  <si>
    <t>Atera</t>
  </si>
  <si>
    <t>Maven Clinic</t>
  </si>
  <si>
    <t>Bowery Farming</t>
  </si>
  <si>
    <t>Tidal</t>
  </si>
  <si>
    <t>Dropbox</t>
  </si>
  <si>
    <t>Miro</t>
  </si>
  <si>
    <t>Docker</t>
  </si>
  <si>
    <t>dYdX</t>
  </si>
  <si>
    <t>Coursera</t>
  </si>
  <si>
    <t>Twelve</t>
  </si>
  <si>
    <t>Airthings</t>
  </si>
  <si>
    <t>Catena Media</t>
  </si>
  <si>
    <t>Malta</t>
  </si>
  <si>
    <t>Venminder</t>
  </si>
  <si>
    <t>Jellysmack</t>
  </si>
  <si>
    <t>Chief</t>
  </si>
  <si>
    <t>CapWay</t>
  </si>
  <si>
    <t>Gigamon</t>
  </si>
  <si>
    <t>Fable</t>
  </si>
  <si>
    <t>Bytedance</t>
  </si>
  <si>
    <t>Nikola</t>
  </si>
  <si>
    <t>Toplyne</t>
  </si>
  <si>
    <t>CareerBuilder + Monster</t>
  </si>
  <si>
    <t>GoWild</t>
  </si>
  <si>
    <t>Toptal</t>
  </si>
  <si>
    <t>Grabango</t>
  </si>
  <si>
    <t>Zapp</t>
  </si>
  <si>
    <t>Eaze</t>
  </si>
  <si>
    <t>PubMatic</t>
  </si>
  <si>
    <t>Zapata Computing</t>
  </si>
  <si>
    <t>Tome</t>
  </si>
  <si>
    <t>Alma</t>
  </si>
  <si>
    <t>Flexport</t>
  </si>
  <si>
    <t>ABBYY</t>
  </si>
  <si>
    <t>FreshBooks</t>
  </si>
  <si>
    <t>Shein</t>
  </si>
  <si>
    <t>DoubleCloud</t>
  </si>
  <si>
    <t>UAE</t>
  </si>
  <si>
    <t>Greenikk</t>
  </si>
  <si>
    <t>Drata</t>
  </si>
  <si>
    <t>Moov</t>
  </si>
  <si>
    <t>FreightWaves</t>
  </si>
  <si>
    <t>Olo</t>
  </si>
  <si>
    <t>Healthy.io</t>
  </si>
  <si>
    <t>Reverb</t>
  </si>
  <si>
    <t>Notable Labs</t>
  </si>
  <si>
    <t>CarTrawler</t>
  </si>
  <si>
    <t>ApplyBoard</t>
  </si>
  <si>
    <t>Spendesk</t>
  </si>
  <si>
    <t>Aakash</t>
  </si>
  <si>
    <t>IBM</t>
  </si>
  <si>
    <t>Runtastic</t>
  </si>
  <si>
    <t>Udemy</t>
  </si>
  <si>
    <t>InsurStaq.ai</t>
  </si>
  <si>
    <t>Nori</t>
  </si>
  <si>
    <t>WeTransfer</t>
  </si>
  <si>
    <t>Center</t>
  </si>
  <si>
    <t>Goop</t>
  </si>
  <si>
    <t>Motif Foodworks</t>
  </si>
  <si>
    <t>ChargePoint</t>
  </si>
  <si>
    <t>Fly.io</t>
  </si>
  <si>
    <t>Lyft</t>
  </si>
  <si>
    <t>ABL</t>
  </si>
  <si>
    <t>Dozee</t>
  </si>
  <si>
    <t>Dunzo</t>
  </si>
  <si>
    <t>Character.ai</t>
  </si>
  <si>
    <t>Brave</t>
  </si>
  <si>
    <t>China</t>
  </si>
  <si>
    <t>Tome Biosciences</t>
  </si>
  <si>
    <t>Velo3D</t>
  </si>
  <si>
    <t>Kenko Health</t>
  </si>
  <si>
    <t>Received</t>
  </si>
  <si>
    <t>Sandvine</t>
  </si>
  <si>
    <t>Kaiyo</t>
  </si>
  <si>
    <t>Skip the Dishes</t>
  </si>
  <si>
    <t>ReshaMandi</t>
  </si>
  <si>
    <t>Localize</t>
  </si>
  <si>
    <t>Paper</t>
  </si>
  <si>
    <t>Retention.com</t>
  </si>
  <si>
    <t>Loop</t>
  </si>
  <si>
    <t>Regrow Ag</t>
  </si>
  <si>
    <t>Inuitive</t>
  </si>
  <si>
    <t>Formlabs</t>
  </si>
  <si>
    <t>Mister Spex</t>
  </si>
  <si>
    <t>PacketFabric</t>
  </si>
  <si>
    <t>Sampler</t>
  </si>
  <si>
    <t>Grail</t>
  </si>
  <si>
    <t>DayTwo</t>
  </si>
  <si>
    <t>Quizac</t>
  </si>
  <si>
    <t>Tally</t>
  </si>
  <si>
    <t>Branch.io</t>
  </si>
  <si>
    <t>iCIMS</t>
  </si>
  <si>
    <t>Ready Robotics</t>
  </si>
  <si>
    <t>Submittable</t>
  </si>
  <si>
    <t>Fastly</t>
  </si>
  <si>
    <t>LegalZoom</t>
  </si>
  <si>
    <t>Axios Media</t>
  </si>
  <si>
    <t>Mobius Motors</t>
  </si>
  <si>
    <t>Teradata</t>
  </si>
  <si>
    <t>Infineon</t>
  </si>
  <si>
    <t>Jam City</t>
  </si>
  <si>
    <t>Rad Power Bikes</t>
  </si>
  <si>
    <t>Delivery Hero</t>
  </si>
  <si>
    <t>NerdWallet</t>
  </si>
  <si>
    <t>Moxion Power</t>
  </si>
  <si>
    <t>OrCam</t>
  </si>
  <si>
    <t>WayCool</t>
  </si>
  <si>
    <t>Humble Games</t>
  </si>
  <si>
    <t>Cohere</t>
  </si>
  <si>
    <t>Bluelearn</t>
  </si>
  <si>
    <t>Magic Leap</t>
  </si>
  <si>
    <t>Mercari U.S.</t>
  </si>
  <si>
    <t>EverC</t>
  </si>
  <si>
    <t>Lex</t>
  </si>
  <si>
    <t>ON</t>
  </si>
  <si>
    <t>Kaspersky</t>
  </si>
  <si>
    <t>Unbounce</t>
  </si>
  <si>
    <t>SadaPay</t>
  </si>
  <si>
    <t>Pakistan</t>
  </si>
  <si>
    <t>MoxiWorks</t>
  </si>
  <si>
    <t>Redbox</t>
  </si>
  <si>
    <t>CyberProof</t>
  </si>
  <si>
    <t>UIPath</t>
  </si>
  <si>
    <t>Unacademy</t>
  </si>
  <si>
    <t>Koo</t>
  </si>
  <si>
    <t>Upside Foods</t>
  </si>
  <si>
    <t>Sightful</t>
  </si>
  <si>
    <t>Ninja Van</t>
  </si>
  <si>
    <t>Priceline</t>
  </si>
  <si>
    <t>RealPage</t>
  </si>
  <si>
    <t>Planet</t>
  </si>
  <si>
    <t>Perion</t>
  </si>
  <si>
    <t>BeReal</t>
  </si>
  <si>
    <t>Flutterwave</t>
  </si>
  <si>
    <t>Ginkgo Bioworks</t>
  </si>
  <si>
    <t>Trade Republic</t>
  </si>
  <si>
    <t>Emma Sleep</t>
  </si>
  <si>
    <t>Moovit</t>
  </si>
  <si>
    <t>Wex</t>
  </si>
  <si>
    <t>C2FO</t>
  </si>
  <si>
    <t>Fisker</t>
  </si>
  <si>
    <t>Stackpath</t>
  </si>
  <si>
    <t>Unit</t>
  </si>
  <si>
    <t>LOOP</t>
  </si>
  <si>
    <t>Care/of</t>
  </si>
  <si>
    <t>Running Tide</t>
  </si>
  <si>
    <t>Satellogic</t>
  </si>
  <si>
    <t>Cypress.io</t>
  </si>
  <si>
    <t>Paxos</t>
  </si>
  <si>
    <t>SCiFi Foods</t>
  </si>
  <si>
    <t>VRChat</t>
  </si>
  <si>
    <t>Ladenzeile</t>
  </si>
  <si>
    <t>Kissflow</t>
  </si>
  <si>
    <t>Copia</t>
  </si>
  <si>
    <t>Revel</t>
  </si>
  <si>
    <t>Oda</t>
  </si>
  <si>
    <t>Pagaya</t>
  </si>
  <si>
    <t>MoonPay</t>
  </si>
  <si>
    <t>Yext</t>
  </si>
  <si>
    <t>Tropic</t>
  </si>
  <si>
    <t>Gro Intelligence</t>
  </si>
  <si>
    <t>Jasper Health</t>
  </si>
  <si>
    <t>FlightStats</t>
  </si>
  <si>
    <t>ICANN</t>
  </si>
  <si>
    <t>Walnut</t>
  </si>
  <si>
    <t>Funding Circle</t>
  </si>
  <si>
    <t>Glovo</t>
  </si>
  <si>
    <t>Spain</t>
  </si>
  <si>
    <t>Foursquare</t>
  </si>
  <si>
    <t>Guild</t>
  </si>
  <si>
    <t>Cue Health</t>
  </si>
  <si>
    <t>Silo</t>
  </si>
  <si>
    <t>Joonko</t>
  </si>
  <si>
    <t>Toshiba</t>
  </si>
  <si>
    <t>Wefox</t>
  </si>
  <si>
    <t>Replit</t>
  </si>
  <si>
    <t>Gopuff</t>
  </si>
  <si>
    <t>Karhoo</t>
  </si>
  <si>
    <t>SeekOut</t>
  </si>
  <si>
    <t>Atmosphere</t>
  </si>
  <si>
    <t>Singularity 6</t>
  </si>
  <si>
    <t>Mainvest</t>
  </si>
  <si>
    <t>Motional</t>
  </si>
  <si>
    <t>Symend</t>
  </si>
  <si>
    <t>Vacasa</t>
  </si>
  <si>
    <t>Sight Diagnostics</t>
  </si>
  <si>
    <t>PrepLadder</t>
  </si>
  <si>
    <t>Arkane Studios</t>
  </si>
  <si>
    <t>Brilliant</t>
  </si>
  <si>
    <t>Kinaxis</t>
  </si>
  <si>
    <t>Hopin</t>
  </si>
  <si>
    <t>Enovix</t>
  </si>
  <si>
    <t>Bakkt</t>
  </si>
  <si>
    <t>Cabify</t>
  </si>
  <si>
    <t>Assurance</t>
  </si>
  <si>
    <t>Sproutt</t>
  </si>
  <si>
    <t>Tesla</t>
  </si>
  <si>
    <t>RiseUp</t>
  </si>
  <si>
    <t>Akili Interactive</t>
  </si>
  <si>
    <t>Getir</t>
  </si>
  <si>
    <t>Ola</t>
  </si>
  <si>
    <t>ComplYant</t>
  </si>
  <si>
    <t>HealthifyMe</t>
  </si>
  <si>
    <t>True Anomaly</t>
  </si>
  <si>
    <t>Grin</t>
  </si>
  <si>
    <t>Freenome</t>
  </si>
  <si>
    <t>Heureka Group</t>
  </si>
  <si>
    <t>98point6</t>
  </si>
  <si>
    <t>OutSystems</t>
  </si>
  <si>
    <t>Homie</t>
  </si>
  <si>
    <t>The Good Glamm Group</t>
  </si>
  <si>
    <t>Showpad</t>
  </si>
  <si>
    <t>Belgium</t>
  </si>
  <si>
    <t>Stability AI</t>
  </si>
  <si>
    <t>Pax8</t>
  </si>
  <si>
    <t>ConnectWise</t>
  </si>
  <si>
    <t>Take-Two</t>
  </si>
  <si>
    <t>Criteo</t>
  </si>
  <si>
    <t>Fabric</t>
  </si>
  <si>
    <t>Hinge Health</t>
  </si>
  <si>
    <t>Zoe</t>
  </si>
  <si>
    <t>Cornershop</t>
  </si>
  <si>
    <t>Chile</t>
  </si>
  <si>
    <t>Scaler</t>
  </si>
  <si>
    <t>Checkr</t>
  </si>
  <si>
    <t>Trendsales</t>
  </si>
  <si>
    <t>Fission</t>
  </si>
  <si>
    <t>Bolt.Earth</t>
  </si>
  <si>
    <t>Agility Robotics</t>
  </si>
  <si>
    <t>Ghost Autonomy</t>
  </si>
  <si>
    <t>Vivian Health</t>
  </si>
  <si>
    <t>CoRover</t>
  </si>
  <si>
    <t>Yummly</t>
  </si>
  <si>
    <t>Byju's</t>
  </si>
  <si>
    <t>Lentra</t>
  </si>
  <si>
    <t>Thepeer</t>
  </si>
  <si>
    <t>Osso VR</t>
  </si>
  <si>
    <t>Identiq</t>
  </si>
  <si>
    <t>Ranger Insurance</t>
  </si>
  <si>
    <t>Rezi</t>
  </si>
  <si>
    <t>ChowNow</t>
  </si>
  <si>
    <t>Synctera</t>
  </si>
  <si>
    <t>Cybereason</t>
  </si>
  <si>
    <t>ShopBack</t>
  </si>
  <si>
    <t>Orbotech</t>
  </si>
  <si>
    <t>Airmeet</t>
  </si>
  <si>
    <t>Singular Genomics</t>
  </si>
  <si>
    <t>Longi</t>
  </si>
  <si>
    <t>Flock Freight</t>
  </si>
  <si>
    <t>Chipper Cash</t>
  </si>
  <si>
    <t>Blueboard</t>
  </si>
  <si>
    <t>Ancestry</t>
  </si>
  <si>
    <t>Phantom Auto</t>
  </si>
  <si>
    <t>Deadspin</t>
  </si>
  <si>
    <t>Niche</t>
  </si>
  <si>
    <t>Inscribe</t>
  </si>
  <si>
    <t>Turnitin</t>
  </si>
  <si>
    <t>Totango</t>
  </si>
  <si>
    <t>Sorare</t>
  </si>
  <si>
    <t>PlanetScale</t>
  </si>
  <si>
    <t>Form Energy</t>
  </si>
  <si>
    <t>Edgio</t>
  </si>
  <si>
    <t>Melio</t>
  </si>
  <si>
    <t>Our Next Energy</t>
  </si>
  <si>
    <t>Project Ronin</t>
  </si>
  <si>
    <t>Pristyn Care</t>
  </si>
  <si>
    <t>Tonik</t>
  </si>
  <si>
    <t>Kevin</t>
  </si>
  <si>
    <t>Lithuania</t>
  </si>
  <si>
    <t>Treasury Prime</t>
  </si>
  <si>
    <t>Sony Interactive</t>
  </si>
  <si>
    <t>PropertyGuru</t>
  </si>
  <si>
    <t>Daraz</t>
  </si>
  <si>
    <t>Redesign Health</t>
  </si>
  <si>
    <t>Carbon Health</t>
  </si>
  <si>
    <t>Vice Media</t>
  </si>
  <si>
    <t>Affirm</t>
  </si>
  <si>
    <t>Finder</t>
  </si>
  <si>
    <t>BuzzFeed</t>
  </si>
  <si>
    <t>Aptiv</t>
  </si>
  <si>
    <t>Poland</t>
  </si>
  <si>
    <t>Tails.com</t>
  </si>
  <si>
    <t>Auctane</t>
  </si>
  <si>
    <t>KnownOrigin</t>
  </si>
  <si>
    <t>Meati</t>
  </si>
  <si>
    <t>Farfetch</t>
  </si>
  <si>
    <t>Voi</t>
  </si>
  <si>
    <t>Toast</t>
  </si>
  <si>
    <t>LinkSquares</t>
  </si>
  <si>
    <t>Storytel</t>
  </si>
  <si>
    <t>CodeSee</t>
  </si>
  <si>
    <t>May Mobility</t>
  </si>
  <si>
    <t>Wint Wealth</t>
  </si>
  <si>
    <t>Away</t>
  </si>
  <si>
    <t>Instacart</t>
  </si>
  <si>
    <t>Mozilla</t>
  </si>
  <si>
    <t>Impinj</t>
  </si>
  <si>
    <t>Everybuddy</t>
  </si>
  <si>
    <t>Popcore</t>
  </si>
  <si>
    <t>Wisense</t>
  </si>
  <si>
    <t>SiriusXM</t>
  </si>
  <si>
    <t>Licious</t>
  </si>
  <si>
    <t>BlissClub</t>
  </si>
  <si>
    <t>Kandji</t>
  </si>
  <si>
    <t>Pure Storage</t>
  </si>
  <si>
    <t>Otovo</t>
  </si>
  <si>
    <t>Journera</t>
  </si>
  <si>
    <t>Grammarly</t>
  </si>
  <si>
    <t>Fireblocks</t>
  </si>
  <si>
    <t>Tenable</t>
  </si>
  <si>
    <t>Workfellow</t>
  </si>
  <si>
    <t>Finland</t>
  </si>
  <si>
    <t>DocuSign</t>
  </si>
  <si>
    <t>Glowforge</t>
  </si>
  <si>
    <t>Drizly</t>
  </si>
  <si>
    <t>BillGO</t>
  </si>
  <si>
    <t>Impact.com</t>
  </si>
  <si>
    <t>Astrate Medical</t>
  </si>
  <si>
    <t>Meetup</t>
  </si>
  <si>
    <t>Muvin</t>
  </si>
  <si>
    <t>Nomad Health</t>
  </si>
  <si>
    <t>Zwift</t>
  </si>
  <si>
    <t>Top Hat</t>
  </si>
  <si>
    <t>Cake Bikes</t>
  </si>
  <si>
    <t>Small Robot Company</t>
  </si>
  <si>
    <t>Twig</t>
  </si>
  <si>
    <t>Zoom</t>
  </si>
  <si>
    <t>Illumina</t>
  </si>
  <si>
    <t>Indigo</t>
  </si>
  <si>
    <t>Proofpoint</t>
  </si>
  <si>
    <t>Trove Recommerce</t>
  </si>
  <si>
    <t>CircleCI</t>
  </si>
  <si>
    <t>Thinx</t>
  </si>
  <si>
    <t>The Messenger</t>
  </si>
  <si>
    <t>Zuora</t>
  </si>
  <si>
    <t>Wattpad</t>
  </si>
  <si>
    <t>Noom</t>
  </si>
  <si>
    <t>Procore</t>
  </si>
  <si>
    <t>Vipps</t>
  </si>
  <si>
    <t>DispatchHealth</t>
  </si>
  <si>
    <t>Swiggy</t>
  </si>
  <si>
    <t>Veho</t>
  </si>
  <si>
    <t>MVPindex</t>
  </si>
  <si>
    <t>Cova</t>
  </si>
  <si>
    <t>Cult.fit</t>
  </si>
  <si>
    <t>Aurora</t>
  </si>
  <si>
    <t>Desktop Metal</t>
  </si>
  <si>
    <t>HubSpot</t>
  </si>
  <si>
    <t>SAP</t>
  </si>
  <si>
    <t>Vroom</t>
  </si>
  <si>
    <t>Brex</t>
  </si>
  <si>
    <t>Cure.fit</t>
  </si>
  <si>
    <t>GoStudent</t>
  </si>
  <si>
    <t>GoTo</t>
  </si>
  <si>
    <t>Seedr</t>
  </si>
  <si>
    <t>Riot Games</t>
  </si>
  <si>
    <t>Xendit</t>
  </si>
  <si>
    <t>Fashinza</t>
  </si>
  <si>
    <t>Stitch Fix</t>
  </si>
  <si>
    <t>YouTube</t>
  </si>
  <si>
    <t>Sirplus</t>
  </si>
  <si>
    <t>SonderMind</t>
  </si>
  <si>
    <t>First Mode</t>
  </si>
  <si>
    <t>ALI Technologies</t>
  </si>
  <si>
    <t>Thursday</t>
  </si>
  <si>
    <t>Veeam</t>
  </si>
  <si>
    <t>GrabCAD</t>
  </si>
  <si>
    <t>Artifact</t>
  </si>
  <si>
    <t>Dastgyr</t>
  </si>
  <si>
    <t>Hologram</t>
  </si>
  <si>
    <t>Vendr</t>
  </si>
  <si>
    <t>New Work SE</t>
  </si>
  <si>
    <t>Discord</t>
  </si>
  <si>
    <t>Inmobi</t>
  </si>
  <si>
    <t>Audible</t>
  </si>
  <si>
    <t>7Shifts</t>
  </si>
  <si>
    <t>Sisense</t>
  </si>
  <si>
    <t>Certinia</t>
  </si>
  <si>
    <t>Dextrous Robotics</t>
  </si>
  <si>
    <t>Citrix</t>
  </si>
  <si>
    <t>FreshDirect</t>
  </si>
  <si>
    <t>Beam Benefits</t>
  </si>
  <si>
    <t>Instagram</t>
  </si>
  <si>
    <t>SoFi</t>
  </si>
  <si>
    <t>Twitch</t>
  </si>
  <si>
    <t>Branch</t>
  </si>
  <si>
    <t>Nevro</t>
  </si>
  <si>
    <t>FullStory</t>
  </si>
  <si>
    <t>Uber Freight</t>
  </si>
  <si>
    <t>Rent the Runway</t>
  </si>
  <si>
    <t>Treasure Financial</t>
  </si>
  <si>
    <t>Humane</t>
  </si>
  <si>
    <t>EVBox</t>
  </si>
  <si>
    <t>Morning Consult</t>
  </si>
  <si>
    <t>NuScale Power</t>
  </si>
  <si>
    <t>Flexe</t>
  </si>
  <si>
    <t>Pitch</t>
  </si>
  <si>
    <t>Here</t>
  </si>
  <si>
    <t>Ledger Investing</t>
  </si>
  <si>
    <t>Lendio</t>
  </si>
  <si>
    <t>MeridianLink</t>
  </si>
  <si>
    <t>LiveVox</t>
  </si>
  <si>
    <t>NanoString Technologies</t>
  </si>
  <si>
    <t>Lever</t>
  </si>
  <si>
    <t>Trigo</t>
  </si>
  <si>
    <t>InVision</t>
  </si>
  <si>
    <t>VideoAmp</t>
  </si>
  <si>
    <t>Xerox</t>
  </si>
  <si>
    <t>Orca Security</t>
  </si>
  <si>
    <t>Frontdesk</t>
  </si>
  <si>
    <t>Strake</t>
  </si>
  <si>
    <t>Hyperloop One</t>
  </si>
  <si>
    <t>Palmetto Clean Technology</t>
  </si>
  <si>
    <t>InSightec</t>
  </si>
  <si>
    <t>Kaspien</t>
  </si>
  <si>
    <t>Udaan</t>
  </si>
  <si>
    <t>Checkout.com</t>
  </si>
  <si>
    <t>Arm Holdings</t>
  </si>
  <si>
    <t>Superpedestrian</t>
  </si>
  <si>
    <t>Solarisbank</t>
  </si>
  <si>
    <t>Curalie</t>
  </si>
  <si>
    <t>Curbio</t>
  </si>
  <si>
    <t>Flyhomes</t>
  </si>
  <si>
    <t>Stellar Pizza</t>
  </si>
  <si>
    <t>Invitae</t>
  </si>
  <si>
    <t>Etsy</t>
  </si>
  <si>
    <t>Analog Devices</t>
  </si>
  <si>
    <t>ForgeRock</t>
  </si>
  <si>
    <t>Flex</t>
  </si>
  <si>
    <t>FourKites</t>
  </si>
  <si>
    <t>Sojern</t>
  </si>
  <si>
    <t>Jungle Scout</t>
  </si>
  <si>
    <t>SmileDirectClub</t>
  </si>
  <si>
    <t>Sunfolding</t>
  </si>
  <si>
    <t>Zulily</t>
  </si>
  <si>
    <t>D2iQ</t>
  </si>
  <si>
    <t>Simplilearn</t>
  </si>
  <si>
    <t>Navan</t>
  </si>
  <si>
    <t>ZestMoney</t>
  </si>
  <si>
    <t>Contentful</t>
  </si>
  <si>
    <t>Course Hero</t>
  </si>
  <si>
    <t>Pivo</t>
  </si>
  <si>
    <t>TuSimple</t>
  </si>
  <si>
    <t>Meow Wolf</t>
  </si>
  <si>
    <t>DwellWell</t>
  </si>
  <si>
    <t>Twilio</t>
  </si>
  <si>
    <t>Filmic</t>
  </si>
  <si>
    <t>Loco</t>
  </si>
  <si>
    <t>Domo</t>
  </si>
  <si>
    <t>Mojo</t>
  </si>
  <si>
    <t>Pipedrive</t>
  </si>
  <si>
    <t>Dataminr</t>
  </si>
  <si>
    <t>Tier Mobility</t>
  </si>
  <si>
    <t>VMware</t>
  </si>
  <si>
    <t>Veev</t>
  </si>
  <si>
    <t>Anar</t>
  </si>
  <si>
    <t>Alerzo</t>
  </si>
  <si>
    <t>McMakler</t>
  </si>
  <si>
    <t>Tulip Retail</t>
  </si>
  <si>
    <t>Jodo</t>
  </si>
  <si>
    <t>Presto</t>
  </si>
  <si>
    <t>Physics Wallah</t>
  </si>
  <si>
    <t>NextGen Healthcare</t>
  </si>
  <si>
    <t>Buildertrend</t>
  </si>
  <si>
    <t>Jane</t>
  </si>
  <si>
    <t>Zazuu</t>
  </si>
  <si>
    <t>Sierra Space</t>
  </si>
  <si>
    <t>Paystack</t>
  </si>
  <si>
    <t>Beamery</t>
  </si>
  <si>
    <t>FintechOS</t>
  </si>
  <si>
    <t>Romania</t>
  </si>
  <si>
    <t>Landing</t>
  </si>
  <si>
    <t>Uleet</t>
  </si>
  <si>
    <t>Chewy</t>
  </si>
  <si>
    <t>Sarcos</t>
  </si>
  <si>
    <t>Cake Group</t>
  </si>
  <si>
    <t>Halodoc</t>
  </si>
  <si>
    <t>Markforged</t>
  </si>
  <si>
    <t>Ping Identity</t>
  </si>
  <si>
    <t>Carta</t>
  </si>
  <si>
    <t>Commure</t>
  </si>
  <si>
    <t>OSlash</t>
  </si>
  <si>
    <t>CloudKitchens</t>
  </si>
  <si>
    <t>Oportun</t>
  </si>
  <si>
    <t>Zeus Living</t>
  </si>
  <si>
    <t>Ava Labs</t>
  </si>
  <si>
    <t>Moore Threads</t>
  </si>
  <si>
    <t>Pico Interactive</t>
  </si>
  <si>
    <t>NIO</t>
  </si>
  <si>
    <t>OpenSea</t>
  </si>
  <si>
    <t>Viasat</t>
  </si>
  <si>
    <t>Beyond Meat</t>
  </si>
  <si>
    <t>OpenSpace</t>
  </si>
  <si>
    <t>Orchard</t>
  </si>
  <si>
    <t>Sportradar</t>
  </si>
  <si>
    <t>Splunk</t>
  </si>
  <si>
    <t>Faire</t>
  </si>
  <si>
    <t>Sana Benefits</t>
  </si>
  <si>
    <t>Olive</t>
  </si>
  <si>
    <t>StepStone</t>
  </si>
  <si>
    <t>Hubilo</t>
  </si>
  <si>
    <t>Karat Financial</t>
  </si>
  <si>
    <t>Hippo Insurance</t>
  </si>
  <si>
    <t>Graphy</t>
  </si>
  <si>
    <t>Salsify</t>
  </si>
  <si>
    <t>F-Secure</t>
  </si>
  <si>
    <t>Virgio</t>
  </si>
  <si>
    <t>Exabeam</t>
  </si>
  <si>
    <t>Slync</t>
  </si>
  <si>
    <t>SiFive</t>
  </si>
  <si>
    <t>Pebble</t>
  </si>
  <si>
    <t>Shipt</t>
  </si>
  <si>
    <t>Parity Technologies</t>
  </si>
  <si>
    <t>Roblox China</t>
  </si>
  <si>
    <t>Convoy</t>
  </si>
  <si>
    <t>Bullhorn</t>
  </si>
  <si>
    <t>StellarAlgo</t>
  </si>
  <si>
    <t>ManoMano</t>
  </si>
  <si>
    <t>Plume</t>
  </si>
  <si>
    <t>Belora Paris</t>
  </si>
  <si>
    <t>Made Renovation</t>
  </si>
  <si>
    <t>Volta Trucks</t>
  </si>
  <si>
    <t>Waymo</t>
  </si>
  <si>
    <t>CityMall</t>
  </si>
  <si>
    <t>Kayak / OpenTable</t>
  </si>
  <si>
    <t>Bandcamp</t>
  </si>
  <si>
    <t>Stack Overflow</t>
  </si>
  <si>
    <t>PokerStars</t>
  </si>
  <si>
    <t>Uno Health</t>
  </si>
  <si>
    <t>Lending Club</t>
  </si>
  <si>
    <t>MariaDB</t>
  </si>
  <si>
    <t>Deepgram</t>
  </si>
  <si>
    <t>Acronis</t>
  </si>
  <si>
    <t>Neon</t>
  </si>
  <si>
    <t>Braid</t>
  </si>
  <si>
    <t>Product Hunt</t>
  </si>
  <si>
    <t>VTrips</t>
  </si>
  <si>
    <t>Juniper Networks</t>
  </si>
  <si>
    <t>Dash</t>
  </si>
  <si>
    <t>Shift</t>
  </si>
  <si>
    <t>Yuga Labs</t>
  </si>
  <si>
    <t>Bizongo</t>
  </si>
  <si>
    <t>SchoolMint</t>
  </si>
  <si>
    <t>Ledger</t>
  </si>
  <si>
    <t>Qualtrics</t>
  </si>
  <si>
    <t>Bird</t>
  </si>
  <si>
    <t>Dare</t>
  </si>
  <si>
    <t>Sendoso</t>
  </si>
  <si>
    <t>Chainalysis</t>
  </si>
  <si>
    <t>Synapse</t>
  </si>
  <si>
    <t>Chia Network</t>
  </si>
  <si>
    <t>IronNet</t>
  </si>
  <si>
    <t>Sono Motors</t>
  </si>
  <si>
    <t>Cowbell</t>
  </si>
  <si>
    <t>N26</t>
  </si>
  <si>
    <t>Andgo</t>
  </si>
  <si>
    <t>Vendasta</t>
  </si>
  <si>
    <t>Lululemon Studio</t>
  </si>
  <si>
    <t>Fit Analytics</t>
  </si>
  <si>
    <t>Talkdesk</t>
  </si>
  <si>
    <t>Lucid Software</t>
  </si>
  <si>
    <t>Eat Just</t>
  </si>
  <si>
    <t>Appsmith</t>
  </si>
  <si>
    <t>Roblox</t>
  </si>
  <si>
    <t>Foodpanda</t>
  </si>
  <si>
    <t>Recast</t>
  </si>
  <si>
    <t>DealShare</t>
  </si>
  <si>
    <t>Merative</t>
  </si>
  <si>
    <t>Akudo</t>
  </si>
  <si>
    <t>Truss Works</t>
  </si>
  <si>
    <t>Nowadays</t>
  </si>
  <si>
    <t>Hooray Foods</t>
  </si>
  <si>
    <t>Sage Therapeutics copy</t>
  </si>
  <si>
    <t>7shifts</t>
  </si>
  <si>
    <t>Velocity</t>
  </si>
  <si>
    <t>Airtable</t>
  </si>
  <si>
    <t>Project44</t>
  </si>
  <si>
    <t>R3</t>
  </si>
  <si>
    <t>Akili Labs</t>
  </si>
  <si>
    <t>Evolve</t>
  </si>
  <si>
    <t>Binance.US</t>
  </si>
  <si>
    <t>Homeday</t>
  </si>
  <si>
    <t>Eurora</t>
  </si>
  <si>
    <t>Chargebee</t>
  </si>
  <si>
    <t>Divvy Homes</t>
  </si>
  <si>
    <t>Bonterra</t>
  </si>
  <si>
    <t>Mollie</t>
  </si>
  <si>
    <t>Oyster</t>
  </si>
  <si>
    <t>Sensor Tower</t>
  </si>
  <si>
    <t>Drift</t>
  </si>
  <si>
    <t>Hijra</t>
  </si>
  <si>
    <t>Roku</t>
  </si>
  <si>
    <t>ForeScout</t>
  </si>
  <si>
    <t>Better.com</t>
  </si>
  <si>
    <t>iSpecimen</t>
  </si>
  <si>
    <t>MaxMilhas</t>
  </si>
  <si>
    <t>Absci</t>
  </si>
  <si>
    <t>Hodinkee</t>
  </si>
  <si>
    <t>Talent.com</t>
  </si>
  <si>
    <t>mPharma</t>
  </si>
  <si>
    <t>Ghana</t>
  </si>
  <si>
    <t>Xolo</t>
  </si>
  <si>
    <t>Nexar</t>
  </si>
  <si>
    <t>Khatabook</t>
  </si>
  <si>
    <t>Clearcover</t>
  </si>
  <si>
    <t>Gated</t>
  </si>
  <si>
    <t>Lunchtime</t>
  </si>
  <si>
    <t>Pegasystems</t>
  </si>
  <si>
    <t>Biofourmis</t>
  </si>
  <si>
    <t>Malwarebytes</t>
  </si>
  <si>
    <t>SkyKick</t>
  </si>
  <si>
    <t>Omuni</t>
  </si>
  <si>
    <t>Huma</t>
  </si>
  <si>
    <t>Zeplin</t>
  </si>
  <si>
    <t>123Milhas</t>
  </si>
  <si>
    <t>CoinSwitch</t>
  </si>
  <si>
    <t>Clockwork</t>
  </si>
  <si>
    <t>SenseTime</t>
  </si>
  <si>
    <t>Hong Kong</t>
  </si>
  <si>
    <t>HackerRank</t>
  </si>
  <si>
    <t>Cuemath</t>
  </si>
  <si>
    <t>Fortinet</t>
  </si>
  <si>
    <t>Captiv8</t>
  </si>
  <si>
    <t>Chingari</t>
  </si>
  <si>
    <t>Atlas</t>
  </si>
  <si>
    <t>Veriff</t>
  </si>
  <si>
    <t>BlackLine</t>
  </si>
  <si>
    <t>Rivos</t>
  </si>
  <si>
    <t>Cellulant</t>
  </si>
  <si>
    <t>JOIN</t>
  </si>
  <si>
    <t>CoinDCX</t>
  </si>
  <si>
    <t>Datagen</t>
  </si>
  <si>
    <t>Hypefast</t>
  </si>
  <si>
    <t>Tempo Automation</t>
  </si>
  <si>
    <t>Recur</t>
  </si>
  <si>
    <t>Unite Us</t>
  </si>
  <si>
    <t>Twiga</t>
  </si>
  <si>
    <t>Spartan Poker</t>
  </si>
  <si>
    <t>Times Internet</t>
  </si>
  <si>
    <t>Detectify</t>
  </si>
  <si>
    <t>Embrace</t>
  </si>
  <si>
    <t>Zylo</t>
  </si>
  <si>
    <t>AppFolio</t>
  </si>
  <si>
    <t>StreamElements</t>
  </si>
  <si>
    <t>FlexCar</t>
  </si>
  <si>
    <t>Noice</t>
  </si>
  <si>
    <t>SecureWorks</t>
  </si>
  <si>
    <t>Easee</t>
  </si>
  <si>
    <t>CoinDesk</t>
  </si>
  <si>
    <t>iQiyi Smart</t>
  </si>
  <si>
    <t>LingoAce</t>
  </si>
  <si>
    <t>SHINE Technologies</t>
  </si>
  <si>
    <t>NCC Group</t>
  </si>
  <si>
    <t>Blend</t>
  </si>
  <si>
    <t>Babylon Health</t>
  </si>
  <si>
    <t>Dealtale</t>
  </si>
  <si>
    <t>Bukalapak</t>
  </si>
  <si>
    <t>Podium</t>
  </si>
  <si>
    <t>Quizy</t>
  </si>
  <si>
    <t>StyleSeat</t>
  </si>
  <si>
    <t>Thoughtworks</t>
  </si>
  <si>
    <t>Rapid7</t>
  </si>
  <si>
    <t>MPL</t>
  </si>
  <si>
    <t>Doximity</t>
  </si>
  <si>
    <t>Caliva</t>
  </si>
  <si>
    <t>Sendy</t>
  </si>
  <si>
    <t>Verse</t>
  </si>
  <si>
    <t>Qomplx</t>
  </si>
  <si>
    <t>CodeClan</t>
  </si>
  <si>
    <t>Big Cabal Media</t>
  </si>
  <si>
    <t>Bardee</t>
  </si>
  <si>
    <t>Aware</t>
  </si>
  <si>
    <t>Ayoconnect</t>
  </si>
  <si>
    <t>Finastra</t>
  </si>
  <si>
    <t>Spinny</t>
  </si>
  <si>
    <t>Tekion</t>
  </si>
  <si>
    <t>BetterUp</t>
  </si>
  <si>
    <t>Gem</t>
  </si>
  <si>
    <t>Gupy</t>
  </si>
  <si>
    <t>FamPay</t>
  </si>
  <si>
    <t>Actyv.ai</t>
  </si>
  <si>
    <t>ConnectedH</t>
  </si>
  <si>
    <t>DICE</t>
  </si>
  <si>
    <t>HackerOne</t>
  </si>
  <si>
    <t>Silofit</t>
  </si>
  <si>
    <t>Vesttoo</t>
  </si>
  <si>
    <t>Archipelago</t>
  </si>
  <si>
    <t>Increff</t>
  </si>
  <si>
    <t>inDrive</t>
  </si>
  <si>
    <t>Qoala</t>
  </si>
  <si>
    <t>Cambricon</t>
  </si>
  <si>
    <t>Kape Technologies</t>
  </si>
  <si>
    <t>Eroad</t>
  </si>
  <si>
    <t>Kape</t>
  </si>
  <si>
    <t>Homology</t>
  </si>
  <si>
    <t>Milkbasket</t>
  </si>
  <si>
    <t>Wish</t>
  </si>
  <si>
    <t>Point</t>
  </si>
  <si>
    <t>Akseleran</t>
  </si>
  <si>
    <t>Datree</t>
  </si>
  <si>
    <t>Degreed</t>
  </si>
  <si>
    <t>Figure</t>
  </si>
  <si>
    <t>Myntra</t>
  </si>
  <si>
    <t>Kleos Space</t>
  </si>
  <si>
    <t>Luxembourg</t>
  </si>
  <si>
    <t>Ripl</t>
  </si>
  <si>
    <t>Deep Instict</t>
  </si>
  <si>
    <t>AppHarvest</t>
  </si>
  <si>
    <t>Arive</t>
  </si>
  <si>
    <t>Onfido</t>
  </si>
  <si>
    <t>PathAI</t>
  </si>
  <si>
    <t>Bundle Africa</t>
  </si>
  <si>
    <t>Viaplay</t>
  </si>
  <si>
    <t>MiQ</t>
  </si>
  <si>
    <t>Phunware</t>
  </si>
  <si>
    <t>Saarthi.ai</t>
  </si>
  <si>
    <t>AgentSync</t>
  </si>
  <si>
    <t>Inspirato</t>
  </si>
  <si>
    <t>Tilia</t>
  </si>
  <si>
    <t>Blue Apron</t>
  </si>
  <si>
    <t>Cameo</t>
  </si>
  <si>
    <t>Square Roots</t>
  </si>
  <si>
    <t>Code42</t>
  </si>
  <si>
    <t>Ezoic</t>
  </si>
  <si>
    <t>Lamudi Indonesia</t>
  </si>
  <si>
    <t>Binance</t>
  </si>
  <si>
    <t>PayScale</t>
  </si>
  <si>
    <t>Navi Technologies</t>
  </si>
  <si>
    <t>Skill Lync</t>
  </si>
  <si>
    <t>AudioCodes</t>
  </si>
  <si>
    <t>Centr</t>
  </si>
  <si>
    <t>Factorial</t>
  </si>
  <si>
    <t>Bark</t>
  </si>
  <si>
    <t>Netlify</t>
  </si>
  <si>
    <t>Dapper Labs</t>
  </si>
  <si>
    <t>DeepVerge</t>
  </si>
  <si>
    <t>Freightos</t>
  </si>
  <si>
    <t>CyberGRX</t>
  </si>
  <si>
    <t>Duck Creek Technologies</t>
  </si>
  <si>
    <t>Matterport</t>
  </si>
  <si>
    <t>Everquote</t>
  </si>
  <si>
    <t>Built Technologies</t>
  </si>
  <si>
    <t>Butterfly Network copy</t>
  </si>
  <si>
    <t>Dukaan</t>
  </si>
  <si>
    <t>Jasper</t>
  </si>
  <si>
    <t>FrontRow</t>
  </si>
  <si>
    <t>IntelyCare</t>
  </si>
  <si>
    <t>Latch</t>
  </si>
  <si>
    <t>Motive</t>
  </si>
  <si>
    <t>Medsaf</t>
  </si>
  <si>
    <t>Evernote</t>
  </si>
  <si>
    <t>PaulCamper</t>
  </si>
  <si>
    <t>Trellix</t>
  </si>
  <si>
    <t>Perfect Day</t>
  </si>
  <si>
    <t>Solidigm</t>
  </si>
  <si>
    <t>Circles.Life</t>
  </si>
  <si>
    <t>ConnectRN</t>
  </si>
  <si>
    <t>Crunchbase</t>
  </si>
  <si>
    <t>Athennian</t>
  </si>
  <si>
    <t>Vista Group</t>
  </si>
  <si>
    <t>Highsnobiety</t>
  </si>
  <si>
    <t>Zip</t>
  </si>
  <si>
    <t>Buzzer</t>
  </si>
  <si>
    <t>Lunya</t>
  </si>
  <si>
    <t>MediaMath</t>
  </si>
  <si>
    <t>Petal</t>
  </si>
  <si>
    <t>Artsy</t>
  </si>
  <si>
    <t>Candy Digital</t>
  </si>
  <si>
    <t>Xiaomi India</t>
  </si>
  <si>
    <t>Torii</t>
  </si>
  <si>
    <t>Insider Intelligence</t>
  </si>
  <si>
    <t>Merama</t>
  </si>
  <si>
    <t>Mexico</t>
  </si>
  <si>
    <t>Qyuki</t>
  </si>
  <si>
    <t>Vowel</t>
  </si>
  <si>
    <t>Ludia</t>
  </si>
  <si>
    <t>Karat</t>
  </si>
  <si>
    <t>Plex</t>
  </si>
  <si>
    <t>Starburst</t>
  </si>
  <si>
    <t>Zapier</t>
  </si>
  <si>
    <t>Selina</t>
  </si>
  <si>
    <t>Tibber</t>
  </si>
  <si>
    <t>ClearPay</t>
  </si>
  <si>
    <t>Eyowo</t>
  </si>
  <si>
    <t>Honor</t>
  </si>
  <si>
    <t>Lordstown Motors</t>
  </si>
  <si>
    <t>Waze</t>
  </si>
  <si>
    <t>IRL</t>
  </si>
  <si>
    <t>Retool</t>
  </si>
  <si>
    <t>Anaplan</t>
  </si>
  <si>
    <t>Tackle.io</t>
  </si>
  <si>
    <t>Ritual</t>
  </si>
  <si>
    <t>Friday Health Plans</t>
  </si>
  <si>
    <t>Mutiny</t>
  </si>
  <si>
    <t>Grab</t>
  </si>
  <si>
    <t>OLX Group</t>
  </si>
  <si>
    <t>AvantStay</t>
  </si>
  <si>
    <t>Karakuki</t>
  </si>
  <si>
    <t>Panther</t>
  </si>
  <si>
    <t>Fuzzy</t>
  </si>
  <si>
    <t>Mojocare</t>
  </si>
  <si>
    <t>Pilot</t>
  </si>
  <si>
    <t>Karshare</t>
  </si>
  <si>
    <t>CareRev</t>
  </si>
  <si>
    <t>TADA</t>
  </si>
  <si>
    <t>South Korea</t>
  </si>
  <si>
    <t>Cerner</t>
  </si>
  <si>
    <t>Bitwise</t>
  </si>
  <si>
    <t>Mamaearth</t>
  </si>
  <si>
    <t>Western Digital</t>
  </si>
  <si>
    <t>JupiterOne</t>
  </si>
  <si>
    <t>Zalando</t>
  </si>
  <si>
    <t>dot.LA</t>
  </si>
  <si>
    <t>TaxBit</t>
  </si>
  <si>
    <t>Tiki</t>
  </si>
  <si>
    <t>Trybe</t>
  </si>
  <si>
    <t>Expel</t>
  </si>
  <si>
    <t>Cityblock Health</t>
  </si>
  <si>
    <t>Highspot</t>
  </si>
  <si>
    <t>Cohesity</t>
  </si>
  <si>
    <t>Opora</t>
  </si>
  <si>
    <t>Nubank</t>
  </si>
  <si>
    <t>Sumo Logic</t>
  </si>
  <si>
    <t>Flatiron Health</t>
  </si>
  <si>
    <t>HashiCorp</t>
  </si>
  <si>
    <t>Ursa Major</t>
  </si>
  <si>
    <t>Coherent</t>
  </si>
  <si>
    <t>Reddit</t>
  </si>
  <si>
    <t>Linktree</t>
  </si>
  <si>
    <t>Dragos</t>
  </si>
  <si>
    <t>Mara</t>
  </si>
  <si>
    <t>Bunnii</t>
  </si>
  <si>
    <t>Azibo</t>
  </si>
  <si>
    <t>Meati Foods</t>
  </si>
  <si>
    <t>Zume</t>
  </si>
  <si>
    <t>Haven Technologies</t>
  </si>
  <si>
    <t>Mural</t>
  </si>
  <si>
    <t>Glamyo Health</t>
  </si>
  <si>
    <t>CloudTrucks</t>
  </si>
  <si>
    <t>CoachHub</t>
  </si>
  <si>
    <t>Fractal Software</t>
  </si>
  <si>
    <t>SmartAsset</t>
  </si>
  <si>
    <t>Mux</t>
  </si>
  <si>
    <t>Taxfix</t>
  </si>
  <si>
    <t>Mensa Brands</t>
  </si>
  <si>
    <t>Coupa</t>
  </si>
  <si>
    <t>Nansen</t>
  </si>
  <si>
    <t>DHI Group</t>
  </si>
  <si>
    <t>BenevolentAI</t>
  </si>
  <si>
    <t>Circus Kitchens</t>
  </si>
  <si>
    <t>Kabam</t>
  </si>
  <si>
    <t>WillowTree</t>
  </si>
  <si>
    <t>Flink</t>
  </si>
  <si>
    <t>Alibaba Cloud</t>
  </si>
  <si>
    <t>Brainly</t>
  </si>
  <si>
    <t>Reliance JioMart</t>
  </si>
  <si>
    <t>SoundCloud</t>
  </si>
  <si>
    <t>Tractable</t>
  </si>
  <si>
    <t>Daylight</t>
  </si>
  <si>
    <t>FemTech Health</t>
  </si>
  <si>
    <t>Paperless Parts</t>
  </si>
  <si>
    <t>Nuance Communications</t>
  </si>
  <si>
    <t>Moss</t>
  </si>
  <si>
    <t>Pie Insurance</t>
  </si>
  <si>
    <t>Clearbit</t>
  </si>
  <si>
    <t>dbt Labs</t>
  </si>
  <si>
    <t>L1ght</t>
  </si>
  <si>
    <t>Nextbite</t>
  </si>
  <si>
    <t>Formstack</t>
  </si>
  <si>
    <t>Lemonade</t>
  </si>
  <si>
    <t>DroneUp</t>
  </si>
  <si>
    <t>Quanto</t>
  </si>
  <si>
    <t>Cana</t>
  </si>
  <si>
    <t>Nuro</t>
  </si>
  <si>
    <t>Telenav</t>
  </si>
  <si>
    <t>Happay</t>
  </si>
  <si>
    <t>Slickdeals</t>
  </si>
  <si>
    <t>Toothsi</t>
  </si>
  <si>
    <t>Everlaw</t>
  </si>
  <si>
    <t>Tessera</t>
  </si>
  <si>
    <t>Varo</t>
  </si>
  <si>
    <t>CS Disco</t>
  </si>
  <si>
    <t>Redbubble</t>
  </si>
  <si>
    <t>Similarweb</t>
  </si>
  <si>
    <t>Sonatype</t>
  </si>
  <si>
    <t>Marqeta</t>
  </si>
  <si>
    <t>Momentis Surgical</t>
  </si>
  <si>
    <t>Glean AI</t>
  </si>
  <si>
    <t>Everledger</t>
  </si>
  <si>
    <t>Twist Bioscience</t>
  </si>
  <si>
    <t>Meesho</t>
  </si>
  <si>
    <t>Teachmint</t>
  </si>
  <si>
    <t>Eventus</t>
  </si>
  <si>
    <t>Sabre</t>
  </si>
  <si>
    <t>Scribe Media</t>
  </si>
  <si>
    <t>Autograph</t>
  </si>
  <si>
    <t>Earnix</t>
  </si>
  <si>
    <t>Karma</t>
  </si>
  <si>
    <t>Glassbox</t>
  </si>
  <si>
    <t>Zymergen</t>
  </si>
  <si>
    <t>TheSkimm</t>
  </si>
  <si>
    <t>Brightline</t>
  </si>
  <si>
    <t>Bishop Fox</t>
  </si>
  <si>
    <t>Zoomo</t>
  </si>
  <si>
    <t>Vallai</t>
  </si>
  <si>
    <t>Lev</t>
  </si>
  <si>
    <t>PharmEasy</t>
  </si>
  <si>
    <t>Vah Vah!</t>
  </si>
  <si>
    <t>Cogito</t>
  </si>
  <si>
    <t>Embark Vet</t>
  </si>
  <si>
    <t>Poparazzi</t>
  </si>
  <si>
    <t>Providoor</t>
  </si>
  <si>
    <t>Alteryx</t>
  </si>
  <si>
    <t>Greenhouse</t>
  </si>
  <si>
    <t>Rebellion Defense</t>
  </si>
  <si>
    <t>Poppulo</t>
  </si>
  <si>
    <t>Megaport</t>
  </si>
  <si>
    <t>Airtasker</t>
  </si>
  <si>
    <t>Tickertape</t>
  </si>
  <si>
    <t>Clubhouse</t>
  </si>
  <si>
    <t>Oddle</t>
  </si>
  <si>
    <t>Extramarks</t>
  </si>
  <si>
    <t>Teampay</t>
  </si>
  <si>
    <t>RenoRun</t>
  </si>
  <si>
    <t>Rapid</t>
  </si>
  <si>
    <t>Red Hat</t>
  </si>
  <si>
    <t>BigPanda</t>
  </si>
  <si>
    <t>Benchling</t>
  </si>
  <si>
    <t>Open</t>
  </si>
  <si>
    <t>Gloat</t>
  </si>
  <si>
    <t>Insider</t>
  </si>
  <si>
    <t>Iress</t>
  </si>
  <si>
    <t>WalkMe</t>
  </si>
  <si>
    <t>Noon</t>
  </si>
  <si>
    <t>Saudi Arabia</t>
  </si>
  <si>
    <t>TRM Labs</t>
  </si>
  <si>
    <t>CoLab</t>
  </si>
  <si>
    <t>Ten Square Games</t>
  </si>
  <si>
    <t>Ynsect</t>
  </si>
  <si>
    <t>Kumu</t>
  </si>
  <si>
    <t>Philippines</t>
  </si>
  <si>
    <t>Utopia Music</t>
  </si>
  <si>
    <t>Quadream</t>
  </si>
  <si>
    <t>Drip Capital</t>
  </si>
  <si>
    <t>Community Gaming</t>
  </si>
  <si>
    <t>Calibrate</t>
  </si>
  <si>
    <t>OpenClassrooms</t>
  </si>
  <si>
    <t>Sayurbox</t>
  </si>
  <si>
    <t>Astronomer</t>
  </si>
  <si>
    <t>Bluepad</t>
  </si>
  <si>
    <t>Heygo</t>
  </si>
  <si>
    <t>Lazerpay</t>
  </si>
  <si>
    <t>Mediafly</t>
  </si>
  <si>
    <t>Science 37</t>
  </si>
  <si>
    <t>Milkrun</t>
  </si>
  <si>
    <t>Permutive</t>
  </si>
  <si>
    <t>Examedi</t>
  </si>
  <si>
    <t>Euler Motors</t>
  </si>
  <si>
    <t>Reforge</t>
  </si>
  <si>
    <t>Practo</t>
  </si>
  <si>
    <t>Pear Therapeutics</t>
  </si>
  <si>
    <t>Workit Health</t>
  </si>
  <si>
    <t>Absolute Software</t>
  </si>
  <si>
    <t>Avocargo</t>
  </si>
  <si>
    <t>Amplitude</t>
  </si>
  <si>
    <t>1K Kirana</t>
  </si>
  <si>
    <t>Foundation Medicine</t>
  </si>
  <si>
    <t>Boost</t>
  </si>
  <si>
    <t>Cin7</t>
  </si>
  <si>
    <t>Hyland Software</t>
  </si>
  <si>
    <t>View</t>
  </si>
  <si>
    <t>Guideline</t>
  </si>
  <si>
    <t>Domestika</t>
  </si>
  <si>
    <t>Airbyte</t>
  </si>
  <si>
    <t>Hulu</t>
  </si>
  <si>
    <t>LendingTree</t>
  </si>
  <si>
    <t>FanClash</t>
  </si>
  <si>
    <t>Crossbeam</t>
  </si>
  <si>
    <t>AnswerLab</t>
  </si>
  <si>
    <t>Endowus</t>
  </si>
  <si>
    <t>GoodWorker</t>
  </si>
  <si>
    <t>Kyndryl</t>
  </si>
  <si>
    <t>Nowports</t>
  </si>
  <si>
    <t>CoverMyMeds</t>
  </si>
  <si>
    <t>Seagate</t>
  </si>
  <si>
    <t>iCAD</t>
  </si>
  <si>
    <t>Anyline</t>
  </si>
  <si>
    <t>OnePipe</t>
  </si>
  <si>
    <t>Blue Nile</t>
  </si>
  <si>
    <t>AEye</t>
  </si>
  <si>
    <t>Better Therapeutics</t>
  </si>
  <si>
    <t>Aspiration</t>
  </si>
  <si>
    <t>The Meet Group</t>
  </si>
  <si>
    <t>Cimpress</t>
  </si>
  <si>
    <t>TakeOff</t>
  </si>
  <si>
    <t>Ukraine</t>
  </si>
  <si>
    <t>Slite</t>
  </si>
  <si>
    <t>Logitech</t>
  </si>
  <si>
    <t>Glassdoor</t>
  </si>
  <si>
    <t>Wejo</t>
  </si>
  <si>
    <t>Copper</t>
  </si>
  <si>
    <t>Rewind</t>
  </si>
  <si>
    <t>Roofstock</t>
  </si>
  <si>
    <t>Marvell</t>
  </si>
  <si>
    <t>Workhuman</t>
  </si>
  <si>
    <t>Xing</t>
  </si>
  <si>
    <t>Mr Yum</t>
  </si>
  <si>
    <t>Smallcase</t>
  </si>
  <si>
    <t>GAMURS Group</t>
  </si>
  <si>
    <t>Laybuy</t>
  </si>
  <si>
    <t>Huuuge Games</t>
  </si>
  <si>
    <t>Candor Technology</t>
  </si>
  <si>
    <t>Leafly</t>
  </si>
  <si>
    <t>Bonusly</t>
  </si>
  <si>
    <t>Boxed</t>
  </si>
  <si>
    <t>TradeWindow</t>
  </si>
  <si>
    <t>Hometap</t>
  </si>
  <si>
    <t>Fetch</t>
  </si>
  <si>
    <t>Anchorage Digital</t>
  </si>
  <si>
    <t>Avidbots</t>
  </si>
  <si>
    <t>Samsung</t>
  </si>
  <si>
    <t>Kaleidoscope</t>
  </si>
  <si>
    <t>GoTo Group</t>
  </si>
  <si>
    <t>Cookpad</t>
  </si>
  <si>
    <t>Wave Financial</t>
  </si>
  <si>
    <t>Morning Brew</t>
  </si>
  <si>
    <t>Neoleukin Therapeutics</t>
  </si>
  <si>
    <t>Toucan</t>
  </si>
  <si>
    <t>Appcues</t>
  </si>
  <si>
    <t>Catch</t>
  </si>
  <si>
    <t>RDX Works</t>
  </si>
  <si>
    <t>Take-Two Interactive</t>
  </si>
  <si>
    <t>UpGrad</t>
  </si>
  <si>
    <t>HomeLane</t>
  </si>
  <si>
    <t>Ankorstore</t>
  </si>
  <si>
    <t>No Fluff Jobs</t>
  </si>
  <si>
    <t>Loft</t>
  </si>
  <si>
    <t>Embark Trucks</t>
  </si>
  <si>
    <t>Lendi</t>
  </si>
  <si>
    <t>UserTesting</t>
  </si>
  <si>
    <t>Airbnb</t>
  </si>
  <si>
    <t>Accolade</t>
  </si>
  <si>
    <t>Zscaler</t>
  </si>
  <si>
    <t>MasterClass</t>
  </si>
  <si>
    <t>Ambev Tech</t>
  </si>
  <si>
    <t>Fittr</t>
  </si>
  <si>
    <t>CNET</t>
  </si>
  <si>
    <t>Comparis</t>
  </si>
  <si>
    <t>Kandela</t>
  </si>
  <si>
    <t>Truckstop.com</t>
  </si>
  <si>
    <t>iFood</t>
  </si>
  <si>
    <t>Color Health</t>
  </si>
  <si>
    <t>PayFit</t>
  </si>
  <si>
    <t>Protego Trust Bank</t>
  </si>
  <si>
    <t>DUX Education</t>
  </si>
  <si>
    <t>Cerebral</t>
  </si>
  <si>
    <t>Amount</t>
  </si>
  <si>
    <t>Stytch</t>
  </si>
  <si>
    <t>BitSight</t>
  </si>
  <si>
    <t>Twitter</t>
  </si>
  <si>
    <t>SAP Labs</t>
  </si>
  <si>
    <t>Velodyne Lidar</t>
  </si>
  <si>
    <t>Medallia</t>
  </si>
  <si>
    <t>Lucira Health</t>
  </si>
  <si>
    <t>Stax</t>
  </si>
  <si>
    <t>EQRx</t>
  </si>
  <si>
    <t>Poshmark</t>
  </si>
  <si>
    <t>OneFootball</t>
  </si>
  <si>
    <t>The Iconic</t>
  </si>
  <si>
    <t>EVgo</t>
  </si>
  <si>
    <t>StrongDM</t>
  </si>
  <si>
    <t>Messari</t>
  </si>
  <si>
    <t>Vibrent Health</t>
  </si>
  <si>
    <t>Synamedia</t>
  </si>
  <si>
    <t>TaskUs</t>
  </si>
  <si>
    <t>Arch Oncology</t>
  </si>
  <si>
    <t>Immutable</t>
  </si>
  <si>
    <t>Jounce Therapeutics</t>
  </si>
  <si>
    <t>Locomation</t>
  </si>
  <si>
    <t>Green Labs</t>
  </si>
  <si>
    <t>Ethos Life</t>
  </si>
  <si>
    <t>Basis Technologies</t>
  </si>
  <si>
    <t>PeerStreet</t>
  </si>
  <si>
    <t>MyGate</t>
  </si>
  <si>
    <t>Kinde</t>
  </si>
  <si>
    <t>Fipola</t>
  </si>
  <si>
    <t>Tencent</t>
  </si>
  <si>
    <t>Reserve</t>
  </si>
  <si>
    <t>The RealReal</t>
  </si>
  <si>
    <t>ServiceTitan</t>
  </si>
  <si>
    <t>DigitalOcean</t>
  </si>
  <si>
    <t>Betterment</t>
  </si>
  <si>
    <t>Observe.AI</t>
  </si>
  <si>
    <t>Religion of Sports</t>
  </si>
  <si>
    <t>SurveyMonkey</t>
  </si>
  <si>
    <t>Tackle</t>
  </si>
  <si>
    <t>Vicarious Surgical</t>
  </si>
  <si>
    <t>Blackbaud</t>
  </si>
  <si>
    <t>CommerceHub</t>
  </si>
  <si>
    <t>Dropp</t>
  </si>
  <si>
    <t>HackerEarth</t>
  </si>
  <si>
    <t>PhableCare</t>
  </si>
  <si>
    <t>Electric</t>
  </si>
  <si>
    <t>EMX Digital</t>
  </si>
  <si>
    <t>PetLove</t>
  </si>
  <si>
    <t>Collective Health</t>
  </si>
  <si>
    <t>Magic Eden</t>
  </si>
  <si>
    <t>Casavo</t>
  </si>
  <si>
    <t>Italy</t>
  </si>
  <si>
    <t>Moladin</t>
  </si>
  <si>
    <t>Titan Medical</t>
  </si>
  <si>
    <t>TikTok India</t>
  </si>
  <si>
    <t>Syft Technologies</t>
  </si>
  <si>
    <t>Open Co</t>
  </si>
  <si>
    <t>Rigetti Computing</t>
  </si>
  <si>
    <t>Wonderschool</t>
  </si>
  <si>
    <t>Misfits Market</t>
  </si>
  <si>
    <t>Olive AI</t>
  </si>
  <si>
    <t>REE Automotive</t>
  </si>
  <si>
    <t>GitHub</t>
  </si>
  <si>
    <t>Quillt</t>
  </si>
  <si>
    <t>WeTrade</t>
  </si>
  <si>
    <t>GoDaddy</t>
  </si>
  <si>
    <t>Gusto</t>
  </si>
  <si>
    <t>Gong</t>
  </si>
  <si>
    <t>Equitybee</t>
  </si>
  <si>
    <t>Baraja</t>
  </si>
  <si>
    <t>Koho</t>
  </si>
  <si>
    <t>Medly</t>
  </si>
  <si>
    <t>Nearmap</t>
  </si>
  <si>
    <t>Salesloft</t>
  </si>
  <si>
    <t>Openpay</t>
  </si>
  <si>
    <t>LearnUpon</t>
  </si>
  <si>
    <t>Loggi</t>
  </si>
  <si>
    <t>Catch.com.au</t>
  </si>
  <si>
    <t>VinFast US</t>
  </si>
  <si>
    <t>Pocket Aces</t>
  </si>
  <si>
    <t>C6 Bank</t>
  </si>
  <si>
    <t>TenureX</t>
  </si>
  <si>
    <t>Kyruus</t>
  </si>
  <si>
    <t>Lightico</t>
  </si>
  <si>
    <t>Eightfold AI</t>
  </si>
  <si>
    <t>FarEye</t>
  </si>
  <si>
    <t>Protocol Labs</t>
  </si>
  <si>
    <t>Built Technologies copy</t>
  </si>
  <si>
    <t>Mindstrong</t>
  </si>
  <si>
    <t>Bittrex</t>
  </si>
  <si>
    <t>Snowplow</t>
  </si>
  <si>
    <t>Articulate</t>
  </si>
  <si>
    <t>NCSoft</t>
  </si>
  <si>
    <t>Sharesies</t>
  </si>
  <si>
    <t>Cyren</t>
  </si>
  <si>
    <t>Workato</t>
  </si>
  <si>
    <t>VerticalScope</t>
  </si>
  <si>
    <t>Wheel</t>
  </si>
  <si>
    <t>Appgate</t>
  </si>
  <si>
    <t>Exterro</t>
  </si>
  <si>
    <t>Ada</t>
  </si>
  <si>
    <t>Bustle Digital Group</t>
  </si>
  <si>
    <t>Frequency Therapeutics</t>
  </si>
  <si>
    <t>Omnipresent</t>
  </si>
  <si>
    <t>Upstart</t>
  </si>
  <si>
    <t>Software AG</t>
  </si>
  <si>
    <t>Tilting Point</t>
  </si>
  <si>
    <t>Gokada</t>
  </si>
  <si>
    <t>AU10TIX</t>
  </si>
  <si>
    <t>National Instruments</t>
  </si>
  <si>
    <t>Philips</t>
  </si>
  <si>
    <t>Impossible Foods</t>
  </si>
  <si>
    <t>BM Technologies</t>
  </si>
  <si>
    <t>Olist</t>
  </si>
  <si>
    <t>Prime Trust</t>
  </si>
  <si>
    <t>Quantum SI</t>
  </si>
  <si>
    <t>Hoxhunt</t>
  </si>
  <si>
    <t>Me Poupe</t>
  </si>
  <si>
    <t>CoinTracker</t>
  </si>
  <si>
    <t>Ruggable</t>
  </si>
  <si>
    <t>Heycar</t>
  </si>
  <si>
    <t>Matrixport</t>
  </si>
  <si>
    <t>Shakepay</t>
  </si>
  <si>
    <t>#Paid</t>
  </si>
  <si>
    <t>Decent</t>
  </si>
  <si>
    <t>Feedzai</t>
  </si>
  <si>
    <t>Nate</t>
  </si>
  <si>
    <t>Soundwide</t>
  </si>
  <si>
    <t>Confluent</t>
  </si>
  <si>
    <t>Glisser</t>
  </si>
  <si>
    <t>DriveWealth</t>
  </si>
  <si>
    <t>Mode Global</t>
  </si>
  <si>
    <t>Plus One Robotics</t>
  </si>
  <si>
    <t>Lam Research</t>
  </si>
  <si>
    <t>Luno</t>
  </si>
  <si>
    <t>Clear Capital</t>
  </si>
  <si>
    <t>Guardant Health</t>
  </si>
  <si>
    <t>SirionLabs</t>
  </si>
  <si>
    <t>PagSeguro</t>
  </si>
  <si>
    <t>Prosus</t>
  </si>
  <si>
    <t>PartnerStack</t>
  </si>
  <si>
    <t>Gitpod</t>
  </si>
  <si>
    <t>OFFOR Health</t>
  </si>
  <si>
    <t>Venngage</t>
  </si>
  <si>
    <t>Corvus Insurance</t>
  </si>
  <si>
    <t>PagerDuty</t>
  </si>
  <si>
    <t>Scoro</t>
  </si>
  <si>
    <t>Innovid</t>
  </si>
  <si>
    <t>Booktopia</t>
  </si>
  <si>
    <t>Ermetic</t>
  </si>
  <si>
    <t>Namogoo</t>
  </si>
  <si>
    <t>Camp K12</t>
  </si>
  <si>
    <t>BUX</t>
  </si>
  <si>
    <t>MediBuddy</t>
  </si>
  <si>
    <t>BitTorrent</t>
  </si>
  <si>
    <t>Enjoei</t>
  </si>
  <si>
    <t>Edifecs</t>
  </si>
  <si>
    <t>Citrine Informatics</t>
  </si>
  <si>
    <t>Avalara</t>
  </si>
  <si>
    <t>Cyteir Therapeutics</t>
  </si>
  <si>
    <t>Zappos</t>
  </si>
  <si>
    <t>Capital One</t>
  </si>
  <si>
    <t>Proterra</t>
  </si>
  <si>
    <t>WeWork</t>
  </si>
  <si>
    <t>Saks.com</t>
  </si>
  <si>
    <t>Hydrow</t>
  </si>
  <si>
    <t>Earth Rides</t>
  </si>
  <si>
    <t>Fandom</t>
  </si>
  <si>
    <t>IAM Robotics</t>
  </si>
  <si>
    <t>Icertis</t>
  </si>
  <si>
    <t>Magnite</t>
  </si>
  <si>
    <t>Mudafy</t>
  </si>
  <si>
    <t>Personalis</t>
  </si>
  <si>
    <t>Prisma</t>
  </si>
  <si>
    <t>Spaceship</t>
  </si>
  <si>
    <t>Wallbox</t>
  </si>
  <si>
    <t>Teladoc Health</t>
  </si>
  <si>
    <t>8x8</t>
  </si>
  <si>
    <t>Benevity</t>
  </si>
  <si>
    <t>Jumpcloud</t>
  </si>
  <si>
    <t>Starry</t>
  </si>
  <si>
    <t>Clue</t>
  </si>
  <si>
    <t>Addepar</t>
  </si>
  <si>
    <t>80 Acres Farms</t>
  </si>
  <si>
    <t>Aiven</t>
  </si>
  <si>
    <t>Bally's Interactive</t>
  </si>
  <si>
    <t>Betterfly</t>
  </si>
  <si>
    <t>Cazoo</t>
  </si>
  <si>
    <t>Coda</t>
  </si>
  <si>
    <t>Lucid Diagnostics</t>
  </si>
  <si>
    <t>Mavenir</t>
  </si>
  <si>
    <t>Britishvolt</t>
  </si>
  <si>
    <t>Clutch</t>
  </si>
  <si>
    <t>Exotel</t>
  </si>
  <si>
    <t>Unico</t>
  </si>
  <si>
    <t>Tul</t>
  </si>
  <si>
    <t>Colombia</t>
  </si>
  <si>
    <t>American Robotics</t>
  </si>
  <si>
    <t>Luxury Presence</t>
  </si>
  <si>
    <t>RingCentral</t>
  </si>
  <si>
    <t>Fishbrain</t>
  </si>
  <si>
    <t>GoMechanic</t>
  </si>
  <si>
    <t>Rappi</t>
  </si>
  <si>
    <t>Argentina</t>
  </si>
  <si>
    <t>RateGenius</t>
  </si>
  <si>
    <t>XP</t>
  </si>
  <si>
    <t>PagBank</t>
  </si>
  <si>
    <t>Gramophone</t>
  </si>
  <si>
    <t>ClearCo</t>
  </si>
  <si>
    <t>Ignition</t>
  </si>
  <si>
    <t>Rebel Foods</t>
  </si>
  <si>
    <t>Captain Fresh</t>
  </si>
  <si>
    <t>Snappy</t>
  </si>
  <si>
    <t>DeHaat</t>
  </si>
  <si>
    <t>Black Shark</t>
  </si>
  <si>
    <t>Vial</t>
  </si>
  <si>
    <t>Carvana</t>
  </si>
  <si>
    <t>CoSchedule</t>
  </si>
  <si>
    <t>GoCanvas</t>
  </si>
  <si>
    <t>Jellyfish</t>
  </si>
  <si>
    <t>SmartNews</t>
  </si>
  <si>
    <t>Skit.ai</t>
  </si>
  <si>
    <t>Pier</t>
  </si>
  <si>
    <t>Blockchain.com</t>
  </si>
  <si>
    <t>Lattice</t>
  </si>
  <si>
    <t>Greenlight</t>
  </si>
  <si>
    <t>Cashfree Payments</t>
  </si>
  <si>
    <t>Mapbox</t>
  </si>
  <si>
    <t>Definitive Healthcare</t>
  </si>
  <si>
    <t>Career Karma</t>
  </si>
  <si>
    <t>Rock Content</t>
  </si>
  <si>
    <t>Jumio</t>
  </si>
  <si>
    <t>Intrinsic</t>
  </si>
  <si>
    <t>Citizen</t>
  </si>
  <si>
    <t>Limeade</t>
  </si>
  <si>
    <t>Paddle</t>
  </si>
  <si>
    <t>Till Payments</t>
  </si>
  <si>
    <t>Thinkific</t>
  </si>
  <si>
    <t>LEAD</t>
  </si>
  <si>
    <t>Parler</t>
  </si>
  <si>
    <t>GoBolt</t>
  </si>
  <si>
    <t>Relevel</t>
  </si>
  <si>
    <t>Cart.com</t>
  </si>
  <si>
    <t>100 Thieves</t>
  </si>
  <si>
    <t>Esper</t>
  </si>
  <si>
    <t>WHOOP</t>
  </si>
  <si>
    <t>Fate Therapeutics</t>
  </si>
  <si>
    <t>Century Therapeutics</t>
  </si>
  <si>
    <t>Editas Medicine</t>
  </si>
  <si>
    <t>Minute Media</t>
  </si>
  <si>
    <t>Integrate</t>
  </si>
  <si>
    <t>Huobi</t>
  </si>
  <si>
    <t>Bounce</t>
  </si>
  <si>
    <t>CareerArc</t>
  </si>
  <si>
    <t>CreateMe</t>
  </si>
  <si>
    <t>Lantern</t>
  </si>
  <si>
    <t>Mojo Vision</t>
  </si>
  <si>
    <t>SuperRare</t>
  </si>
  <si>
    <t>Cue</t>
  </si>
  <si>
    <t>SoundHound</t>
  </si>
  <si>
    <t>Socure</t>
  </si>
  <si>
    <t>Genesis</t>
  </si>
  <si>
    <t>Moglix</t>
  </si>
  <si>
    <t>Everlane</t>
  </si>
  <si>
    <t>Pecan AI</t>
  </si>
  <si>
    <t>Personetics</t>
  </si>
  <si>
    <t>Twine Solutions</t>
  </si>
  <si>
    <t>UpScalio</t>
  </si>
  <si>
    <t>Attentive</t>
  </si>
  <si>
    <t>Compass</t>
  </si>
  <si>
    <t>TCR2</t>
  </si>
  <si>
    <t>Butterfly Network</t>
  </si>
  <si>
    <t>Wyre</t>
  </si>
  <si>
    <t>Uniphore</t>
  </si>
  <si>
    <t>Harappa</t>
  </si>
  <si>
    <t>Graphcore</t>
  </si>
  <si>
    <t>Gousto</t>
  </si>
  <si>
    <t>Bilibili</t>
  </si>
  <si>
    <t>Octopus Network</t>
  </si>
  <si>
    <t>Seychelles</t>
  </si>
  <si>
    <t>PayU</t>
  </si>
  <si>
    <t>Element</t>
  </si>
  <si>
    <t>Willow</t>
  </si>
  <si>
    <t>Back Market</t>
  </si>
  <si>
    <t>Zoopla</t>
  </si>
  <si>
    <t>Lendis</t>
  </si>
  <si>
    <t>Chope</t>
  </si>
  <si>
    <t>Briza</t>
  </si>
  <si>
    <t>StreetBees</t>
  </si>
  <si>
    <t>Zhihu</t>
  </si>
  <si>
    <t>Homebot</t>
  </si>
  <si>
    <t>Health IQ</t>
  </si>
  <si>
    <t>Xiaomi</t>
  </si>
  <si>
    <t>YourGrocer</t>
  </si>
  <si>
    <t>Revelate</t>
  </si>
  <si>
    <t>E Inc.</t>
  </si>
  <si>
    <t>Improbable</t>
  </si>
  <si>
    <t>Modern Treasury</t>
  </si>
  <si>
    <t>Reach</t>
  </si>
  <si>
    <t>LeafLink</t>
  </si>
  <si>
    <t>Workmotion</t>
  </si>
  <si>
    <t>Apollo</t>
  </si>
  <si>
    <t>JD.ID</t>
  </si>
  <si>
    <t>Quanergy Systems</t>
  </si>
  <si>
    <t>Thumbtack</t>
  </si>
  <si>
    <t>Komodo Health</t>
  </si>
  <si>
    <t>Viant</t>
  </si>
  <si>
    <t>Freshly</t>
  </si>
  <si>
    <t>Balto</t>
  </si>
  <si>
    <t>Caribou</t>
  </si>
  <si>
    <t>Outschool</t>
  </si>
  <si>
    <t>Xentral</t>
  </si>
  <si>
    <t>Autobooks</t>
  </si>
  <si>
    <t>Convene</t>
  </si>
  <si>
    <t>Bol.com</t>
  </si>
  <si>
    <t>Share Now</t>
  </si>
  <si>
    <t>Alice</t>
  </si>
  <si>
    <t>Primer</t>
  </si>
  <si>
    <t>Brodmann17</t>
  </si>
  <si>
    <t>Digital Surge</t>
  </si>
  <si>
    <t>N-able Technologies</t>
  </si>
  <si>
    <t>ZenLedger</t>
  </si>
  <si>
    <t>Glints</t>
  </si>
  <si>
    <t>Buser</t>
  </si>
  <si>
    <t>Otonomo</t>
  </si>
  <si>
    <t>TechTarget</t>
  </si>
  <si>
    <t>Inscripta</t>
  </si>
  <si>
    <t>CyCognito</t>
  </si>
  <si>
    <t>Armis</t>
  </si>
  <si>
    <t>FireHydrant</t>
  </si>
  <si>
    <t>Nerdy</t>
  </si>
  <si>
    <t>Vanta</t>
  </si>
  <si>
    <t>Vedantu</t>
  </si>
  <si>
    <t>Plaid</t>
  </si>
  <si>
    <t>Recur Forever</t>
  </si>
  <si>
    <t>Relativity</t>
  </si>
  <si>
    <t>Integral Ad Science</t>
  </si>
  <si>
    <t>Houzz</t>
  </si>
  <si>
    <t>Grover</t>
  </si>
  <si>
    <t>Lithic</t>
  </si>
  <si>
    <t>Zywave</t>
  </si>
  <si>
    <t>Doma</t>
  </si>
  <si>
    <t>Weedmaps</t>
  </si>
  <si>
    <t>Adobe</t>
  </si>
  <si>
    <t>Perimeter 81</t>
  </si>
  <si>
    <t>Koinly</t>
  </si>
  <si>
    <t>Bridgit</t>
  </si>
  <si>
    <t>Filevine</t>
  </si>
  <si>
    <t>Moove</t>
  </si>
  <si>
    <t>Nextiva</t>
  </si>
  <si>
    <t>OneStudyTeam</t>
  </si>
  <si>
    <t>DataRails</t>
  </si>
  <si>
    <t>Elemy</t>
  </si>
  <si>
    <t>Route</t>
  </si>
  <si>
    <t>OYO</t>
  </si>
  <si>
    <t>Bybit</t>
  </si>
  <si>
    <t>Cognyte</t>
  </si>
  <si>
    <t>Polly</t>
  </si>
  <si>
    <t>Homebound</t>
  </si>
  <si>
    <t>Lora DiCarlo</t>
  </si>
  <si>
    <t>Bizzabo</t>
  </si>
  <si>
    <t>BloomTech</t>
  </si>
  <si>
    <t>Springbig</t>
  </si>
  <si>
    <t>SQZ Biotech</t>
  </si>
  <si>
    <t>Strava</t>
  </si>
  <si>
    <t>Synlogic</t>
  </si>
  <si>
    <t>Yapily</t>
  </si>
  <si>
    <t>DoorDash</t>
  </si>
  <si>
    <t>Happy Money</t>
  </si>
  <si>
    <t>Ula</t>
  </si>
  <si>
    <t>Wonder</t>
  </si>
  <si>
    <t>StudySmarter</t>
  </si>
  <si>
    <t>UalÃƒÂ¡</t>
  </si>
  <si>
    <t>Etermax</t>
  </si>
  <si>
    <t>Thread</t>
  </si>
  <si>
    <t>Sana</t>
  </si>
  <si>
    <t>Venafi</t>
  </si>
  <si>
    <t>Bitso</t>
  </si>
  <si>
    <t>Lyst</t>
  </si>
  <si>
    <t>CoinJar</t>
  </si>
  <si>
    <t>Bitfront</t>
  </si>
  <si>
    <t>Codexis</t>
  </si>
  <si>
    <t>Firework</t>
  </si>
  <si>
    <t>Plerk</t>
  </si>
  <si>
    <t>Proton.ai</t>
  </si>
  <si>
    <t>Infarm</t>
  </si>
  <si>
    <t>Wildlife Studios</t>
  </si>
  <si>
    <t>Hirect</t>
  </si>
  <si>
    <t>Ajaib</t>
  </si>
  <si>
    <t>ResearchGate</t>
  </si>
  <si>
    <t>BlockFi</t>
  </si>
  <si>
    <t>FutureLearn</t>
  </si>
  <si>
    <t>Inspectify</t>
  </si>
  <si>
    <t>Ledn</t>
  </si>
  <si>
    <t>NCX</t>
  </si>
  <si>
    <t>Spora Health</t>
  </si>
  <si>
    <t>Change Invest</t>
  </si>
  <si>
    <t>Zilch</t>
  </si>
  <si>
    <t>VerSe Innovation</t>
  </si>
  <si>
    <t>Carwow</t>
  </si>
  <si>
    <t>Lemon</t>
  </si>
  <si>
    <t>Quidax</t>
  </si>
  <si>
    <t>Menulog</t>
  </si>
  <si>
    <t>Assure</t>
  </si>
  <si>
    <t>GoodGood</t>
  </si>
  <si>
    <t>Muni Tienda</t>
  </si>
  <si>
    <t>SWVL</t>
  </si>
  <si>
    <t>SIRCLO</t>
  </si>
  <si>
    <t>Movidesk</t>
  </si>
  <si>
    <t>Trax</t>
  </si>
  <si>
    <t>Flash Coffee</t>
  </si>
  <si>
    <t>Natera</t>
  </si>
  <si>
    <t>Reynen Court</t>
  </si>
  <si>
    <t>Kitopi</t>
  </si>
  <si>
    <t>Devo</t>
  </si>
  <si>
    <t>GloriFi</t>
  </si>
  <si>
    <t>Synthego</t>
  </si>
  <si>
    <t>Splyt</t>
  </si>
  <si>
    <t>Capitolis</t>
  </si>
  <si>
    <t>Kavak</t>
  </si>
  <si>
    <t>Metaplex</t>
  </si>
  <si>
    <t>Ruangguru</t>
  </si>
  <si>
    <t>StoryBlocks</t>
  </si>
  <si>
    <t>Unchained Capital</t>
  </si>
  <si>
    <t>Homepoint</t>
  </si>
  <si>
    <t>Juni</t>
  </si>
  <si>
    <t>Chili Piper</t>
  </si>
  <si>
    <t>TealBook</t>
  </si>
  <si>
    <t>&amp;Open</t>
  </si>
  <si>
    <t>Wayflyer</t>
  </si>
  <si>
    <t>Lokalise</t>
  </si>
  <si>
    <t>D2L</t>
  </si>
  <si>
    <t>Dance</t>
  </si>
  <si>
    <t>Homeward</t>
  </si>
  <si>
    <t>Infogrid</t>
  </si>
  <si>
    <t>Kite</t>
  </si>
  <si>
    <t>UiPath</t>
  </si>
  <si>
    <t>OwnBackup</t>
  </si>
  <si>
    <t>Deliveroo Australia</t>
  </si>
  <si>
    <t>Properly</t>
  </si>
  <si>
    <t>Protocol</t>
  </si>
  <si>
    <t>Jimdo</t>
  </si>
  <si>
    <t>The Zebra</t>
  </si>
  <si>
    <t>Viber</t>
  </si>
  <si>
    <t>CaptivateIQ</t>
  </si>
  <si>
    <t>Apollo Insurance</t>
  </si>
  <si>
    <t>Nirvana Money</t>
  </si>
  <si>
    <t>Oatly</t>
  </si>
  <si>
    <t>Outside</t>
  </si>
  <si>
    <t>Rubicon Technologies</t>
  </si>
  <si>
    <t>Typeform</t>
  </si>
  <si>
    <t>Whispir</t>
  </si>
  <si>
    <t>Sema4</t>
  </si>
  <si>
    <t>iFit</t>
  </si>
  <si>
    <t>Ribbon</t>
  </si>
  <si>
    <t>Intercom</t>
  </si>
  <si>
    <t>Cardlytics</t>
  </si>
  <si>
    <t>Cloudinary</t>
  </si>
  <si>
    <t>Nestcoin</t>
  </si>
  <si>
    <t>Tricida</t>
  </si>
  <si>
    <t>Chipax</t>
  </si>
  <si>
    <t>Juniper</t>
  </si>
  <si>
    <t>Offerpad</t>
  </si>
  <si>
    <t>Juul</t>
  </si>
  <si>
    <t>InfluxData</t>
  </si>
  <si>
    <t>Wistia</t>
  </si>
  <si>
    <t>Ocavu</t>
  </si>
  <si>
    <t>Avast</t>
  </si>
  <si>
    <t>SendCloud</t>
  </si>
  <si>
    <t>Voly</t>
  </si>
  <si>
    <t>Wavely</t>
  </si>
  <si>
    <t>ZenBusiness</t>
  </si>
  <si>
    <t>Root Insurance</t>
  </si>
  <si>
    <t>Liftoff</t>
  </si>
  <si>
    <t>Plum</t>
  </si>
  <si>
    <t>HighRadius</t>
  </si>
  <si>
    <t>Amobee</t>
  </si>
  <si>
    <t>CloudFactory</t>
  </si>
  <si>
    <t>Faze Medicines</t>
  </si>
  <si>
    <t>EverBridge</t>
  </si>
  <si>
    <t>Repertoire Immune Medicines</t>
  </si>
  <si>
    <t>Beat</t>
  </si>
  <si>
    <t>Greece</t>
  </si>
  <si>
    <t>NanoString</t>
  </si>
  <si>
    <t>SADA</t>
  </si>
  <si>
    <t>Dock</t>
  </si>
  <si>
    <t>Domino Data Lab</t>
  </si>
  <si>
    <t>Varonis</t>
  </si>
  <si>
    <t>Practically</t>
  </si>
  <si>
    <t>Planetly</t>
  </si>
  <si>
    <t>KoinWorks</t>
  </si>
  <si>
    <t>Exodus</t>
  </si>
  <si>
    <t>Benitago Group</t>
  </si>
  <si>
    <t>Mythical Games</t>
  </si>
  <si>
    <t>Shippo</t>
  </si>
  <si>
    <t>Provi</t>
  </si>
  <si>
    <t>Rubius</t>
  </si>
  <si>
    <t>Snapdocs</t>
  </si>
  <si>
    <t>Studio</t>
  </si>
  <si>
    <t>Chime</t>
  </si>
  <si>
    <t>Checkmarx</t>
  </si>
  <si>
    <t>Smava</t>
  </si>
  <si>
    <t>Iron Ox</t>
  </si>
  <si>
    <t>Digital Currency Gruop</t>
  </si>
  <si>
    <t>BitMEX</t>
  </si>
  <si>
    <t>Signicat</t>
  </si>
  <si>
    <t>Argo AI</t>
  </si>
  <si>
    <t>Drop</t>
  </si>
  <si>
    <t>Tapps Games</t>
  </si>
  <si>
    <t>Help Scout</t>
  </si>
  <si>
    <t>Kry</t>
  </si>
  <si>
    <t>Notarize</t>
  </si>
  <si>
    <t>EquityZen</t>
  </si>
  <si>
    <t>Doubtnut</t>
  </si>
  <si>
    <t>Fifth Season</t>
  </si>
  <si>
    <t>Advata</t>
  </si>
  <si>
    <t>Springlane</t>
  </si>
  <si>
    <t>Recharge</t>
  </si>
  <si>
    <t>GoNuts</t>
  </si>
  <si>
    <t>Spreetail</t>
  </si>
  <si>
    <t>MindBody</t>
  </si>
  <si>
    <t>GoFundMe</t>
  </si>
  <si>
    <t>Carbon</t>
  </si>
  <si>
    <t>Fundbox</t>
  </si>
  <si>
    <t>Embroker</t>
  </si>
  <si>
    <t>Vee</t>
  </si>
  <si>
    <t>Callisto Media</t>
  </si>
  <si>
    <t>Antidote Health</t>
  </si>
  <si>
    <t>Elinvar</t>
  </si>
  <si>
    <t>Synapsica</t>
  </si>
  <si>
    <t>Volta</t>
  </si>
  <si>
    <t>Hotmart</t>
  </si>
  <si>
    <t>Loom</t>
  </si>
  <si>
    <t>Sales Boomerang</t>
  </si>
  <si>
    <t>AtoB</t>
  </si>
  <si>
    <t>InfoSum</t>
  </si>
  <si>
    <t>Clever Real Estate</t>
  </si>
  <si>
    <t>Collibra</t>
  </si>
  <si>
    <t>Side</t>
  </si>
  <si>
    <t>Ada Health</t>
  </si>
  <si>
    <t>Tiendanube</t>
  </si>
  <si>
    <t>Nuri</t>
  </si>
  <si>
    <t>Flipboard</t>
  </si>
  <si>
    <t>Flux Systems</t>
  </si>
  <si>
    <t>Qin1</t>
  </si>
  <si>
    <t>Playdots</t>
  </si>
  <si>
    <t>ExtraHop</t>
  </si>
  <si>
    <t>6sense</t>
  </si>
  <si>
    <t>Sinch</t>
  </si>
  <si>
    <t>MX</t>
  </si>
  <si>
    <t>Pacaso</t>
  </si>
  <si>
    <t>Sketch</t>
  </si>
  <si>
    <t>Udacity</t>
  </si>
  <si>
    <t>Linkfire</t>
  </si>
  <si>
    <t>Emitwise</t>
  </si>
  <si>
    <t>GSR</t>
  </si>
  <si>
    <t>VanHack</t>
  </si>
  <si>
    <t>Pavilion Data</t>
  </si>
  <si>
    <t>Nyriad</t>
  </si>
  <si>
    <t>Collage.com</t>
  </si>
  <si>
    <t>BioMarin</t>
  </si>
  <si>
    <t>Rev.com</t>
  </si>
  <si>
    <t>Atome</t>
  </si>
  <si>
    <t>First AML</t>
  </si>
  <si>
    <t>Foresight Insurance</t>
  </si>
  <si>
    <t>Built In</t>
  </si>
  <si>
    <t>TwinStrand</t>
  </si>
  <si>
    <t>Fivetran</t>
  </si>
  <si>
    <t>ActiveCampaign</t>
  </si>
  <si>
    <t>Tempo</t>
  </si>
  <si>
    <t>WazirX</t>
  </si>
  <si>
    <t>Spin</t>
  </si>
  <si>
    <t>Carsome</t>
  </si>
  <si>
    <t>Malaysia</t>
  </si>
  <si>
    <t>Pastel</t>
  </si>
  <si>
    <t>Truepill</t>
  </si>
  <si>
    <t>Westwing</t>
  </si>
  <si>
    <t>Zenjob</t>
  </si>
  <si>
    <t>Front</t>
  </si>
  <si>
    <t>Konfio</t>
  </si>
  <si>
    <t>Foxtrot</t>
  </si>
  <si>
    <t>Truiloo</t>
  </si>
  <si>
    <t>Pesto</t>
  </si>
  <si>
    <t>NYDIG</t>
  </si>
  <si>
    <t>Klarna</t>
  </si>
  <si>
    <t>Made.com</t>
  </si>
  <si>
    <t>Kitty Hawk</t>
  </si>
  <si>
    <t>Candidate Labs</t>
  </si>
  <si>
    <t>Curative</t>
  </si>
  <si>
    <t>Ouster</t>
  </si>
  <si>
    <t>Vesalius Therapeutics</t>
  </si>
  <si>
    <t>LivePerson</t>
  </si>
  <si>
    <t>Acast</t>
  </si>
  <si>
    <t>WorkRamp</t>
  </si>
  <si>
    <t>NextRoll</t>
  </si>
  <si>
    <t>Netflix</t>
  </si>
  <si>
    <t>Bitrise</t>
  </si>
  <si>
    <t>Hungary</t>
  </si>
  <si>
    <t>Patreon</t>
  </si>
  <si>
    <t>Propzy</t>
  </si>
  <si>
    <t>Vietnam</t>
  </si>
  <si>
    <t>Quicko</t>
  </si>
  <si>
    <t>Mode Analytics</t>
  </si>
  <si>
    <t>Compete</t>
  </si>
  <si>
    <t>Karbon</t>
  </si>
  <si>
    <t>SkipTheDishes</t>
  </si>
  <si>
    <t>Brighte</t>
  </si>
  <si>
    <t>Amber Group</t>
  </si>
  <si>
    <t>Capiter</t>
  </si>
  <si>
    <t>CommonBond</t>
  </si>
  <si>
    <t>DreamBox Learning</t>
  </si>
  <si>
    <t>Flowhub</t>
  </si>
  <si>
    <t>Lido Learning</t>
  </si>
  <si>
    <t>Pomelo Fashion</t>
  </si>
  <si>
    <t>Thailand</t>
  </si>
  <si>
    <t>Genome Medical</t>
  </si>
  <si>
    <t>BigBear.ai</t>
  </si>
  <si>
    <t>Realtor.com</t>
  </si>
  <si>
    <t>Simple Feast</t>
  </si>
  <si>
    <t>Rupeek</t>
  </si>
  <si>
    <t>Demandbase</t>
  </si>
  <si>
    <t>Xsight Labs</t>
  </si>
  <si>
    <t>Lawgeex</t>
  </si>
  <si>
    <t>Juniper Square</t>
  </si>
  <si>
    <t>Medium</t>
  </si>
  <si>
    <t>Kuda</t>
  </si>
  <si>
    <t>Sea</t>
  </si>
  <si>
    <t>2TM</t>
  </si>
  <si>
    <t>Urban Sports Club</t>
  </si>
  <si>
    <t>Hedvig</t>
  </si>
  <si>
    <t>GoodRx</t>
  </si>
  <si>
    <t>Apartment List</t>
  </si>
  <si>
    <t>Artnight</t>
  </si>
  <si>
    <t>Snagajob</t>
  </si>
  <si>
    <t>The Wing</t>
  </si>
  <si>
    <t>Viamo</t>
  </si>
  <si>
    <t>Immersive Labs</t>
  </si>
  <si>
    <t>54gene</t>
  </si>
  <si>
    <t>Fungible</t>
  </si>
  <si>
    <t>Skillz</t>
  </si>
  <si>
    <t>Argyle</t>
  </si>
  <si>
    <t>Loja Integrada</t>
  </si>
  <si>
    <t>ShipBob</t>
  </si>
  <si>
    <t>Reali</t>
  </si>
  <si>
    <t>Pix</t>
  </si>
  <si>
    <t>Packable</t>
  </si>
  <si>
    <t>Q4</t>
  </si>
  <si>
    <t>Skedulo</t>
  </si>
  <si>
    <t>Plato</t>
  </si>
  <si>
    <t>DataRobot</t>
  </si>
  <si>
    <t>Kogan</t>
  </si>
  <si>
    <t>Skillshare</t>
  </si>
  <si>
    <t>Mr. Yum</t>
  </si>
  <si>
    <t>ShopX</t>
  </si>
  <si>
    <t>NSO</t>
  </si>
  <si>
    <t>Tufin</t>
  </si>
  <si>
    <t>Hodlnaut</t>
  </si>
  <si>
    <t>Thirty Madison</t>
  </si>
  <si>
    <t>Fluke</t>
  </si>
  <si>
    <t>Warren</t>
  </si>
  <si>
    <t>AlayaCare</t>
  </si>
  <si>
    <t>Pliops</t>
  </si>
  <si>
    <t>Woven</t>
  </si>
  <si>
    <t>Edmodo</t>
  </si>
  <si>
    <t>Updater</t>
  </si>
  <si>
    <t>ContraFect</t>
  </si>
  <si>
    <t>ThredUp</t>
  </si>
  <si>
    <t>Anywell</t>
  </si>
  <si>
    <t>Almanac</t>
  </si>
  <si>
    <t>Core Scientific</t>
  </si>
  <si>
    <t>Orbit</t>
  </si>
  <si>
    <t>Calm</t>
  </si>
  <si>
    <t>Marketforce</t>
  </si>
  <si>
    <t>Expert360</t>
  </si>
  <si>
    <t>Guidewire</t>
  </si>
  <si>
    <t>Pollen</t>
  </si>
  <si>
    <t>Vedanta Biosciences</t>
  </si>
  <si>
    <t>GoHealth</t>
  </si>
  <si>
    <t>Nutanix</t>
  </si>
  <si>
    <t>Quanterix</t>
  </si>
  <si>
    <t>MadeiraMadeira</t>
  </si>
  <si>
    <t>Shogun</t>
  </si>
  <si>
    <t>Dooly</t>
  </si>
  <si>
    <t>Berkeley Lights</t>
  </si>
  <si>
    <t>DailyPay</t>
  </si>
  <si>
    <t>Haus</t>
  </si>
  <si>
    <t>Sweetgreen</t>
  </si>
  <si>
    <t>Warby Parker</t>
  </si>
  <si>
    <t>Labelbox</t>
  </si>
  <si>
    <t>Daily Harvest</t>
  </si>
  <si>
    <t>Mejuri</t>
  </si>
  <si>
    <t>Uberflip</t>
  </si>
  <si>
    <t>Article</t>
  </si>
  <si>
    <t>10X Genomics</t>
  </si>
  <si>
    <t>On Deck</t>
  </si>
  <si>
    <t>Nomad</t>
  </si>
  <si>
    <t>StubHub</t>
  </si>
  <si>
    <t>Zenius</t>
  </si>
  <si>
    <t>Healthcare.com</t>
  </si>
  <si>
    <t>The Org</t>
  </si>
  <si>
    <t>CarDekho</t>
  </si>
  <si>
    <t>Puppet</t>
  </si>
  <si>
    <t>Talkwalker</t>
  </si>
  <si>
    <t>Seegrid</t>
  </si>
  <si>
    <t>Nylas</t>
  </si>
  <si>
    <t>The Predictive Index</t>
  </si>
  <si>
    <t>Stedi</t>
  </si>
  <si>
    <t>FuboTV</t>
  </si>
  <si>
    <t>Hash</t>
  </si>
  <si>
    <t>Classkick</t>
  </si>
  <si>
    <t>OnlyFans</t>
  </si>
  <si>
    <t>Perceptive Automata</t>
  </si>
  <si>
    <t>Whereby</t>
  </si>
  <si>
    <t>Metigy</t>
  </si>
  <si>
    <t>Gatherly</t>
  </si>
  <si>
    <t>Clearco</t>
  </si>
  <si>
    <t>Imperfect Foods</t>
  </si>
  <si>
    <t>Shelf Engine</t>
  </si>
  <si>
    <t>Quantcast</t>
  </si>
  <si>
    <t>Sherpa</t>
  </si>
  <si>
    <t>CoinFLEX</t>
  </si>
  <si>
    <t>MissFresh</t>
  </si>
  <si>
    <t>Yabonza</t>
  </si>
  <si>
    <t>Metromile</t>
  </si>
  <si>
    <t>Allbirds</t>
  </si>
  <si>
    <t>TextNow</t>
  </si>
  <si>
    <t>Bikayi</t>
  </si>
  <si>
    <t>Brainbase</t>
  </si>
  <si>
    <t>Change.org</t>
  </si>
  <si>
    <t>Tapas Media</t>
  </si>
  <si>
    <t>Turntide</t>
  </si>
  <si>
    <t>Coinsquare</t>
  </si>
  <si>
    <t>InDebted</t>
  </si>
  <si>
    <t>Dover</t>
  </si>
  <si>
    <t>Included Health</t>
  </si>
  <si>
    <t>Soluto</t>
  </si>
  <si>
    <t>Eucalyptus</t>
  </si>
  <si>
    <t>Workstream</t>
  </si>
  <si>
    <t>Clarify Health</t>
  </si>
  <si>
    <t>Arete</t>
  </si>
  <si>
    <t>Boosted Commerce</t>
  </si>
  <si>
    <t>Owlet</t>
  </si>
  <si>
    <t>People.ai</t>
  </si>
  <si>
    <t>Wizeline</t>
  </si>
  <si>
    <t>AppGate</t>
  </si>
  <si>
    <t>Lunchbox</t>
  </si>
  <si>
    <t>Catalyst</t>
  </si>
  <si>
    <t>Smarsh</t>
  </si>
  <si>
    <t>Just Eat Takeaway</t>
  </si>
  <si>
    <t>BlueStacks</t>
  </si>
  <si>
    <t>Introhive</t>
  </si>
  <si>
    <t>Splice</t>
  </si>
  <si>
    <t>Forma.ai</t>
  </si>
  <si>
    <t>Arc</t>
  </si>
  <si>
    <t>M1</t>
  </si>
  <si>
    <t>SellerX</t>
  </si>
  <si>
    <t>Stint</t>
  </si>
  <si>
    <t>Capsule</t>
  </si>
  <si>
    <t>PACT Pharma</t>
  </si>
  <si>
    <t>Bright Money</t>
  </si>
  <si>
    <t>Heroes</t>
  </si>
  <si>
    <t>Aspire</t>
  </si>
  <si>
    <t>Zego</t>
  </si>
  <si>
    <t>The Mom Project</t>
  </si>
  <si>
    <t>Unstoppable Domains</t>
  </si>
  <si>
    <t>Kiavi</t>
  </si>
  <si>
    <t>Alto Pharmacy</t>
  </si>
  <si>
    <t>Cosuno</t>
  </si>
  <si>
    <t>Wave</t>
  </si>
  <si>
    <t>Senegal</t>
  </si>
  <si>
    <t>Tonal</t>
  </si>
  <si>
    <t>Bryter</t>
  </si>
  <si>
    <t>Involves</t>
  </si>
  <si>
    <t>CircleUp</t>
  </si>
  <si>
    <t>Papa</t>
  </si>
  <si>
    <t>Fraazo</t>
  </si>
  <si>
    <t>Babylon</t>
  </si>
  <si>
    <t>Airlift</t>
  </si>
  <si>
    <t>Spring</t>
  </si>
  <si>
    <t>SundaySky</t>
  </si>
  <si>
    <t>Apeel Sciences</t>
  </si>
  <si>
    <t>Ignite</t>
  </si>
  <si>
    <t>PuduTech</t>
  </si>
  <si>
    <t>Butler Hospitality</t>
  </si>
  <si>
    <t>Next Insurance</t>
  </si>
  <si>
    <t>Adwerx</t>
  </si>
  <si>
    <t>Emotive</t>
  </si>
  <si>
    <t>Cedar</t>
  </si>
  <si>
    <t>Remote</t>
  </si>
  <si>
    <t>Anodot</t>
  </si>
  <si>
    <t>SQream</t>
  </si>
  <si>
    <t>Bullish</t>
  </si>
  <si>
    <t>Transmit Security</t>
  </si>
  <si>
    <t>Thimble</t>
  </si>
  <si>
    <t>Syte</t>
  </si>
  <si>
    <t>Chessable</t>
  </si>
  <si>
    <t>Sendle</t>
  </si>
  <si>
    <t>Gorillas</t>
  </si>
  <si>
    <t>Celsius</t>
  </si>
  <si>
    <t>LetsGetChecked</t>
  </si>
  <si>
    <t>Perx Health</t>
  </si>
  <si>
    <t>WanderJaunt</t>
  </si>
  <si>
    <t>Bamboo Health</t>
  </si>
  <si>
    <t>Teleport</t>
  </si>
  <si>
    <t>Remesh</t>
  </si>
  <si>
    <t>Enjoy</t>
  </si>
  <si>
    <t>Crejo.Fun</t>
  </si>
  <si>
    <t>Stash Financial</t>
  </si>
  <si>
    <t>Stream</t>
  </si>
  <si>
    <t>Finleap Connect</t>
  </si>
  <si>
    <t>Abra</t>
  </si>
  <si>
    <t>Gavelytics</t>
  </si>
  <si>
    <t>Secfi</t>
  </si>
  <si>
    <t>Sundae</t>
  </si>
  <si>
    <t>Toppr</t>
  </si>
  <si>
    <t>Qumulo</t>
  </si>
  <si>
    <t>Parallel Wireless</t>
  </si>
  <si>
    <t>Oye Rickshaw</t>
  </si>
  <si>
    <t>Rows</t>
  </si>
  <si>
    <t>Baton</t>
  </si>
  <si>
    <t>Substack</t>
  </si>
  <si>
    <t>CommentSold</t>
  </si>
  <si>
    <t>HomeLight</t>
  </si>
  <si>
    <t>Modsy</t>
  </si>
  <si>
    <t>Volt Bank</t>
  </si>
  <si>
    <t>WhiteHat Jr</t>
  </si>
  <si>
    <t>StockX</t>
  </si>
  <si>
    <t>Sidecar Health</t>
  </si>
  <si>
    <t>Vezeeta</t>
  </si>
  <si>
    <t>Bright Machines</t>
  </si>
  <si>
    <t>HealthMatch</t>
  </si>
  <si>
    <t>Nova Benefits</t>
  </si>
  <si>
    <t>Una Brands</t>
  </si>
  <si>
    <t>Banxa</t>
  </si>
  <si>
    <t>SafeGraph</t>
  </si>
  <si>
    <t>Postscript</t>
  </si>
  <si>
    <t>Bitpanda</t>
  </si>
  <si>
    <t>Sunday</t>
  </si>
  <si>
    <t>Bestow</t>
  </si>
  <si>
    <t>Feather</t>
  </si>
  <si>
    <t>Give Legacy</t>
  </si>
  <si>
    <t>Aura</t>
  </si>
  <si>
    <t>Pipl</t>
  </si>
  <si>
    <t>Vouch</t>
  </si>
  <si>
    <t>Voyage SMS</t>
  </si>
  <si>
    <t>Kune</t>
  </si>
  <si>
    <t>Mark43</t>
  </si>
  <si>
    <t>Ro</t>
  </si>
  <si>
    <t>Bungalow</t>
  </si>
  <si>
    <t>Mindgeek</t>
  </si>
  <si>
    <t>Ebanx</t>
  </si>
  <si>
    <t>Community</t>
  </si>
  <si>
    <t>Sourcegraph</t>
  </si>
  <si>
    <t>Frubana</t>
  </si>
  <si>
    <t>SuperLearn</t>
  </si>
  <si>
    <t>Tray.io</t>
  </si>
  <si>
    <t>SummerBio</t>
  </si>
  <si>
    <t>Aqgromalin</t>
  </si>
  <si>
    <t>Bonsai</t>
  </si>
  <si>
    <t>BitOasis</t>
  </si>
  <si>
    <t>Finite State</t>
  </si>
  <si>
    <t>JOKR</t>
  </si>
  <si>
    <t>Zumper</t>
  </si>
  <si>
    <t>Circulo Health</t>
  </si>
  <si>
    <t>Swappie</t>
  </si>
  <si>
    <t>Wealthsimple</t>
  </si>
  <si>
    <t>Weee!</t>
  </si>
  <si>
    <t>Tonkean</t>
  </si>
  <si>
    <t>Airtame</t>
  </si>
  <si>
    <t>OpenWeb</t>
  </si>
  <si>
    <t>Swyft</t>
  </si>
  <si>
    <t>Crehana</t>
  </si>
  <si>
    <t>Peru</t>
  </si>
  <si>
    <t>JetClosing</t>
  </si>
  <si>
    <t>Sami</t>
  </si>
  <si>
    <t>Breathe</t>
  </si>
  <si>
    <t>Hunty</t>
  </si>
  <si>
    <t>TIFIN</t>
  </si>
  <si>
    <t>Addi</t>
  </si>
  <si>
    <t>Wave Sports and Entertainment</t>
  </si>
  <si>
    <t>Automox</t>
  </si>
  <si>
    <t>Berlin Brands Group</t>
  </si>
  <si>
    <t>Sanar</t>
  </si>
  <si>
    <t>Freetrade</t>
  </si>
  <si>
    <t>Albert</t>
  </si>
  <si>
    <t>Keepe</t>
  </si>
  <si>
    <t>Liongard</t>
  </si>
  <si>
    <t>Ziroom</t>
  </si>
  <si>
    <t>OneTrust</t>
  </si>
  <si>
    <t>Daniel Wellington</t>
  </si>
  <si>
    <t>The Grommet</t>
  </si>
  <si>
    <t>Stashaway</t>
  </si>
  <si>
    <t>Preply</t>
  </si>
  <si>
    <t>Starship</t>
  </si>
  <si>
    <t>iPrice Group</t>
  </si>
  <si>
    <t>Memmo</t>
  </si>
  <si>
    <t>Lummo</t>
  </si>
  <si>
    <t>ID.me</t>
  </si>
  <si>
    <t>KiwiCo</t>
  </si>
  <si>
    <t>Bond</t>
  </si>
  <si>
    <t>CyberCube</t>
  </si>
  <si>
    <t>Dutchie</t>
  </si>
  <si>
    <t>Eruditus</t>
  </si>
  <si>
    <t>Afterverse</t>
  </si>
  <si>
    <t>Superhuman</t>
  </si>
  <si>
    <t>Food52</t>
  </si>
  <si>
    <t>5B Solar</t>
  </si>
  <si>
    <t>Favo</t>
  </si>
  <si>
    <t>PolicyGenius</t>
  </si>
  <si>
    <t>Yojak</t>
  </si>
  <si>
    <t>Stord</t>
  </si>
  <si>
    <t>Gather</t>
  </si>
  <si>
    <t>Shef</t>
  </si>
  <si>
    <t>Esme Learning</t>
  </si>
  <si>
    <t>Kaodim</t>
  </si>
  <si>
    <t>Rain</t>
  </si>
  <si>
    <t>Bahrain</t>
  </si>
  <si>
    <t>Udayy</t>
  </si>
  <si>
    <t>Curve</t>
  </si>
  <si>
    <t>Impala</t>
  </si>
  <si>
    <t>Truck It In</t>
  </si>
  <si>
    <t>Replicated</t>
  </si>
  <si>
    <t>Tomo</t>
  </si>
  <si>
    <t>Getta</t>
  </si>
  <si>
    <t>BookClub</t>
  </si>
  <si>
    <t>SumUp</t>
  </si>
  <si>
    <t>Tempus Ex</t>
  </si>
  <si>
    <t>Daloopa</t>
  </si>
  <si>
    <t>Uncapped</t>
  </si>
  <si>
    <t>Akerna</t>
  </si>
  <si>
    <t>Terminus</t>
  </si>
  <si>
    <t>VTEX</t>
  </si>
  <si>
    <t>Dazn</t>
  </si>
  <si>
    <t>Lacework</t>
  </si>
  <si>
    <t>Kontist</t>
  </si>
  <si>
    <t>Coterie Insurance</t>
  </si>
  <si>
    <t>Buenbit</t>
  </si>
  <si>
    <t>BeyondMinds</t>
  </si>
  <si>
    <t>MFine</t>
  </si>
  <si>
    <t>Picsart</t>
  </si>
  <si>
    <t>Zak</t>
  </si>
  <si>
    <t>AliExpress Russia</t>
  </si>
  <si>
    <t>Russia</t>
  </si>
  <si>
    <t>Subspace</t>
  </si>
  <si>
    <t>Section4</t>
  </si>
  <si>
    <t>Tripwire</t>
  </si>
  <si>
    <t>Meero</t>
  </si>
  <si>
    <t>Reef</t>
  </si>
  <si>
    <t>divvyDOSE</t>
  </si>
  <si>
    <t>Progrexion</t>
  </si>
  <si>
    <t>SEND</t>
  </si>
  <si>
    <t>Colossus</t>
  </si>
  <si>
    <t>Mainstreet</t>
  </si>
  <si>
    <t>Ideoclick</t>
  </si>
  <si>
    <t>Vise</t>
  </si>
  <si>
    <t>Bizpay</t>
  </si>
  <si>
    <t>Thrasio</t>
  </si>
  <si>
    <t>Avo</t>
  </si>
  <si>
    <t>Wahoo Fitness</t>
  </si>
  <si>
    <t>Sigfox</t>
  </si>
  <si>
    <t>Clyde</t>
  </si>
  <si>
    <t>Xiaohongshu</t>
  </si>
  <si>
    <t>Facily</t>
  </si>
  <si>
    <t>QuintoAndar</t>
  </si>
  <si>
    <t>Humble</t>
  </si>
  <si>
    <t>Halcyon Health</t>
  </si>
  <si>
    <t>Ahead</t>
  </si>
  <si>
    <t>Goodfood</t>
  </si>
  <si>
    <t>Workrise</t>
  </si>
  <si>
    <t>Fast</t>
  </si>
  <si>
    <t>Legible</t>
  </si>
  <si>
    <t>Rasa</t>
  </si>
  <si>
    <t>Furlenco</t>
  </si>
  <si>
    <t>Grove Collaborative</t>
  </si>
  <si>
    <t>Curology</t>
  </si>
  <si>
    <t>Trell</t>
  </si>
  <si>
    <t>Knock</t>
  </si>
  <si>
    <t>Talis Biomedical</t>
  </si>
  <si>
    <t>Sezzle</t>
  </si>
  <si>
    <t>Adaptive Biotechnologies</t>
  </si>
  <si>
    <t>Hyperscience</t>
  </si>
  <si>
    <t>WeDoctor</t>
  </si>
  <si>
    <t>OKCredit</t>
  </si>
  <si>
    <t>Lido</t>
  </si>
  <si>
    <t>Virgin Hyperloop</t>
  </si>
  <si>
    <t>Trustly</t>
  </si>
  <si>
    <t>Liv Up</t>
  </si>
  <si>
    <t>Defined.ai</t>
  </si>
  <si>
    <t>Rhino</t>
  </si>
  <si>
    <t>Protonn</t>
  </si>
  <si>
    <t>BitTitan</t>
  </si>
  <si>
    <t>Ozy Media</t>
  </si>
  <si>
    <t>Genius</t>
  </si>
  <si>
    <t>Treehouse</t>
  </si>
  <si>
    <t>Casper</t>
  </si>
  <si>
    <t>Tanium</t>
  </si>
  <si>
    <t>Flockjay</t>
  </si>
  <si>
    <t>Pagarbook</t>
  </si>
  <si>
    <t>Katerra</t>
  </si>
  <si>
    <t>Lambda School</t>
  </si>
  <si>
    <t>Madefire</t>
  </si>
  <si>
    <t>HuffPo</t>
  </si>
  <si>
    <t>Clumio</t>
  </si>
  <si>
    <t>DJI</t>
  </si>
  <si>
    <t>Ninjacart</t>
  </si>
  <si>
    <t>Limelight</t>
  </si>
  <si>
    <t>Hubba</t>
  </si>
  <si>
    <t>Privitar</t>
  </si>
  <si>
    <t>Postmates</t>
  </si>
  <si>
    <t>Pocketmath</t>
  </si>
  <si>
    <t>Aura Financial</t>
  </si>
  <si>
    <t>Simple</t>
  </si>
  <si>
    <t>Pulse Secure</t>
  </si>
  <si>
    <t>Breather</t>
  </si>
  <si>
    <t>Actifio</t>
  </si>
  <si>
    <t>Zinier</t>
  </si>
  <si>
    <t>Aya</t>
  </si>
  <si>
    <t>Domio</t>
  </si>
  <si>
    <t>Bridge Connector</t>
  </si>
  <si>
    <t>Tidepool</t>
  </si>
  <si>
    <t>Igenous</t>
  </si>
  <si>
    <t>Scoop</t>
  </si>
  <si>
    <t>Worksmith</t>
  </si>
  <si>
    <t>Rubica</t>
  </si>
  <si>
    <t>Bossa Nova</t>
  </si>
  <si>
    <t>Remedy</t>
  </si>
  <si>
    <t>Knotel</t>
  </si>
  <si>
    <t>Cheetah</t>
  </si>
  <si>
    <t>CodeCombat</t>
  </si>
  <si>
    <t>Quibi</t>
  </si>
  <si>
    <t>GetYourGuide</t>
  </si>
  <si>
    <t>OLX India</t>
  </si>
  <si>
    <t>Chef</t>
  </si>
  <si>
    <t>TheWrap</t>
  </si>
  <si>
    <t>HumanForest</t>
  </si>
  <si>
    <t>Air</t>
  </si>
  <si>
    <t>NS8</t>
  </si>
  <si>
    <t>Bleacher Report</t>
  </si>
  <si>
    <t>HubHaus</t>
  </si>
  <si>
    <t>Swing Education</t>
  </si>
  <si>
    <t>Awok</t>
  </si>
  <si>
    <t>Big Fish Games</t>
  </si>
  <si>
    <t>GoBear</t>
  </si>
  <si>
    <t>MakeMyTrip</t>
  </si>
  <si>
    <t>kununu</t>
  </si>
  <si>
    <t>Superloop</t>
  </si>
  <si>
    <t>Spaces</t>
  </si>
  <si>
    <t>StreamSets</t>
  </si>
  <si>
    <t>Docly</t>
  </si>
  <si>
    <t>Mapify</t>
  </si>
  <si>
    <t>Lumina Networks</t>
  </si>
  <si>
    <t>HopSkipDrive</t>
  </si>
  <si>
    <t>Eatsy</t>
  </si>
  <si>
    <t>The Appraisal Lane</t>
  </si>
  <si>
    <t>Thriver</t>
  </si>
  <si>
    <t>Vesta</t>
  </si>
  <si>
    <t>Buy.com / Rakuten</t>
  </si>
  <si>
    <t>tZero</t>
  </si>
  <si>
    <t>Pared</t>
  </si>
  <si>
    <t>Zeitgold</t>
  </si>
  <si>
    <t>Perkbox</t>
  </si>
  <si>
    <t>Sorabel</t>
  </si>
  <si>
    <t>Lighter Capital</t>
  </si>
  <si>
    <t>Curefit</t>
  </si>
  <si>
    <t>Snaptravel</t>
  </si>
  <si>
    <t>Optimizely</t>
  </si>
  <si>
    <t>Skyscanner</t>
  </si>
  <si>
    <t>Yelp</t>
  </si>
  <si>
    <t>Zilingo</t>
  </si>
  <si>
    <t>PaySense</t>
  </si>
  <si>
    <t>OnDeck</t>
  </si>
  <si>
    <t>Sharethrough</t>
  </si>
  <si>
    <t>Kongregate</t>
  </si>
  <si>
    <t>Havenly</t>
  </si>
  <si>
    <t>G2</t>
  </si>
  <si>
    <t>Hired</t>
  </si>
  <si>
    <t>Engine eCommerce</t>
  </si>
  <si>
    <t>Byton</t>
  </si>
  <si>
    <t>Gojek</t>
  </si>
  <si>
    <t>ScaleFactor</t>
  </si>
  <si>
    <t>Dark</t>
  </si>
  <si>
    <t>Atlas Obscura</t>
  </si>
  <si>
    <t>Navi</t>
  </si>
  <si>
    <t>PaisaBazaar</t>
  </si>
  <si>
    <t>Redox</t>
  </si>
  <si>
    <t>Conga</t>
  </si>
  <si>
    <t>Stockwell AI</t>
  </si>
  <si>
    <t>SynapseFI</t>
  </si>
  <si>
    <t>ScaleFocus</t>
  </si>
  <si>
    <t>Bulgaria</t>
  </si>
  <si>
    <t>Her Campus Media</t>
  </si>
  <si>
    <t>Integrate.ai</t>
  </si>
  <si>
    <t>The Athletic</t>
  </si>
  <si>
    <t>Lastline</t>
  </si>
  <si>
    <t>Builder</t>
  </si>
  <si>
    <t>Outdoorsy</t>
  </si>
  <si>
    <t>SpotHero</t>
  </si>
  <si>
    <t>Credit Sesame</t>
  </si>
  <si>
    <t>Circ</t>
  </si>
  <si>
    <t>Descartes Labs</t>
  </si>
  <si>
    <t>MakerBot</t>
  </si>
  <si>
    <t>CrowdStreet</t>
  </si>
  <si>
    <t>Loftium</t>
  </si>
  <si>
    <t>BookMyShow</t>
  </si>
  <si>
    <t>The Sill</t>
  </si>
  <si>
    <t>Instructure</t>
  </si>
  <si>
    <t>Bluprint</t>
  </si>
  <si>
    <t>Acorns</t>
  </si>
  <si>
    <t>Teamwork</t>
  </si>
  <si>
    <t>Cvent</t>
  </si>
  <si>
    <t>PickYourTrail</t>
  </si>
  <si>
    <t>Glitch</t>
  </si>
  <si>
    <t>Kapten / Free Now</t>
  </si>
  <si>
    <t>Samsara</t>
  </si>
  <si>
    <t>Stay Alfred</t>
  </si>
  <si>
    <t>Dotscience</t>
  </si>
  <si>
    <t>Divvy</t>
  </si>
  <si>
    <t>Agoda</t>
  </si>
  <si>
    <t>Rubrik</t>
  </si>
  <si>
    <t>Intapp</t>
  </si>
  <si>
    <t>Datera</t>
  </si>
  <si>
    <t>Magicbricks</t>
  </si>
  <si>
    <t>Lendingkart</t>
  </si>
  <si>
    <t>Masse</t>
  </si>
  <si>
    <t>Quartz</t>
  </si>
  <si>
    <t>Ridecell</t>
  </si>
  <si>
    <t>Veem</t>
  </si>
  <si>
    <t>Sift</t>
  </si>
  <si>
    <t>TicketSwap</t>
  </si>
  <si>
    <t>Workfront</t>
  </si>
  <si>
    <t>Deliv</t>
  </si>
  <si>
    <t>Mercos</t>
  </si>
  <si>
    <t>Kickstarter</t>
  </si>
  <si>
    <t>Intersect</t>
  </si>
  <si>
    <t>BetterCloud</t>
  </si>
  <si>
    <t>WeFit</t>
  </si>
  <si>
    <t>Mixpanel</t>
  </si>
  <si>
    <t>Hireology</t>
  </si>
  <si>
    <t>Datto</t>
  </si>
  <si>
    <t>Revolut</t>
  </si>
  <si>
    <t>Cadre</t>
  </si>
  <si>
    <t>Jump</t>
  </si>
  <si>
    <t>Numbrs</t>
  </si>
  <si>
    <t>SalesLoft</t>
  </si>
  <si>
    <t>Airy Rooms</t>
  </si>
  <si>
    <t>Validity</t>
  </si>
  <si>
    <t>Flatiron School</t>
  </si>
  <si>
    <t>Rubicon Project</t>
  </si>
  <si>
    <t>Segment</t>
  </si>
  <si>
    <t>OPay</t>
  </si>
  <si>
    <t>ThoughtSpot</t>
  </si>
  <si>
    <t>Andela</t>
  </si>
  <si>
    <t>Workable</t>
  </si>
  <si>
    <t>Cloudera</t>
  </si>
  <si>
    <t>League</t>
  </si>
  <si>
    <t>Oriente</t>
  </si>
  <si>
    <t>Element AI</t>
  </si>
  <si>
    <t>Deputy</t>
  </si>
  <si>
    <t>Castlight Health</t>
  </si>
  <si>
    <t>Trivago</t>
  </si>
  <si>
    <t>LiveTiles</t>
  </si>
  <si>
    <t>Namely</t>
  </si>
  <si>
    <t>Culture Trip</t>
  </si>
  <si>
    <t>Sandbox VR</t>
  </si>
  <si>
    <t>Virtudent</t>
  </si>
  <si>
    <t>Monese</t>
  </si>
  <si>
    <t>Automatic</t>
  </si>
  <si>
    <t>Flynote</t>
  </si>
  <si>
    <t>Care.com</t>
  </si>
  <si>
    <t>AirMap</t>
  </si>
  <si>
    <t>PicoBrew</t>
  </si>
  <si>
    <t>Lime</t>
  </si>
  <si>
    <t>Transfix</t>
  </si>
  <si>
    <t>Yoco</t>
  </si>
  <si>
    <t>South Africa</t>
  </si>
  <si>
    <t>Renmoney</t>
  </si>
  <si>
    <t>App Annie</t>
  </si>
  <si>
    <t>OpenX</t>
  </si>
  <si>
    <t>PayJoy</t>
  </si>
  <si>
    <t>Shipsi</t>
  </si>
  <si>
    <t>Migo</t>
  </si>
  <si>
    <t>Automation Anywhere</t>
  </si>
  <si>
    <t>Qwick</t>
  </si>
  <si>
    <t>Stoqo</t>
  </si>
  <si>
    <t>Divergent 3D</t>
  </si>
  <si>
    <t>Ada Support</t>
  </si>
  <si>
    <t>UPshow</t>
  </si>
  <si>
    <t>Horizn Studios</t>
  </si>
  <si>
    <t>Welkin Health</t>
  </si>
  <si>
    <t>Jiobit</t>
  </si>
  <si>
    <t>TutorMundi</t>
  </si>
  <si>
    <t>Cheddar</t>
  </si>
  <si>
    <t>Zenefits</t>
  </si>
  <si>
    <t>Oscar Health</t>
  </si>
  <si>
    <t>Simon Data</t>
  </si>
  <si>
    <t>PowerReviews</t>
  </si>
  <si>
    <t>Singular</t>
  </si>
  <si>
    <t>When I Work</t>
  </si>
  <si>
    <t>Ike</t>
  </si>
  <si>
    <t>Freshbooks</t>
  </si>
  <si>
    <t>Politico / Protocol</t>
  </si>
  <si>
    <t>Bringg</t>
  </si>
  <si>
    <t>Klook</t>
  </si>
  <si>
    <t>GumGum</t>
  </si>
  <si>
    <t>Kueski</t>
  </si>
  <si>
    <t>Zum</t>
  </si>
  <si>
    <t>Hipcamp</t>
  </si>
  <si>
    <t>Motif Investing</t>
  </si>
  <si>
    <t>BlackBuck</t>
  </si>
  <si>
    <t>ContaAzul</t>
  </si>
  <si>
    <t>Labster</t>
  </si>
  <si>
    <t>Tor</t>
  </si>
  <si>
    <t>Dispatch</t>
  </si>
  <si>
    <t>Influitive</t>
  </si>
  <si>
    <t>CarGurus</t>
  </si>
  <si>
    <t>Funding Societies</t>
  </si>
  <si>
    <t>CleverTap</t>
  </si>
  <si>
    <t>CrowdRiff</t>
  </si>
  <si>
    <t>Grailed</t>
  </si>
  <si>
    <t>LumenAd</t>
  </si>
  <si>
    <t>Purse</t>
  </si>
  <si>
    <t>SquadVoice</t>
  </si>
  <si>
    <t>Shop101</t>
  </si>
  <si>
    <t>Akulaku</t>
  </si>
  <si>
    <t>Parsable</t>
  </si>
  <si>
    <t>Kodiak Robotics</t>
  </si>
  <si>
    <t>Dude Solutions</t>
  </si>
  <si>
    <t>SweetEscape</t>
  </si>
  <si>
    <t>TouchBistro</t>
  </si>
  <si>
    <t>Envoy</t>
  </si>
  <si>
    <t>DataStax</t>
  </si>
  <si>
    <t>Xerpa</t>
  </si>
  <si>
    <t>RedDoorz</t>
  </si>
  <si>
    <t>Zoox</t>
  </si>
  <si>
    <t>EasyPost</t>
  </si>
  <si>
    <t>Clearbanc</t>
  </si>
  <si>
    <t>BeeTech</t>
  </si>
  <si>
    <t>NuoDB</t>
  </si>
  <si>
    <t>Rhumbix</t>
  </si>
  <si>
    <t>Atsu</t>
  </si>
  <si>
    <t>Geekwire</t>
  </si>
  <si>
    <t>FloQast</t>
  </si>
  <si>
    <t>Omie</t>
  </si>
  <si>
    <t>Clinc</t>
  </si>
  <si>
    <t>Lighthouse Labs</t>
  </si>
  <si>
    <t>LoopMe</t>
  </si>
  <si>
    <t>CipherTrace</t>
  </si>
  <si>
    <t>Elliptic</t>
  </si>
  <si>
    <t>Zest AI</t>
  </si>
  <si>
    <t>Unison</t>
  </si>
  <si>
    <t>Button</t>
  </si>
  <si>
    <t>Eden / Managed By Q</t>
  </si>
  <si>
    <t>BVAccel</t>
  </si>
  <si>
    <t>Kenoby</t>
  </si>
  <si>
    <t>Connected</t>
  </si>
  <si>
    <t>GetNinjas</t>
  </si>
  <si>
    <t>Spyce</t>
  </si>
  <si>
    <t>Creditas</t>
  </si>
  <si>
    <t>Lytics</t>
  </si>
  <si>
    <t>Slice Labs</t>
  </si>
  <si>
    <t>TechAdvance</t>
  </si>
  <si>
    <t>Zola</t>
  </si>
  <si>
    <t>Sage Therapeutics</t>
  </si>
  <si>
    <t>Branch Metrics</t>
  </si>
  <si>
    <t>Newfront Insurance</t>
  </si>
  <si>
    <t>Virta Health</t>
  </si>
  <si>
    <t>Group Nine Media</t>
  </si>
  <si>
    <t>Payfactors</t>
  </si>
  <si>
    <t>Nav</t>
  </si>
  <si>
    <t>AskNicely</t>
  </si>
  <si>
    <t>RainFocus</t>
  </si>
  <si>
    <t>BounceX</t>
  </si>
  <si>
    <t>Wordstream</t>
  </si>
  <si>
    <t>BusBud</t>
  </si>
  <si>
    <t>Borrowell</t>
  </si>
  <si>
    <t>PerkSpot</t>
  </si>
  <si>
    <t>Bitfarms</t>
  </si>
  <si>
    <t>Iflix</t>
  </si>
  <si>
    <t>Gympass</t>
  </si>
  <si>
    <t>Minted</t>
  </si>
  <si>
    <t>Traveloka</t>
  </si>
  <si>
    <t>Arrive Logistics</t>
  </si>
  <si>
    <t>Jetty</t>
  </si>
  <si>
    <t>Opencare</t>
  </si>
  <si>
    <t>Anagram</t>
  </si>
  <si>
    <t>G/O Media Group</t>
  </si>
  <si>
    <t>DSCO</t>
  </si>
  <si>
    <t>Tripbam</t>
  </si>
  <si>
    <t>Avantage Entertainment</t>
  </si>
  <si>
    <t>Alegion</t>
  </si>
  <si>
    <t>AllyO</t>
  </si>
  <si>
    <t>Mews</t>
  </si>
  <si>
    <t>PeopleGrove</t>
  </si>
  <si>
    <t>The Muse</t>
  </si>
  <si>
    <t>ClassPass</t>
  </si>
  <si>
    <t>eGym</t>
  </si>
  <si>
    <t>Industrious</t>
  </si>
  <si>
    <t>1stdibs</t>
  </si>
  <si>
    <t>ThirdLove</t>
  </si>
  <si>
    <t>Shuttl</t>
  </si>
  <si>
    <t>Jobcase</t>
  </si>
  <si>
    <t>Dynamic Signal</t>
  </si>
  <si>
    <t>FiscalNote</t>
  </si>
  <si>
    <t>Sauce Labs</t>
  </si>
  <si>
    <t>Humu</t>
  </si>
  <si>
    <t>Coding Dojo</t>
  </si>
  <si>
    <t>Instamojo</t>
  </si>
  <si>
    <t>Synergysuite</t>
  </si>
  <si>
    <t>Atlanta Tech Village</t>
  </si>
  <si>
    <t>Capillary</t>
  </si>
  <si>
    <t>The Modist</t>
  </si>
  <si>
    <t>Booksy</t>
  </si>
  <si>
    <t>Flymya</t>
  </si>
  <si>
    <t>Myanmar</t>
  </si>
  <si>
    <t>PatientPop</t>
  </si>
  <si>
    <t>Earnin</t>
  </si>
  <si>
    <t>Wonolo</t>
  </si>
  <si>
    <t>Moovel</t>
  </si>
  <si>
    <t>Crayon</t>
  </si>
  <si>
    <t>Pana</t>
  </si>
  <si>
    <t>Sensibill</t>
  </si>
  <si>
    <t>Usermind</t>
  </si>
  <si>
    <t>Incredible Health</t>
  </si>
  <si>
    <t>Currency</t>
  </si>
  <si>
    <t>GOAT Group</t>
  </si>
  <si>
    <t>Le Tote</t>
  </si>
  <si>
    <t>Levelset</t>
  </si>
  <si>
    <t>Pebblepost</t>
  </si>
  <si>
    <t>WhyHotel</t>
  </si>
  <si>
    <t>KeepTruckin</t>
  </si>
  <si>
    <t>AdRoll</t>
  </si>
  <si>
    <t>Rover</t>
  </si>
  <si>
    <t>uShip</t>
  </si>
  <si>
    <t>SkySlope</t>
  </si>
  <si>
    <t>Siteimprove</t>
  </si>
  <si>
    <t>AngelList</t>
  </si>
  <si>
    <t>Zenoti</t>
  </si>
  <si>
    <t>DialSource</t>
  </si>
  <si>
    <t>Adara</t>
  </si>
  <si>
    <t>Claravine</t>
  </si>
  <si>
    <t>Kazoo</t>
  </si>
  <si>
    <t>Snap Finance</t>
  </si>
  <si>
    <t>Zerto</t>
  </si>
  <si>
    <t>RigUp</t>
  </si>
  <si>
    <t>FabHotels</t>
  </si>
  <si>
    <t>Hibob</t>
  </si>
  <si>
    <t>Maven</t>
  </si>
  <si>
    <t>Blume Global</t>
  </si>
  <si>
    <t>Catalant</t>
  </si>
  <si>
    <t>Starship Technologies</t>
  </si>
  <si>
    <t>Loftsmart</t>
  </si>
  <si>
    <t>Iris Nova</t>
  </si>
  <si>
    <t>Cuyana</t>
  </si>
  <si>
    <t>Amplero</t>
  </si>
  <si>
    <t>Polarr</t>
  </si>
  <si>
    <t>TravelTriangle</t>
  </si>
  <si>
    <t>OneWeb</t>
  </si>
  <si>
    <t>HOOQ</t>
  </si>
  <si>
    <t>Blueground</t>
  </si>
  <si>
    <t>Mogo</t>
  </si>
  <si>
    <t>DISCO</t>
  </si>
  <si>
    <t>Raken</t>
  </si>
  <si>
    <t>Oh My Green</t>
  </si>
  <si>
    <t>Bevi</t>
  </si>
  <si>
    <t>Opal</t>
  </si>
  <si>
    <t>Bcredi</t>
  </si>
  <si>
    <t>Make School</t>
  </si>
  <si>
    <t>Pivot3</t>
  </si>
  <si>
    <t>B8ta</t>
  </si>
  <si>
    <t>Fareportal</t>
  </si>
  <si>
    <t>Ecobee</t>
  </si>
  <si>
    <t>Passport</t>
  </si>
  <si>
    <t>Peerspace</t>
  </si>
  <si>
    <t>GoSpotCheck</t>
  </si>
  <si>
    <t>Consider.co</t>
  </si>
  <si>
    <t>Nativo</t>
  </si>
  <si>
    <t>TripActions</t>
  </si>
  <si>
    <t>Lyric</t>
  </si>
  <si>
    <t>Rangle</t>
  </si>
  <si>
    <t>O'Reilly Media</t>
  </si>
  <si>
    <t>OutboundEngine</t>
  </si>
  <si>
    <t>Overtime</t>
  </si>
  <si>
    <t>Jama</t>
  </si>
  <si>
    <t>Element Analytics</t>
  </si>
  <si>
    <t>Clutter</t>
  </si>
  <si>
    <t>Universal Standard</t>
  </si>
  <si>
    <t>Takl</t>
  </si>
  <si>
    <t>Foodsby</t>
  </si>
  <si>
    <t>TravelBank</t>
  </si>
  <si>
    <t>Flowr</t>
  </si>
  <si>
    <t>Peerfit</t>
  </si>
  <si>
    <t>The Guild</t>
  </si>
  <si>
    <t>Drip</t>
  </si>
  <si>
    <t>GrayMeta</t>
  </si>
  <si>
    <t>Triplebyte</t>
  </si>
  <si>
    <t>Ladder Life</t>
  </si>
  <si>
    <t>Cabin</t>
  </si>
  <si>
    <t>Eight Sleep</t>
  </si>
  <si>
    <t>Flywheel Sports</t>
  </si>
  <si>
    <t>Peek</t>
  </si>
  <si>
    <t>CTO.ai</t>
  </si>
  <si>
    <t>Yonder</t>
  </si>
  <si>
    <t>Service</t>
  </si>
  <si>
    <t>Ejento</t>
  </si>
  <si>
    <t>Remote Year</t>
  </si>
  <si>
    <t>Lola</t>
  </si>
  <si>
    <t>Anyvision</t>
  </si>
  <si>
    <t>Popin</t>
  </si>
  <si>
    <t>Tuft &amp; Needle</t>
  </si>
  <si>
    <t>Flytedesk</t>
  </si>
  <si>
    <t>Help.com</t>
  </si>
  <si>
    <t>Panda Squad</t>
  </si>
  <si>
    <t>Tamara Mellon</t>
  </si>
  <si>
    <t>Layoffs by industry</t>
  </si>
  <si>
    <t>Row Labels</t>
  </si>
  <si>
    <t>Grand Total</t>
  </si>
  <si>
    <t>Sum of total_laid_off_num</t>
  </si>
  <si>
    <t>Monthly layoff trend</t>
  </si>
  <si>
    <t>Funding tier vs. average % laid off</t>
  </si>
  <si>
    <t>Average of percentage_laid_off_num</t>
  </si>
  <si>
    <t>is_full_shutdown</t>
  </si>
  <si>
    <t>Shutdown rate by company stage</t>
  </si>
  <si>
    <t>Average of is_full_shutdown2</t>
  </si>
  <si>
    <t>jhsaj</t>
  </si>
  <si>
    <t>Total Layoffs</t>
  </si>
  <si>
    <t>Companies Affected</t>
  </si>
  <si>
    <t>Avg % Laid Off</t>
  </si>
  <si>
    <t>Unconfirmed Events</t>
  </si>
  <si>
    <t>Count of company</t>
  </si>
  <si>
    <t>Tech Layoffs Dashboard (2020–2026)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</si>
</sst>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9" fontId="0" fillId="0" borderId="0" xfId="42" applyFont="1"/>
    <xf numFmtId="10" fontId="0" fillId="0" borderId="0" xfId="0" applyNumberFormat="1"/>
    <xf numFmtId="0" fontId="0" fillId="0" borderId="0" xfId="0" applyNumberFormat="1"/>
    <xf numFmtId="0" fontId="0" fillId="33" borderId="0" xfId="0" applyFill="1" applyAlignment="1">
      <alignment horizontal="center"/>
    </xf>
    <xf numFmtId="0" fontId="18"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[Tech_Layoffs Dashboard_(2020–2026).xlsx]Pivot Tables!PivotTable2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Total Layoffs by Industry</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0222901241822"/>
          <c:y val="0.10604271502228542"/>
          <c:w val="0.8235833431268853"/>
          <c:h val="0.77914330717811109"/>
        </c:manualLayout>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Tables'!$A$4:$A$28</c:f>
              <c:strCache>
                <c:ptCount val="24"/>
                <c:pt idx="0">
                  <c:v>Consumer</c:v>
                </c:pt>
                <c:pt idx="1">
                  <c:v>Education</c:v>
                </c:pt>
                <c:pt idx="2">
                  <c:v>Food</c:v>
                </c:pt>
                <c:pt idx="3">
                  <c:v>Construction</c:v>
                </c:pt>
                <c:pt idx="4">
                  <c:v>Healthcare</c:v>
                </c:pt>
                <c:pt idx="5">
                  <c:v>Security</c:v>
                </c:pt>
                <c:pt idx="6">
                  <c:v>HR</c:v>
                </c:pt>
                <c:pt idx="7">
                  <c:v>Support</c:v>
                </c:pt>
                <c:pt idx="8">
                  <c:v>Product</c:v>
                </c:pt>
                <c:pt idx="9">
                  <c:v>Marketing</c:v>
                </c:pt>
                <c:pt idx="10">
                  <c:v>Finance</c:v>
                </c:pt>
                <c:pt idx="11">
                  <c:v>Crypto</c:v>
                </c:pt>
                <c:pt idx="12">
                  <c:v>Infrastructure</c:v>
                </c:pt>
                <c:pt idx="13">
                  <c:v>Other</c:v>
                </c:pt>
                <c:pt idx="14">
                  <c:v>Retail</c:v>
                </c:pt>
                <c:pt idx="15">
                  <c:v>Travel</c:v>
                </c:pt>
                <c:pt idx="16">
                  <c:v>Media</c:v>
                </c:pt>
                <c:pt idx="17">
                  <c:v>Sales</c:v>
                </c:pt>
                <c:pt idx="18">
                  <c:v>Transportation</c:v>
                </c:pt>
                <c:pt idx="19">
                  <c:v>Fitness</c:v>
                </c:pt>
                <c:pt idx="20">
                  <c:v>Real Estate</c:v>
                </c:pt>
                <c:pt idx="21">
                  <c:v>Recruiting</c:v>
                </c:pt>
                <c:pt idx="22">
                  <c:v>Aerospace</c:v>
                </c:pt>
                <c:pt idx="23">
                  <c:v>Legal</c:v>
                </c:pt>
              </c:strCache>
            </c:strRef>
          </c:cat>
          <c:val>
            <c:numRef>
              <c:f>'Pivot Tables'!$B$4:$B$28</c:f>
              <c:numCache>
                <c:formatCode>General</c:formatCode>
                <c:ptCount val="24"/>
                <c:pt idx="0">
                  <c:v>605</c:v>
                </c:pt>
                <c:pt idx="1">
                  <c:v>420</c:v>
                </c:pt>
                <c:pt idx="2">
                  <c:v>350</c:v>
                </c:pt>
                <c:pt idx="3">
                  <c:v>140</c:v>
                </c:pt>
                <c:pt idx="4">
                  <c:v>109</c:v>
                </c:pt>
                <c:pt idx="5">
                  <c:v>100</c:v>
                </c:pt>
                <c:pt idx="6">
                  <c:v>72</c:v>
                </c:pt>
                <c:pt idx="7">
                  <c:v>49</c:v>
                </c:pt>
                <c:pt idx="8">
                  <c:v>43</c:v>
                </c:pt>
                <c:pt idx="9">
                  <c:v>39</c:v>
                </c:pt>
                <c:pt idx="10">
                  <c:v>34</c:v>
                </c:pt>
                <c:pt idx="11">
                  <c:v>30</c:v>
                </c:pt>
                <c:pt idx="12">
                  <c:v>30</c:v>
                </c:pt>
                <c:pt idx="13">
                  <c:v>28</c:v>
                </c:pt>
                <c:pt idx="14">
                  <c:v>23</c:v>
                </c:pt>
                <c:pt idx="15">
                  <c:v>0</c:v>
                </c:pt>
                <c:pt idx="16">
                  <c:v>0</c:v>
                </c:pt>
                <c:pt idx="17">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AFE8-40E8-B9DF-77195BCB6A93}"/>
            </c:ext>
          </c:extLst>
        </c:ser>
        <c:dLbls>
          <c:showLegendKey val="0"/>
          <c:showVal val="0"/>
          <c:showCatName val="0"/>
          <c:showSerName val="0"/>
          <c:showPercent val="0"/>
          <c:showBubbleSize val="0"/>
        </c:dLbls>
        <c:gapWidth val="182"/>
        <c:axId val="184548688"/>
        <c:axId val="1025262832"/>
      </c:barChart>
      <c:catAx>
        <c:axId val="18454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262832"/>
        <c:crosses val="autoZero"/>
        <c:auto val="1"/>
        <c:lblAlgn val="ctr"/>
        <c:lblOffset val="100"/>
        <c:noMultiLvlLbl val="0"/>
      </c:catAx>
      <c:valAx>
        <c:axId val="1025262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Total Employees Laid Off</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4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[Tech_Layoffs Dashboard_(2020–2026).xlsx]Pivot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Monthly Tech Layoffs (2020–2026)</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Tables'!$B$42</c:f>
              <c:strCache>
                <c:ptCount val="1"/>
                <c:pt idx="0">
                  <c:v>Total</c:v>
                </c:pt>
              </c:strCache>
            </c:strRef>
          </c:tx>
          <c:spPr>
            <a:ln w="28575" cap="rnd">
              <a:solidFill>
                <a:schemeClr val="accent1"/>
              </a:solidFill>
              <a:round/>
            </a:ln>
            <a:effectLst/>
          </c:spPr>
          <c:marker>
            <c:symbol val="none"/>
          </c:marker>
          <c:cat>
            <c:multiLvlStrRef>
              <c:f>'Pivot Tables'!$A$43:$A$91</c:f>
              <c:multiLvlStrCache>
                <c:ptCount val="42"/>
                <c:lvl>
                  <c:pt idx="0">
                    <c:v>3</c:v>
                  </c:pt>
                  <c:pt idx="1">
                    <c:v>4</c:v>
                  </c:pt>
                  <c:pt idx="2">
                    <c:v>5</c:v>
                  </c:pt>
                  <c:pt idx="3">
                    <c:v>6</c:v>
                  </c:pt>
                  <c:pt idx="4">
                    <c:v>8</c:v>
                  </c:pt>
                  <c:pt idx="5">
                    <c:v>11</c:v>
                  </c:pt>
                  <c:pt idx="6">
                    <c:v>1</c:v>
                  </c:pt>
                  <c:pt idx="7">
                    <c:v>5</c:v>
                  </c:pt>
                  <c:pt idx="8">
                    <c:v>6</c:v>
                  </c:pt>
                  <c:pt idx="9">
                    <c:v>7</c:v>
                  </c:pt>
                  <c:pt idx="10">
                    <c:v>8</c:v>
                  </c:pt>
                  <c:pt idx="11">
                    <c:v>9</c:v>
                  </c:pt>
                  <c:pt idx="12">
                    <c:v>10</c:v>
                  </c:pt>
                  <c:pt idx="13">
                    <c:v>11</c:v>
                  </c:pt>
                  <c:pt idx="14">
                    <c:v>2</c:v>
                  </c:pt>
                  <c:pt idx="15">
                    <c:v>3</c:v>
                  </c:pt>
                  <c:pt idx="16">
                    <c:v>4</c:v>
                  </c:pt>
                  <c:pt idx="17">
                    <c:v>6</c:v>
                  </c:pt>
                  <c:pt idx="18">
                    <c:v>7</c:v>
                  </c:pt>
                  <c:pt idx="19">
                    <c:v>8</c:v>
                  </c:pt>
                  <c:pt idx="20">
                    <c:v>9</c:v>
                  </c:pt>
                  <c:pt idx="21">
                    <c:v>10</c:v>
                  </c:pt>
                  <c:pt idx="22">
                    <c:v>11</c:v>
                  </c:pt>
                  <c:pt idx="23">
                    <c:v>12</c:v>
                  </c:pt>
                  <c:pt idx="24">
                    <c:v>1</c:v>
                  </c:pt>
                  <c:pt idx="25">
                    <c:v>2</c:v>
                  </c:pt>
                  <c:pt idx="26">
                    <c:v>4</c:v>
                  </c:pt>
                  <c:pt idx="27">
                    <c:v>7</c:v>
                  </c:pt>
                  <c:pt idx="28">
                    <c:v>9</c:v>
                  </c:pt>
                  <c:pt idx="29">
                    <c:v>10</c:v>
                  </c:pt>
                  <c:pt idx="30">
                    <c:v>11</c:v>
                  </c:pt>
                  <c:pt idx="31">
                    <c:v>12</c:v>
                  </c:pt>
                  <c:pt idx="32">
                    <c:v>1</c:v>
                  </c:pt>
                  <c:pt idx="33">
                    <c:v>4</c:v>
                  </c:pt>
                  <c:pt idx="34">
                    <c:v>5</c:v>
                  </c:pt>
                  <c:pt idx="35">
                    <c:v>7</c:v>
                  </c:pt>
                  <c:pt idx="36">
                    <c:v>9</c:v>
                  </c:pt>
                  <c:pt idx="37">
                    <c:v>11</c:v>
                  </c:pt>
                  <c:pt idx="38">
                    <c:v>12</c:v>
                  </c:pt>
                  <c:pt idx="39">
                    <c:v>1</c:v>
                  </c:pt>
                  <c:pt idx="40">
                    <c:v>3</c:v>
                  </c:pt>
                  <c:pt idx="41">
                    <c:v>4</c:v>
                  </c:pt>
                </c:lvl>
                <c:lvl>
                  <c:pt idx="0">
                    <c:v>2020</c:v>
                  </c:pt>
                  <c:pt idx="6">
                    <c:v>2022</c:v>
                  </c:pt>
                  <c:pt idx="14">
                    <c:v>2023</c:v>
                  </c:pt>
                  <c:pt idx="24">
                    <c:v>2024</c:v>
                  </c:pt>
                  <c:pt idx="32">
                    <c:v>2025</c:v>
                  </c:pt>
                  <c:pt idx="39">
                    <c:v>2026</c:v>
                  </c:pt>
                </c:lvl>
              </c:multiLvlStrCache>
            </c:multiLvlStrRef>
          </c:cat>
          <c:val>
            <c:numRef>
              <c:f>'Pivot Tables'!$B$43:$B$91</c:f>
              <c:numCache>
                <c:formatCode>General</c:formatCode>
                <c:ptCount val="42"/>
                <c:pt idx="0">
                  <c:v>69</c:v>
                </c:pt>
                <c:pt idx="1">
                  <c:v>53</c:v>
                </c:pt>
                <c:pt idx="2">
                  <c:v>0</c:v>
                </c:pt>
                <c:pt idx="3">
                  <c:v>9</c:v>
                </c:pt>
                <c:pt idx="4">
                  <c:v>20</c:v>
                </c:pt>
                <c:pt idx="5">
                  <c:v>5</c:v>
                </c:pt>
                <c:pt idx="6">
                  <c:v>0</c:v>
                </c:pt>
                <c:pt idx="7">
                  <c:v>300</c:v>
                </c:pt>
                <c:pt idx="8">
                  <c:v>440</c:v>
                </c:pt>
                <c:pt idx="9">
                  <c:v>35</c:v>
                </c:pt>
                <c:pt idx="10">
                  <c:v>129</c:v>
                </c:pt>
                <c:pt idx="11">
                  <c:v>109</c:v>
                </c:pt>
                <c:pt idx="12">
                  <c:v>35</c:v>
                </c:pt>
                <c:pt idx="13">
                  <c:v>30</c:v>
                </c:pt>
                <c:pt idx="14">
                  <c:v>0</c:v>
                </c:pt>
                <c:pt idx="15">
                  <c:v>0</c:v>
                </c:pt>
                <c:pt idx="16">
                  <c:v>179</c:v>
                </c:pt>
                <c:pt idx="17">
                  <c:v>0</c:v>
                </c:pt>
                <c:pt idx="18">
                  <c:v>0</c:v>
                </c:pt>
                <c:pt idx="19">
                  <c:v>67</c:v>
                </c:pt>
                <c:pt idx="20">
                  <c:v>0</c:v>
                </c:pt>
                <c:pt idx="21">
                  <c:v>0</c:v>
                </c:pt>
                <c:pt idx="22">
                  <c:v>0</c:v>
                </c:pt>
                <c:pt idx="23">
                  <c:v>0</c:v>
                </c:pt>
                <c:pt idx="24">
                  <c:v>0</c:v>
                </c:pt>
                <c:pt idx="25">
                  <c:v>0</c:v>
                </c:pt>
                <c:pt idx="26">
                  <c:v>0</c:v>
                </c:pt>
                <c:pt idx="27">
                  <c:v>0</c:v>
                </c:pt>
                <c:pt idx="28">
                  <c:v>0</c:v>
                </c:pt>
                <c:pt idx="29">
                  <c:v>0</c:v>
                </c:pt>
                <c:pt idx="30">
                  <c:v>0</c:v>
                </c:pt>
                <c:pt idx="31">
                  <c:v>0</c:v>
                </c:pt>
                <c:pt idx="32">
                  <c:v>0</c:v>
                </c:pt>
                <c:pt idx="33">
                  <c:v>7</c:v>
                </c:pt>
                <c:pt idx="34">
                  <c:v>15</c:v>
                </c:pt>
                <c:pt idx="35">
                  <c:v>0</c:v>
                </c:pt>
                <c:pt idx="36">
                  <c:v>0</c:v>
                </c:pt>
                <c:pt idx="37">
                  <c:v>350</c:v>
                </c:pt>
                <c:pt idx="38">
                  <c:v>0</c:v>
                </c:pt>
                <c:pt idx="39">
                  <c:v>220</c:v>
                </c:pt>
                <c:pt idx="40">
                  <c:v>0</c:v>
                </c:pt>
                <c:pt idx="41">
                  <c:v>0</c:v>
                </c:pt>
              </c:numCache>
            </c:numRef>
          </c:val>
          <c:smooth val="0"/>
          <c:extLst>
            <c:ext xmlns:c16="http://schemas.microsoft.com/office/drawing/2014/chart" uri="{C3380CC4-5D6E-409C-BE32-E72D297353CC}">
              <c16:uniqueId val="{00000000-B0EA-40B3-ACC1-800355DB7405}"/>
            </c:ext>
          </c:extLst>
        </c:ser>
        <c:dLbls>
          <c:showLegendKey val="0"/>
          <c:showVal val="0"/>
          <c:showCatName val="0"/>
          <c:showSerName val="0"/>
          <c:showPercent val="0"/>
          <c:showBubbleSize val="0"/>
        </c:dLbls>
        <c:smooth val="0"/>
        <c:axId val="358252256"/>
        <c:axId val="1025199472"/>
      </c:lineChart>
      <c:catAx>
        <c:axId val="35825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99472"/>
        <c:crosses val="autoZero"/>
        <c:auto val="1"/>
        <c:lblAlgn val="ctr"/>
        <c:lblOffset val="100"/>
        <c:noMultiLvlLbl val="0"/>
      </c:catAx>
      <c:valAx>
        <c:axId val="10251994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solidFill>
                  </a:rPr>
                  <a:t>Employees Laid Off</a:t>
                </a:r>
                <a:endParaRPr lang="en-US">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5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[Tech_Layoffs Dashboard_(2020–2026).xlsx]Pivot Tables!PivotTable4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Average % of Workforce Laid Off by Funding Tier</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Tables'!$B$136</c:f>
              <c:strCache>
                <c:ptCount val="1"/>
                <c:pt idx="0">
                  <c:v>Total</c:v>
                </c:pt>
              </c:strCache>
            </c:strRef>
          </c:tx>
          <c:spPr>
            <a:solidFill>
              <a:schemeClr val="accent1"/>
            </a:solidFill>
            <a:ln>
              <a:noFill/>
            </a:ln>
            <a:effectLst/>
          </c:spPr>
          <c:invertIfNegative val="0"/>
          <c:dLbls>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Tables'!$A$137:$A$138</c:f>
              <c:strCache>
                <c:ptCount val="1"/>
                <c:pt idx="0">
                  <c:v>Under $10M</c:v>
                </c:pt>
              </c:strCache>
            </c:strRef>
          </c:cat>
          <c:val>
            <c:numRef>
              <c:f>'Pivot Tables'!$B$137:$B$138</c:f>
              <c:numCache>
                <c:formatCode>General</c:formatCode>
                <c:ptCount val="1"/>
                <c:pt idx="0">
                  <c:v>0.84337662337662334</c:v>
                </c:pt>
              </c:numCache>
            </c:numRef>
          </c:val>
          <c:extLst>
            <c:ext xmlns:c16="http://schemas.microsoft.com/office/drawing/2014/chart" uri="{C3380CC4-5D6E-409C-BE32-E72D297353CC}">
              <c16:uniqueId val="{00000000-B6C3-484F-9A4C-E4AB6C695D59}"/>
            </c:ext>
          </c:extLst>
        </c:ser>
        <c:dLbls>
          <c:dLblPos val="outEnd"/>
          <c:showLegendKey val="0"/>
          <c:showVal val="1"/>
          <c:showCatName val="0"/>
          <c:showSerName val="0"/>
          <c:showPercent val="0"/>
          <c:showBubbleSize val="0"/>
        </c:dLbls>
        <c:gapWidth val="219"/>
        <c:overlap val="-27"/>
        <c:axId val="358264320"/>
        <c:axId val="1025223472"/>
      </c:barChart>
      <c:catAx>
        <c:axId val="35826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223472"/>
        <c:crosses val="autoZero"/>
        <c:auto val="1"/>
        <c:lblAlgn val="ctr"/>
        <c:lblOffset val="100"/>
        <c:noMultiLvlLbl val="0"/>
      </c:catAx>
      <c:valAx>
        <c:axId val="1025223472"/>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chemeClr val="tx1"/>
                    </a:solidFill>
                  </a:rPr>
                  <a:t>Avg % of Workforce Laid Off</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solidFill>
                    <a:schemeClr val="tx1"/>
                  </a:solidFill>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6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[Tech_Layoffs Dashboard_(2020–2026).xlsx]Pivot Tables!PivotTable7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2"/>
                </a:solidFill>
              </a:rPr>
              <a:t>Full Shutdown Rate by Company Stage</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Tables'!$B$151</c:f>
              <c:strCache>
                <c:ptCount val="1"/>
                <c:pt idx="0">
                  <c:v>Total</c:v>
                </c:pt>
              </c:strCache>
            </c:strRef>
          </c:tx>
          <c:spPr>
            <a:solidFill>
              <a:schemeClr val="accent1"/>
            </a:solidFill>
            <a:ln>
              <a:noFill/>
            </a:ln>
            <a:effectLst/>
          </c:spPr>
          <c:invertIfNegative val="0"/>
          <c:dLbls>
            <c:numFmt formatCode="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Tables'!$A$152:$A$153</c:f>
              <c:strCache>
                <c:ptCount val="1"/>
                <c:pt idx="0">
                  <c:v>Seed</c:v>
                </c:pt>
              </c:strCache>
            </c:strRef>
          </c:cat>
          <c:val>
            <c:numRef>
              <c:f>'Pivot Tables'!$B$152:$B$153</c:f>
              <c:numCache>
                <c:formatCode>General</c:formatCode>
                <c:ptCount val="1"/>
                <c:pt idx="0">
                  <c:v>0.75324675324675328</c:v>
                </c:pt>
              </c:numCache>
            </c:numRef>
          </c:val>
          <c:extLst>
            <c:ext xmlns:c16="http://schemas.microsoft.com/office/drawing/2014/chart" uri="{C3380CC4-5D6E-409C-BE32-E72D297353CC}">
              <c16:uniqueId val="{00000000-436D-4C82-8A1E-140FDCAAA194}"/>
            </c:ext>
          </c:extLst>
        </c:ser>
        <c:dLbls>
          <c:dLblPos val="outEnd"/>
          <c:showLegendKey val="0"/>
          <c:showVal val="1"/>
          <c:showCatName val="0"/>
          <c:showSerName val="0"/>
          <c:showPercent val="0"/>
          <c:showBubbleSize val="0"/>
        </c:dLbls>
        <c:gapWidth val="219"/>
        <c:axId val="565690096"/>
        <c:axId val="1025216752"/>
      </c:barChart>
      <c:catAx>
        <c:axId val="565690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solidFill>
                      <a:schemeClr val="tx1"/>
                    </a:solidFill>
                  </a:rPr>
                  <a:t>Full Shutdown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216752"/>
        <c:crosses val="autoZero"/>
        <c:auto val="1"/>
        <c:lblAlgn val="ctr"/>
        <c:lblOffset val="100"/>
        <c:noMultiLvlLbl val="0"/>
      </c:catAx>
      <c:valAx>
        <c:axId val="1025216752"/>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69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3</xdr:col>
      <xdr:colOff>400050</xdr:colOff>
      <xdr:row>3</xdr:row>
      <xdr:rowOff>180975</xdr:rowOff>
    </xdr:from>
    <xdr:to>
      <xdr:col>10</xdr:col>
      <xdr:colOff>133350</xdr:colOff>
      <xdr:row>11</xdr:row>
      <xdr:rowOff>28575</xdr:rowOff>
    </xdr:to>
    <mc:AlternateContent xmlns:mc="http://schemas.openxmlformats.org/markup-compatibility/2006" xmlns:tsle="http://schemas.microsoft.com/office/drawing/2012/timeslicer">
      <mc:Choice Requires="tsle">
        <xdr:graphicFrame macro="">
          <xdr:nvGraphicFramePr>
            <xdr:cNvPr id="2" name="date_clean">
              <a:extLst>
                <a:ext uri="{FF2B5EF4-FFF2-40B4-BE49-F238E27FC236}">
                  <a16:creationId xmlns:a16="http://schemas.microsoft.com/office/drawing/2014/main" id="{CBA0F34E-AE13-4A21-AE52-E6F8BE5B4854}"/>
                </a:ext>
              </a:extLst>
            </xdr:cNvPr>
            <xdr:cNvGraphicFramePr/>
          </xdr:nvGraphicFramePr>
          <xdr:xfrm>
            <a:off x="0" y="0"/>
            <a:ext cx="0" cy="0"/>
          </xdr:xfrm>
          <a:graphic>
            <a:graphicData uri="http://schemas.microsoft.com/office/drawing/2012/timeslicer">
              <tsle:timeslicer name="date_clean"/>
            </a:graphicData>
          </a:graphic>
        </xdr:graphicFrame>
      </mc:Choice>
      <mc:Fallback xmlns="">
        <xdr:sp macro="" textlink="">
          <xdr:nvSpPr>
            <xdr:cNvPr id="0" name=""/>
            <xdr:cNvSpPr>
              <a:spLocks noTextEdit="1"/>
            </xdr:cNvSpPr>
          </xdr:nvSpPr>
          <xdr:spPr>
            <a:xfrm>
              <a:off x="2228850" y="752475"/>
              <a:ext cx="40005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360997</xdr:colOff>
      <xdr:row>3</xdr:row>
      <xdr:rowOff>152400</xdr:rowOff>
    </xdr:from>
    <xdr:to>
      <xdr:col>17</xdr:col>
      <xdr:colOff>391477</xdr:colOff>
      <xdr:row>11</xdr:row>
      <xdr:rowOff>0</xdr:rowOff>
    </xdr:to>
    <mc:AlternateContent xmlns:mc="http://schemas.openxmlformats.org/markup-compatibility/2006" xmlns:tsle="http://schemas.microsoft.com/office/drawing/2012/timeslicer">
      <mc:Choice Requires="tsle">
        <xdr:graphicFrame macro="">
          <xdr:nvGraphicFramePr>
            <xdr:cNvPr id="3" name="date_clean 1">
              <a:extLst>
                <a:ext uri="{FF2B5EF4-FFF2-40B4-BE49-F238E27FC236}">
                  <a16:creationId xmlns:a16="http://schemas.microsoft.com/office/drawing/2014/main" id="{CA5C26F7-6672-47AD-B852-6E301DC00606}"/>
                </a:ext>
              </a:extLst>
            </xdr:cNvPr>
            <xdr:cNvGraphicFramePr/>
          </xdr:nvGraphicFramePr>
          <xdr:xfrm>
            <a:off x="0" y="0"/>
            <a:ext cx="0" cy="0"/>
          </xdr:xfrm>
          <a:graphic>
            <a:graphicData uri="http://schemas.microsoft.com/office/drawing/2012/timeslicer">
              <tsle:timeslicer name="date_clean 1"/>
            </a:graphicData>
          </a:graphic>
        </xdr:graphicFrame>
      </mc:Choice>
      <mc:Fallback xmlns="">
        <xdr:sp macro="" textlink="">
          <xdr:nvSpPr>
            <xdr:cNvPr id="0" name=""/>
            <xdr:cNvSpPr>
              <a:spLocks noTextEdit="1"/>
            </xdr:cNvSpPr>
          </xdr:nvSpPr>
          <xdr:spPr>
            <a:xfrm>
              <a:off x="6456997" y="723900"/>
              <a:ext cx="42976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9525</xdr:colOff>
      <xdr:row>3</xdr:row>
      <xdr:rowOff>152400</xdr:rowOff>
    </xdr:from>
    <xdr:to>
      <xdr:col>25</xdr:col>
      <xdr:colOff>600075</xdr:colOff>
      <xdr:row>11</xdr:row>
      <xdr:rowOff>0</xdr:rowOff>
    </xdr:to>
    <mc:AlternateContent xmlns:mc="http://schemas.openxmlformats.org/markup-compatibility/2006" xmlns:tsle="http://schemas.microsoft.com/office/drawing/2012/timeslicer">
      <mc:Choice Requires="tsle">
        <xdr:graphicFrame macro="">
          <xdr:nvGraphicFramePr>
            <xdr:cNvPr id="4" name="date_clean 2">
              <a:extLst>
                <a:ext uri="{FF2B5EF4-FFF2-40B4-BE49-F238E27FC236}">
                  <a16:creationId xmlns:a16="http://schemas.microsoft.com/office/drawing/2014/main" id="{58A6774E-38BE-490F-A393-8F24A36D07F7}"/>
                </a:ext>
              </a:extLst>
            </xdr:cNvPr>
            <xdr:cNvGraphicFramePr/>
          </xdr:nvGraphicFramePr>
          <xdr:xfrm>
            <a:off x="0" y="0"/>
            <a:ext cx="0" cy="0"/>
          </xdr:xfrm>
          <a:graphic>
            <a:graphicData uri="http://schemas.microsoft.com/office/drawing/2012/timeslicer">
              <tsle:timeslicer name="date_clean 2"/>
            </a:graphicData>
          </a:graphic>
        </xdr:graphicFrame>
      </mc:Choice>
      <mc:Fallback xmlns="">
        <xdr:sp macro="" textlink="">
          <xdr:nvSpPr>
            <xdr:cNvPr id="0" name=""/>
            <xdr:cNvSpPr>
              <a:spLocks noTextEdit="1"/>
            </xdr:cNvSpPr>
          </xdr:nvSpPr>
          <xdr:spPr>
            <a:xfrm>
              <a:off x="10982325" y="723900"/>
              <a:ext cx="4857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4762</xdr:colOff>
      <xdr:row>3</xdr:row>
      <xdr:rowOff>190499</xdr:rowOff>
    </xdr:from>
    <xdr:to>
      <xdr:col>3</xdr:col>
      <xdr:colOff>4762</xdr:colOff>
      <xdr:row>21</xdr:row>
      <xdr:rowOff>123824</xdr:rowOff>
    </xdr:to>
    <mc:AlternateContent xmlns:mc="http://schemas.openxmlformats.org/markup-compatibility/2006" xmlns:a14="http://schemas.microsoft.com/office/drawing/2010/main">
      <mc:Choice Requires="a14">
        <xdr:graphicFrame macro="">
          <xdr:nvGraphicFramePr>
            <xdr:cNvPr id="5" name="industry">
              <a:extLst>
                <a:ext uri="{FF2B5EF4-FFF2-40B4-BE49-F238E27FC236}">
                  <a16:creationId xmlns:a16="http://schemas.microsoft.com/office/drawing/2014/main" id="{002873E5-DF7B-463B-88B8-B1CEDA311409}"/>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4762" y="762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xdr:colOff>
      <xdr:row>34</xdr:row>
      <xdr:rowOff>9525</xdr:rowOff>
    </xdr:from>
    <xdr:to>
      <xdr:col>3</xdr:col>
      <xdr:colOff>4762</xdr:colOff>
      <xdr:row>48</xdr:row>
      <xdr:rowOff>9525</xdr:rowOff>
    </xdr:to>
    <mc:AlternateContent xmlns:mc="http://schemas.openxmlformats.org/markup-compatibility/2006" xmlns:a14="http://schemas.microsoft.com/office/drawing/2010/main">
      <mc:Choice Requires="a14">
        <xdr:graphicFrame macro="">
          <xdr:nvGraphicFramePr>
            <xdr:cNvPr id="6" name="Company Stage">
              <a:extLst>
                <a:ext uri="{FF2B5EF4-FFF2-40B4-BE49-F238E27FC236}">
                  <a16:creationId xmlns:a16="http://schemas.microsoft.com/office/drawing/2014/main" id="{C945BA9D-5676-40C5-9482-6F270F49BAF3}"/>
                </a:ext>
              </a:extLst>
            </xdr:cNvPr>
            <xdr:cNvGraphicFramePr/>
          </xdr:nvGraphicFramePr>
          <xdr:xfrm>
            <a:off x="0" y="0"/>
            <a:ext cx="0" cy="0"/>
          </xdr:xfrm>
          <a:graphic>
            <a:graphicData uri="http://schemas.microsoft.com/office/drawing/2010/slicer">
              <sle:slicer xmlns:sle="http://schemas.microsoft.com/office/drawing/2010/slicer" name="Company Stage"/>
            </a:graphicData>
          </a:graphic>
        </xdr:graphicFrame>
      </mc:Choice>
      <mc:Fallback xmlns="">
        <xdr:sp macro="" textlink="">
          <xdr:nvSpPr>
            <xdr:cNvPr id="0" name=""/>
            <xdr:cNvSpPr>
              <a:spLocks noTextEdit="1"/>
            </xdr:cNvSpPr>
          </xdr:nvSpPr>
          <xdr:spPr>
            <a:xfrm>
              <a:off x="4762" y="6486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109538</xdr:rowOff>
    </xdr:from>
    <xdr:to>
      <xdr:col>3</xdr:col>
      <xdr:colOff>0</xdr:colOff>
      <xdr:row>32</xdr:row>
      <xdr:rowOff>161926</xdr:rowOff>
    </xdr:to>
    <mc:AlternateContent xmlns:mc="http://schemas.openxmlformats.org/markup-compatibility/2006">
      <mc:Choice xmlns:a14="http://schemas.microsoft.com/office/drawing/2010/main" Requires="a14">
        <xdr:graphicFrame macro="">
          <xdr:nvGraphicFramePr>
            <xdr:cNvPr id="7" name="Funding Tier">
              <a:extLst>
                <a:ext uri="{FF2B5EF4-FFF2-40B4-BE49-F238E27FC236}">
                  <a16:creationId xmlns:a16="http://schemas.microsoft.com/office/drawing/2014/main" id="{D6A13C40-8F5C-47C2-A105-A7E0908A2D1B}"/>
                </a:ext>
              </a:extLst>
            </xdr:cNvPr>
            <xdr:cNvGraphicFramePr/>
          </xdr:nvGraphicFramePr>
          <xdr:xfrm>
            <a:off x="0" y="0"/>
            <a:ext cx="0" cy="0"/>
          </xdr:xfrm>
          <a:graphic>
            <a:graphicData uri="http://schemas.microsoft.com/office/drawing/2010/slicer">
              <sle:slicer xmlns:sle="http://schemas.microsoft.com/office/drawing/2010/slicer" name="Funding Tier"/>
            </a:graphicData>
          </a:graphic>
        </xdr:graphicFrame>
      </mc:Choice>
      <mc:Fallback>
        <xdr:sp macro="" textlink="">
          <xdr:nvSpPr>
            <xdr:cNvPr id="0" name=""/>
            <xdr:cNvSpPr>
              <a:spLocks noTextEdit="1"/>
            </xdr:cNvSpPr>
          </xdr:nvSpPr>
          <xdr:spPr>
            <a:xfrm>
              <a:off x="0" y="4300538"/>
              <a:ext cx="1828800" cy="1957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438150</xdr:colOff>
      <xdr:row>11</xdr:row>
      <xdr:rowOff>176212</xdr:rowOff>
    </xdr:from>
    <xdr:to>
      <xdr:col>8</xdr:col>
      <xdr:colOff>590550</xdr:colOff>
      <xdr:row>17</xdr:row>
      <xdr:rowOff>113212</xdr:rowOff>
    </xdr:to>
    <xdr:grpSp>
      <xdr:nvGrpSpPr>
        <xdr:cNvPr id="16" name="Group 15">
          <a:extLst>
            <a:ext uri="{FF2B5EF4-FFF2-40B4-BE49-F238E27FC236}">
              <a16:creationId xmlns:a16="http://schemas.microsoft.com/office/drawing/2014/main" id="{827194FC-7AD4-46DF-902D-C12DF2A23BD1}"/>
            </a:ext>
          </a:extLst>
        </xdr:cNvPr>
        <xdr:cNvGrpSpPr/>
      </xdr:nvGrpSpPr>
      <xdr:grpSpPr>
        <a:xfrm>
          <a:off x="2266950" y="2271712"/>
          <a:ext cx="3200400" cy="1080000"/>
          <a:chOff x="2333625" y="2428875"/>
          <a:chExt cx="3600000" cy="1080000"/>
        </a:xfrm>
      </xdr:grpSpPr>
      <xdr:sp macro="" textlink="">
        <xdr:nvSpPr>
          <xdr:cNvPr id="8" name="Rectangle: Rounded Corners 7">
            <a:extLst>
              <a:ext uri="{FF2B5EF4-FFF2-40B4-BE49-F238E27FC236}">
                <a16:creationId xmlns:a16="http://schemas.microsoft.com/office/drawing/2014/main" id="{E8D6C547-6D0F-47AE-075A-E2DE18457959}"/>
              </a:ext>
            </a:extLst>
          </xdr:cNvPr>
          <xdr:cNvSpPr/>
        </xdr:nvSpPr>
        <xdr:spPr>
          <a:xfrm>
            <a:off x="2333625" y="2428875"/>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15" name="Group 14">
            <a:extLst>
              <a:ext uri="{FF2B5EF4-FFF2-40B4-BE49-F238E27FC236}">
                <a16:creationId xmlns:a16="http://schemas.microsoft.com/office/drawing/2014/main" id="{B5C1FF94-1000-6593-0A09-9A94071B5940}"/>
              </a:ext>
            </a:extLst>
          </xdr:cNvPr>
          <xdr:cNvGrpSpPr/>
        </xdr:nvGrpSpPr>
        <xdr:grpSpPr>
          <a:xfrm>
            <a:off x="2731069" y="2568825"/>
            <a:ext cx="2805112" cy="800100"/>
            <a:chOff x="2819400" y="2507887"/>
            <a:chExt cx="2805112" cy="800100"/>
          </a:xfrm>
        </xdr:grpSpPr>
        <xdr:grpSp>
          <xdr:nvGrpSpPr>
            <xdr:cNvPr id="14" name="Group 13">
              <a:extLst>
                <a:ext uri="{FF2B5EF4-FFF2-40B4-BE49-F238E27FC236}">
                  <a16:creationId xmlns:a16="http://schemas.microsoft.com/office/drawing/2014/main" id="{BFA97EB9-BF69-4195-3409-4F5BD65B9238}"/>
                </a:ext>
              </a:extLst>
            </xdr:cNvPr>
            <xdr:cNvGrpSpPr/>
          </xdr:nvGrpSpPr>
          <xdr:grpSpPr>
            <a:xfrm>
              <a:off x="3557587" y="2507887"/>
              <a:ext cx="2066925" cy="800100"/>
              <a:chOff x="3843337" y="2514600"/>
              <a:chExt cx="2066925" cy="800100"/>
            </a:xfrm>
          </xdr:grpSpPr>
          <xdr:sp macro="" textlink="'Pivot Tables'!$A$190">
            <xdr:nvSpPr>
              <xdr:cNvPr id="10" name="TextBox 9">
                <a:extLst>
                  <a:ext uri="{FF2B5EF4-FFF2-40B4-BE49-F238E27FC236}">
                    <a16:creationId xmlns:a16="http://schemas.microsoft.com/office/drawing/2014/main" id="{94216975-CF09-C476-51E5-19185DAB4E31}"/>
                  </a:ext>
                </a:extLst>
              </xdr:cNvPr>
              <xdr:cNvSpPr txBox="1"/>
            </xdr:nvSpPr>
            <xdr:spPr>
              <a:xfrm>
                <a:off x="3843337" y="2914650"/>
                <a:ext cx="2066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6B1C95-082C-4699-BC0C-F2A249430DD8}" type="TxLink">
                  <a:rPr lang="en-US" sz="3200" b="0" i="0" u="none" strike="noStrike">
                    <a:solidFill>
                      <a:schemeClr val="accent1"/>
                    </a:solidFill>
                    <a:latin typeface="Aptos Narrow"/>
                  </a:rPr>
                  <a:pPr algn="ctr"/>
                  <a:t>2072</a:t>
                </a:fld>
                <a:endParaRPr lang="en-US" sz="3200" b="1">
                  <a:solidFill>
                    <a:schemeClr val="accent1"/>
                  </a:solidFill>
                </a:endParaRPr>
              </a:p>
            </xdr:txBody>
          </xdr:sp>
          <xdr:sp macro="" textlink="'Pivot Tables'!A183">
            <xdr:nvSpPr>
              <xdr:cNvPr id="11" name="TextBox 10">
                <a:extLst>
                  <a:ext uri="{FF2B5EF4-FFF2-40B4-BE49-F238E27FC236}">
                    <a16:creationId xmlns:a16="http://schemas.microsoft.com/office/drawing/2014/main" id="{F55165A0-4B9A-E4F0-920A-70F06A5E05CD}"/>
                  </a:ext>
                </a:extLst>
              </xdr:cNvPr>
              <xdr:cNvSpPr txBox="1"/>
            </xdr:nvSpPr>
            <xdr:spPr>
              <a:xfrm>
                <a:off x="3913799" y="2514600"/>
                <a:ext cx="1926000" cy="48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Total Layoffs</a:t>
                </a:r>
                <a:endParaRPr lang="en-US" sz="2000" b="1">
                  <a:solidFill>
                    <a:schemeClr val="accent1"/>
                  </a:solidFill>
                </a:endParaRPr>
              </a:p>
            </xdr:txBody>
          </xdr:sp>
        </xdr:grpSp>
        <xdr:pic>
          <xdr:nvPicPr>
            <xdr:cNvPr id="13" name="Graphic 12" descr="Briefcase with solid fill">
              <a:extLst>
                <a:ext uri="{FF2B5EF4-FFF2-40B4-BE49-F238E27FC236}">
                  <a16:creationId xmlns:a16="http://schemas.microsoft.com/office/drawing/2014/main" id="{3E78C23C-3BE9-AE8E-DB3D-E2F3033A7B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0" y="2547937"/>
              <a:ext cx="720000" cy="720000"/>
            </a:xfrm>
            <a:prstGeom prst="rect">
              <a:avLst/>
            </a:prstGeom>
          </xdr:spPr>
        </xdr:pic>
      </xdr:grpSp>
    </xdr:grpSp>
    <xdr:clientData/>
  </xdr:twoCellAnchor>
  <xdr:twoCellAnchor>
    <xdr:from>
      <xdr:col>9</xdr:col>
      <xdr:colOff>247650</xdr:colOff>
      <xdr:row>11</xdr:row>
      <xdr:rowOff>176212</xdr:rowOff>
    </xdr:from>
    <xdr:to>
      <xdr:col>14</xdr:col>
      <xdr:colOff>400050</xdr:colOff>
      <xdr:row>17</xdr:row>
      <xdr:rowOff>113212</xdr:rowOff>
    </xdr:to>
    <xdr:grpSp>
      <xdr:nvGrpSpPr>
        <xdr:cNvPr id="17" name="Group 16">
          <a:extLst>
            <a:ext uri="{FF2B5EF4-FFF2-40B4-BE49-F238E27FC236}">
              <a16:creationId xmlns:a16="http://schemas.microsoft.com/office/drawing/2014/main" id="{B5149250-515E-F101-4BE6-2BF5878D19BC}"/>
            </a:ext>
          </a:extLst>
        </xdr:cNvPr>
        <xdr:cNvGrpSpPr/>
      </xdr:nvGrpSpPr>
      <xdr:grpSpPr>
        <a:xfrm>
          <a:off x="5734050" y="2271712"/>
          <a:ext cx="3200400" cy="1080000"/>
          <a:chOff x="2333625" y="2428875"/>
          <a:chExt cx="3600000" cy="1080000"/>
        </a:xfrm>
      </xdr:grpSpPr>
      <xdr:sp macro="" textlink="">
        <xdr:nvSpPr>
          <xdr:cNvPr id="18" name="Rectangle: Rounded Corners 17">
            <a:extLst>
              <a:ext uri="{FF2B5EF4-FFF2-40B4-BE49-F238E27FC236}">
                <a16:creationId xmlns:a16="http://schemas.microsoft.com/office/drawing/2014/main" id="{61703C9B-8152-B0E9-0C3A-19FF2AFEA42C}"/>
              </a:ext>
            </a:extLst>
          </xdr:cNvPr>
          <xdr:cNvSpPr/>
        </xdr:nvSpPr>
        <xdr:spPr>
          <a:xfrm>
            <a:off x="2333625" y="2428875"/>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19" name="Group 18">
            <a:extLst>
              <a:ext uri="{FF2B5EF4-FFF2-40B4-BE49-F238E27FC236}">
                <a16:creationId xmlns:a16="http://schemas.microsoft.com/office/drawing/2014/main" id="{94E50107-2180-4950-99DA-7F63FD974C5C}"/>
              </a:ext>
            </a:extLst>
          </xdr:cNvPr>
          <xdr:cNvGrpSpPr/>
        </xdr:nvGrpSpPr>
        <xdr:grpSpPr>
          <a:xfrm>
            <a:off x="2731069" y="2568825"/>
            <a:ext cx="2995896" cy="800100"/>
            <a:chOff x="2819400" y="2507887"/>
            <a:chExt cx="2995896" cy="800100"/>
          </a:xfrm>
        </xdr:grpSpPr>
        <xdr:grpSp>
          <xdr:nvGrpSpPr>
            <xdr:cNvPr id="20" name="Group 19">
              <a:extLst>
                <a:ext uri="{FF2B5EF4-FFF2-40B4-BE49-F238E27FC236}">
                  <a16:creationId xmlns:a16="http://schemas.microsoft.com/office/drawing/2014/main" id="{E0FCAD5F-A3B0-EDD8-C063-F36B5E35E444}"/>
                </a:ext>
              </a:extLst>
            </xdr:cNvPr>
            <xdr:cNvGrpSpPr/>
          </xdr:nvGrpSpPr>
          <xdr:grpSpPr>
            <a:xfrm>
              <a:off x="3592818" y="2507887"/>
              <a:ext cx="2222478" cy="800100"/>
              <a:chOff x="3878568" y="2514600"/>
              <a:chExt cx="2222478" cy="800100"/>
            </a:xfrm>
          </xdr:grpSpPr>
          <xdr:sp macro="" textlink="Pivot_CompaniesCount!$C$2">
            <xdr:nvSpPr>
              <xdr:cNvPr id="22" name="TextBox 21">
                <a:extLst>
                  <a:ext uri="{FF2B5EF4-FFF2-40B4-BE49-F238E27FC236}">
                    <a16:creationId xmlns:a16="http://schemas.microsoft.com/office/drawing/2014/main" id="{42BF5898-DF87-D706-6185-25FA025D7722}"/>
                  </a:ext>
                </a:extLst>
              </xdr:cNvPr>
              <xdr:cNvSpPr txBox="1"/>
            </xdr:nvSpPr>
            <xdr:spPr>
              <a:xfrm>
                <a:off x="3956344" y="2914650"/>
                <a:ext cx="2066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C4A0ED-0A7F-451E-9E3F-8FA57FEA20BE}" type="TxLink">
                  <a:rPr lang="en-US" sz="3200" b="0" i="0" u="none" strike="noStrike">
                    <a:solidFill>
                      <a:schemeClr val="accent1"/>
                    </a:solidFill>
                    <a:latin typeface="Aptos Narrow"/>
                  </a:rPr>
                  <a:t>98</a:t>
                </a:fld>
                <a:endParaRPr lang="en-US" sz="3200" b="1">
                  <a:solidFill>
                    <a:schemeClr val="accent1"/>
                  </a:solidFill>
                </a:endParaRPr>
              </a:p>
            </xdr:txBody>
          </xdr:sp>
          <xdr:sp macro="" textlink="'Pivot Tables'!S202">
            <xdr:nvSpPr>
              <xdr:cNvPr id="23" name="TextBox 22">
                <a:extLst>
                  <a:ext uri="{FF2B5EF4-FFF2-40B4-BE49-F238E27FC236}">
                    <a16:creationId xmlns:a16="http://schemas.microsoft.com/office/drawing/2014/main" id="{D6DAB71C-86FD-AF8D-738E-BBA08344F202}"/>
                  </a:ext>
                </a:extLst>
              </xdr:cNvPr>
              <xdr:cNvSpPr txBox="1"/>
            </xdr:nvSpPr>
            <xdr:spPr>
              <a:xfrm>
                <a:off x="3878568" y="2514600"/>
                <a:ext cx="2222478" cy="38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1"/>
                    </a:solidFill>
                  </a:rPr>
                  <a:t>Companies</a:t>
                </a:r>
                <a:r>
                  <a:rPr lang="en-US" sz="1600" b="1" baseline="0">
                    <a:solidFill>
                      <a:schemeClr val="tx1"/>
                    </a:solidFill>
                  </a:rPr>
                  <a:t> Affected</a:t>
                </a:r>
                <a:endParaRPr lang="en-US" sz="1600" b="1">
                  <a:solidFill>
                    <a:schemeClr val="tx1"/>
                  </a:solidFill>
                </a:endParaRPr>
              </a:p>
            </xdr:txBody>
          </xdr:sp>
        </xdr:grpSp>
        <xdr:pic>
          <xdr:nvPicPr>
            <xdr:cNvPr id="21" name="Graphic 20" descr="Building with solid fill">
              <a:extLst>
                <a:ext uri="{FF2B5EF4-FFF2-40B4-BE49-F238E27FC236}">
                  <a16:creationId xmlns:a16="http://schemas.microsoft.com/office/drawing/2014/main" id="{B0FCC480-B196-B5C4-0A1E-DF0C317B8A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819400" y="2587897"/>
              <a:ext cx="720000" cy="640080"/>
            </a:xfrm>
            <a:prstGeom prst="rect">
              <a:avLst/>
            </a:prstGeom>
          </xdr:spPr>
        </xdr:pic>
      </xdr:grpSp>
    </xdr:grpSp>
    <xdr:clientData/>
  </xdr:twoCellAnchor>
  <xdr:twoCellAnchor>
    <xdr:from>
      <xdr:col>15</xdr:col>
      <xdr:colOff>19050</xdr:colOff>
      <xdr:row>11</xdr:row>
      <xdr:rowOff>176212</xdr:rowOff>
    </xdr:from>
    <xdr:to>
      <xdr:col>20</xdr:col>
      <xdr:colOff>171450</xdr:colOff>
      <xdr:row>17</xdr:row>
      <xdr:rowOff>113212</xdr:rowOff>
    </xdr:to>
    <xdr:grpSp>
      <xdr:nvGrpSpPr>
        <xdr:cNvPr id="24" name="Group 23">
          <a:extLst>
            <a:ext uri="{FF2B5EF4-FFF2-40B4-BE49-F238E27FC236}">
              <a16:creationId xmlns:a16="http://schemas.microsoft.com/office/drawing/2014/main" id="{B5AD9244-BF25-90AC-8B54-C837028EF828}"/>
            </a:ext>
          </a:extLst>
        </xdr:cNvPr>
        <xdr:cNvGrpSpPr/>
      </xdr:nvGrpSpPr>
      <xdr:grpSpPr>
        <a:xfrm>
          <a:off x="9163050" y="2271712"/>
          <a:ext cx="3200400" cy="1080000"/>
          <a:chOff x="2333625" y="2428875"/>
          <a:chExt cx="3600000" cy="1080000"/>
        </a:xfrm>
      </xdr:grpSpPr>
      <xdr:sp macro="" textlink="">
        <xdr:nvSpPr>
          <xdr:cNvPr id="25" name="Rectangle: Rounded Corners 24">
            <a:extLst>
              <a:ext uri="{FF2B5EF4-FFF2-40B4-BE49-F238E27FC236}">
                <a16:creationId xmlns:a16="http://schemas.microsoft.com/office/drawing/2014/main" id="{98580C21-2C54-4F95-8538-48C8637258CB}"/>
              </a:ext>
            </a:extLst>
          </xdr:cNvPr>
          <xdr:cNvSpPr/>
        </xdr:nvSpPr>
        <xdr:spPr>
          <a:xfrm>
            <a:off x="2333625" y="2428875"/>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26" name="Group 25">
            <a:extLst>
              <a:ext uri="{FF2B5EF4-FFF2-40B4-BE49-F238E27FC236}">
                <a16:creationId xmlns:a16="http://schemas.microsoft.com/office/drawing/2014/main" id="{8557FD99-306E-BB8E-F1F3-F604C059DA1B}"/>
              </a:ext>
            </a:extLst>
          </xdr:cNvPr>
          <xdr:cNvGrpSpPr/>
        </xdr:nvGrpSpPr>
        <xdr:grpSpPr>
          <a:xfrm>
            <a:off x="2731069" y="2568825"/>
            <a:ext cx="2805112" cy="800100"/>
            <a:chOff x="2819400" y="2507887"/>
            <a:chExt cx="2805112" cy="800100"/>
          </a:xfrm>
        </xdr:grpSpPr>
        <xdr:grpSp>
          <xdr:nvGrpSpPr>
            <xdr:cNvPr id="27" name="Group 26">
              <a:extLst>
                <a:ext uri="{FF2B5EF4-FFF2-40B4-BE49-F238E27FC236}">
                  <a16:creationId xmlns:a16="http://schemas.microsoft.com/office/drawing/2014/main" id="{F7898BC0-91CC-6CEA-FA80-AB2A205D4AB2}"/>
                </a:ext>
              </a:extLst>
            </xdr:cNvPr>
            <xdr:cNvGrpSpPr/>
          </xdr:nvGrpSpPr>
          <xdr:grpSpPr>
            <a:xfrm>
              <a:off x="3557587" y="2507887"/>
              <a:ext cx="2066925" cy="800100"/>
              <a:chOff x="3843337" y="2514600"/>
              <a:chExt cx="2066925" cy="800100"/>
            </a:xfrm>
          </xdr:grpSpPr>
          <xdr:sp macro="" textlink="'Pivot Tables'!$E$190">
            <xdr:nvSpPr>
              <xdr:cNvPr id="29" name="TextBox 28">
                <a:extLst>
                  <a:ext uri="{FF2B5EF4-FFF2-40B4-BE49-F238E27FC236}">
                    <a16:creationId xmlns:a16="http://schemas.microsoft.com/office/drawing/2014/main" id="{D5C6435A-53D1-D8D9-B4A9-974FA310876D}"/>
                  </a:ext>
                </a:extLst>
              </xdr:cNvPr>
              <xdr:cNvSpPr txBox="1"/>
            </xdr:nvSpPr>
            <xdr:spPr>
              <a:xfrm>
                <a:off x="3843337" y="2914650"/>
                <a:ext cx="20669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F25004-1591-4288-AFBC-AD1567D49A5B}" type="TxLink">
                  <a:rPr lang="en-US" sz="3200" b="0" i="0" u="none" strike="noStrike">
                    <a:solidFill>
                      <a:schemeClr val="accent1"/>
                    </a:solidFill>
                    <a:latin typeface="Aptos Narrow"/>
                  </a:rPr>
                  <a:pPr algn="ctr"/>
                  <a:t>84.34%</a:t>
                </a:fld>
                <a:endParaRPr lang="en-US" sz="3200" b="1">
                  <a:solidFill>
                    <a:schemeClr val="accent1"/>
                  </a:solidFill>
                </a:endParaRPr>
              </a:p>
            </xdr:txBody>
          </xdr:sp>
          <xdr:sp macro="" textlink="'Pivot Tables'!A183">
            <xdr:nvSpPr>
              <xdr:cNvPr id="30" name="TextBox 29">
                <a:extLst>
                  <a:ext uri="{FF2B5EF4-FFF2-40B4-BE49-F238E27FC236}">
                    <a16:creationId xmlns:a16="http://schemas.microsoft.com/office/drawing/2014/main" id="{A92A971D-5F03-B40C-86DE-3D9ECD8CEA9A}"/>
                  </a:ext>
                </a:extLst>
              </xdr:cNvPr>
              <xdr:cNvSpPr txBox="1"/>
            </xdr:nvSpPr>
            <xdr:spPr>
              <a:xfrm>
                <a:off x="3913799" y="2514600"/>
                <a:ext cx="1926000" cy="48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dk1"/>
                    </a:solidFill>
                  </a:rPr>
                  <a:t>Avg</a:t>
                </a:r>
                <a:r>
                  <a:rPr lang="en-US" sz="2000" b="1" baseline="0">
                    <a:solidFill>
                      <a:schemeClr val="dk1"/>
                    </a:solidFill>
                  </a:rPr>
                  <a:t> % Laid Off</a:t>
                </a:r>
              </a:p>
            </xdr:txBody>
          </xdr:sp>
        </xdr:grpSp>
        <xdr:pic>
          <xdr:nvPicPr>
            <xdr:cNvPr id="28" name="Graphic 27" descr="Briefcase with solid fill">
              <a:extLst>
                <a:ext uri="{FF2B5EF4-FFF2-40B4-BE49-F238E27FC236}">
                  <a16:creationId xmlns:a16="http://schemas.microsoft.com/office/drawing/2014/main" id="{43749020-3700-A221-5793-9F08BB6030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0" y="2547937"/>
              <a:ext cx="720000" cy="720000"/>
            </a:xfrm>
            <a:prstGeom prst="rect">
              <a:avLst/>
            </a:prstGeom>
          </xdr:spPr>
        </xdr:pic>
      </xdr:grpSp>
    </xdr:grpSp>
    <xdr:clientData/>
  </xdr:twoCellAnchor>
  <xdr:twoCellAnchor>
    <xdr:from>
      <xdr:col>20</xdr:col>
      <xdr:colOff>447675</xdr:colOff>
      <xdr:row>11</xdr:row>
      <xdr:rowOff>176212</xdr:rowOff>
    </xdr:from>
    <xdr:to>
      <xdr:col>25</xdr:col>
      <xdr:colOff>600075</xdr:colOff>
      <xdr:row>17</xdr:row>
      <xdr:rowOff>113212</xdr:rowOff>
    </xdr:to>
    <xdr:grpSp>
      <xdr:nvGrpSpPr>
        <xdr:cNvPr id="31" name="Group 30">
          <a:extLst>
            <a:ext uri="{FF2B5EF4-FFF2-40B4-BE49-F238E27FC236}">
              <a16:creationId xmlns:a16="http://schemas.microsoft.com/office/drawing/2014/main" id="{9C1C7E8D-3C9E-E8FF-D1BD-58E041B93A94}"/>
            </a:ext>
          </a:extLst>
        </xdr:cNvPr>
        <xdr:cNvGrpSpPr/>
      </xdr:nvGrpSpPr>
      <xdr:grpSpPr>
        <a:xfrm>
          <a:off x="12639675" y="2271712"/>
          <a:ext cx="3200400" cy="1080000"/>
          <a:chOff x="2333625" y="2428875"/>
          <a:chExt cx="3600000" cy="1080000"/>
        </a:xfrm>
      </xdr:grpSpPr>
      <xdr:sp macro="" textlink="">
        <xdr:nvSpPr>
          <xdr:cNvPr id="32" name="Rectangle: Rounded Corners 31">
            <a:extLst>
              <a:ext uri="{FF2B5EF4-FFF2-40B4-BE49-F238E27FC236}">
                <a16:creationId xmlns:a16="http://schemas.microsoft.com/office/drawing/2014/main" id="{E60D2E5D-4D91-0517-2A32-47333301F1FC}"/>
              </a:ext>
            </a:extLst>
          </xdr:cNvPr>
          <xdr:cNvSpPr/>
        </xdr:nvSpPr>
        <xdr:spPr>
          <a:xfrm>
            <a:off x="2333625" y="2428875"/>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33" name="Group 32">
            <a:extLst>
              <a:ext uri="{FF2B5EF4-FFF2-40B4-BE49-F238E27FC236}">
                <a16:creationId xmlns:a16="http://schemas.microsoft.com/office/drawing/2014/main" id="{680B2299-A7B9-9367-2A02-A85E59516852}"/>
              </a:ext>
            </a:extLst>
          </xdr:cNvPr>
          <xdr:cNvGrpSpPr/>
        </xdr:nvGrpSpPr>
        <xdr:grpSpPr>
          <a:xfrm>
            <a:off x="2731069" y="2568825"/>
            <a:ext cx="2974468" cy="800100"/>
            <a:chOff x="2819400" y="2507887"/>
            <a:chExt cx="2974468" cy="800100"/>
          </a:xfrm>
        </xdr:grpSpPr>
        <xdr:grpSp>
          <xdr:nvGrpSpPr>
            <xdr:cNvPr id="34" name="Group 33">
              <a:extLst>
                <a:ext uri="{FF2B5EF4-FFF2-40B4-BE49-F238E27FC236}">
                  <a16:creationId xmlns:a16="http://schemas.microsoft.com/office/drawing/2014/main" id="{7F467601-029B-09C6-0571-3CB5D3B91D49}"/>
                </a:ext>
              </a:extLst>
            </xdr:cNvPr>
            <xdr:cNvGrpSpPr/>
          </xdr:nvGrpSpPr>
          <xdr:grpSpPr>
            <a:xfrm>
              <a:off x="3592819" y="2507887"/>
              <a:ext cx="2201049" cy="800100"/>
              <a:chOff x="3878569" y="2514600"/>
              <a:chExt cx="2201049" cy="800100"/>
            </a:xfrm>
          </xdr:grpSpPr>
          <xdr:sp macro="" textlink="'Pivot Tables'!$I$189">
            <xdr:nvSpPr>
              <xdr:cNvPr id="36" name="TextBox 35">
                <a:extLst>
                  <a:ext uri="{FF2B5EF4-FFF2-40B4-BE49-F238E27FC236}">
                    <a16:creationId xmlns:a16="http://schemas.microsoft.com/office/drawing/2014/main" id="{E7BBBCA5-B3A4-478A-1EEA-2D4D3CADDD35}"/>
                  </a:ext>
                </a:extLst>
              </xdr:cNvPr>
              <xdr:cNvSpPr txBox="1"/>
            </xdr:nvSpPr>
            <xdr:spPr>
              <a:xfrm>
                <a:off x="3945631" y="2914650"/>
                <a:ext cx="206692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F3B4C7-E782-44A3-B6E1-577AC9B9678B}" type="TxLink">
                  <a:rPr lang="en-US" sz="3200" b="0" i="0" u="none" strike="noStrike">
                    <a:solidFill>
                      <a:schemeClr val="accent1"/>
                    </a:solidFill>
                    <a:latin typeface="Aptos Narrow"/>
                  </a:rPr>
                  <a:t>13</a:t>
                </a:fld>
                <a:endParaRPr lang="en-US" sz="3200" b="1">
                  <a:solidFill>
                    <a:schemeClr val="accent1"/>
                  </a:solidFill>
                </a:endParaRPr>
              </a:p>
            </xdr:txBody>
          </xdr:sp>
          <xdr:sp macro="" textlink="'Pivot Tables'!A183">
            <xdr:nvSpPr>
              <xdr:cNvPr id="37" name="TextBox 36">
                <a:extLst>
                  <a:ext uri="{FF2B5EF4-FFF2-40B4-BE49-F238E27FC236}">
                    <a16:creationId xmlns:a16="http://schemas.microsoft.com/office/drawing/2014/main" id="{46E5A03E-85CB-42B3-5A32-1F915C113885}"/>
                  </a:ext>
                </a:extLst>
              </xdr:cNvPr>
              <xdr:cNvSpPr txBox="1"/>
            </xdr:nvSpPr>
            <xdr:spPr>
              <a:xfrm>
                <a:off x="3878569" y="2514600"/>
                <a:ext cx="2201049" cy="48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dk1"/>
                    </a:solidFill>
                  </a:rPr>
                  <a:t>Unconfirmed</a:t>
                </a:r>
                <a:r>
                  <a:rPr lang="en-US" sz="1600" b="1" baseline="0">
                    <a:solidFill>
                      <a:schemeClr val="dk1"/>
                    </a:solidFill>
                  </a:rPr>
                  <a:t> Events</a:t>
                </a:r>
                <a:endParaRPr lang="en-US" sz="1600" b="1">
                  <a:solidFill>
                    <a:schemeClr val="accent1"/>
                  </a:solidFill>
                </a:endParaRPr>
              </a:p>
            </xdr:txBody>
          </xdr:sp>
        </xdr:grpSp>
        <xdr:pic>
          <xdr:nvPicPr>
            <xdr:cNvPr id="35" name="Graphic 34" descr="Questions with solid fill">
              <a:extLst>
                <a:ext uri="{FF2B5EF4-FFF2-40B4-BE49-F238E27FC236}">
                  <a16:creationId xmlns:a16="http://schemas.microsoft.com/office/drawing/2014/main" id="{CCBF23B4-A7B6-45D3-6DCB-B9A986194FD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819400" y="2587897"/>
              <a:ext cx="720000" cy="640080"/>
            </a:xfrm>
            <a:prstGeom prst="rect">
              <a:avLst/>
            </a:prstGeom>
          </xdr:spPr>
        </xdr:pic>
      </xdr:grpSp>
    </xdr:grpSp>
    <xdr:clientData/>
  </xdr:twoCellAnchor>
  <xdr:twoCellAnchor>
    <xdr:from>
      <xdr:col>14</xdr:col>
      <xdr:colOff>561975</xdr:colOff>
      <xdr:row>17</xdr:row>
      <xdr:rowOff>161923</xdr:rowOff>
    </xdr:from>
    <xdr:to>
      <xdr:col>26</xdr:col>
      <xdr:colOff>13335</xdr:colOff>
      <xdr:row>37</xdr:row>
      <xdr:rowOff>9523</xdr:rowOff>
    </xdr:to>
    <xdr:graphicFrame macro="">
      <xdr:nvGraphicFramePr>
        <xdr:cNvPr id="9" name="Chart 8">
          <a:extLst>
            <a:ext uri="{FF2B5EF4-FFF2-40B4-BE49-F238E27FC236}">
              <a16:creationId xmlns:a16="http://schemas.microsoft.com/office/drawing/2014/main" id="{3C33D4EC-20EB-40BD-BB12-88F23842B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262700</xdr:colOff>
      <xdr:row>17</xdr:row>
      <xdr:rowOff>147639</xdr:rowOff>
    </xdr:from>
    <xdr:to>
      <xdr:col>14</xdr:col>
      <xdr:colOff>323660</xdr:colOff>
      <xdr:row>36</xdr:row>
      <xdr:rowOff>185739</xdr:rowOff>
    </xdr:to>
    <xdr:graphicFrame macro="">
      <xdr:nvGraphicFramePr>
        <xdr:cNvPr id="12" name="Chart 11">
          <a:extLst>
            <a:ext uri="{FF2B5EF4-FFF2-40B4-BE49-F238E27FC236}">
              <a16:creationId xmlns:a16="http://schemas.microsoft.com/office/drawing/2014/main" id="{2DD0F490-CD8C-4088-AC03-240F3F21C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254463</xdr:colOff>
      <xdr:row>37</xdr:row>
      <xdr:rowOff>42862</xdr:rowOff>
    </xdr:from>
    <xdr:to>
      <xdr:col>14</xdr:col>
      <xdr:colOff>315423</xdr:colOff>
      <xdr:row>56</xdr:row>
      <xdr:rowOff>80962</xdr:rowOff>
    </xdr:to>
    <xdr:graphicFrame macro="">
      <xdr:nvGraphicFramePr>
        <xdr:cNvPr id="38" name="Chart 37">
          <a:extLst>
            <a:ext uri="{FF2B5EF4-FFF2-40B4-BE49-F238E27FC236}">
              <a16:creationId xmlns:a16="http://schemas.microsoft.com/office/drawing/2014/main" id="{3906A93A-6821-4876-BC46-355704EE2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538240</xdr:colOff>
      <xdr:row>37</xdr:row>
      <xdr:rowOff>47625</xdr:rowOff>
    </xdr:from>
    <xdr:to>
      <xdr:col>25</xdr:col>
      <xdr:colOff>599200</xdr:colOff>
      <xdr:row>56</xdr:row>
      <xdr:rowOff>85725</xdr:rowOff>
    </xdr:to>
    <xdr:graphicFrame macro="">
      <xdr:nvGraphicFramePr>
        <xdr:cNvPr id="39" name="Chart 38">
          <a:extLst>
            <a:ext uri="{FF2B5EF4-FFF2-40B4-BE49-F238E27FC236}">
              <a16:creationId xmlns:a16="http://schemas.microsoft.com/office/drawing/2014/main" id="{3060BEE3-538C-40F6-BA99-C960CD0F5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refreshedDate="46252.658519907411" createdVersion="8" refreshedVersion="8" minRefreshableVersion="3" recordCount="4494" xr:uid="{86610DB8-B85C-4AAF-8C4E-DD5C46EA2C8A}">
  <cacheSource type="worksheet">
    <worksheetSource ref="A1:M4495" sheet="layoffs_final"/>
  </cacheSource>
  <cacheFields count="13">
    <cacheField name="company" numFmtId="0">
      <sharedItems containsMixedTypes="1" containsNumber="1" containsInteger="1" minValue="99" maxValue="888" count="2925">
        <s v="Microsoft"/>
        <s v="TikTok"/>
        <s v="Tokopedia"/>
        <s v="PlaxidityX"/>
        <s v="Elementor"/>
        <s v="Equip Health"/>
        <s v="SAS"/>
        <s v="ADP"/>
        <s v="Culture Amp"/>
        <s v="CompanyCam"/>
        <s v="JiviAI"/>
        <s v="Bungie"/>
        <s v="BitGo"/>
        <s v="Amperity"/>
        <s v="Sonos"/>
        <s v="Cyberbit"/>
        <s v="Elastic"/>
        <s v="Snyk"/>
        <s v="Oracle"/>
        <s v="Ethereum Foundation"/>
        <s v="Lazada Group"/>
        <s v="Lucid Motors"/>
        <s v="91Trucks"/>
        <s v="Tractive"/>
        <s v="Lastminute"/>
        <s v="Optimove"/>
        <s v="Robinhood"/>
        <s v="Artlist"/>
        <s v="FNZ"/>
        <s v="Matter Labs"/>
        <s v="Rackspace"/>
        <s v="Rivian"/>
        <s v="Pleo"/>
        <s v="ServiceNow"/>
        <s v="Opendoor"/>
        <s v="Veritone"/>
        <s v="Shopee"/>
        <s v="Paytm"/>
        <s v="Salesforce"/>
        <s v="Verily"/>
        <s v="Hailo"/>
        <s v="Tools for Humanity"/>
        <s v="Zencity"/>
        <s v="Quizlet"/>
        <s v="FanDuel"/>
        <s v="Google"/>
        <s v="Dandy"/>
        <s v="Skai"/>
        <s v="Uber"/>
        <s v="GitLab"/>
        <s v="Aleph Farms"/>
        <s v="Manhattan Associates"/>
        <s v="Lightricks"/>
        <s v="Credit Karma"/>
        <s v="SentinelOne"/>
        <s v="Interview Kickstart"/>
        <s v="Amdocs"/>
        <s v="Rapyd"/>
        <s v="NetApp"/>
        <s v="Webflow"/>
        <s v="Groupon"/>
        <s v="BigID"/>
        <s v="Picnic"/>
        <s v="Wix"/>
        <s v="ClickUp"/>
        <s v="Meta"/>
        <s v="Intuit"/>
        <s v="AI21 Labs"/>
        <s v="Kraken"/>
        <s v="Innovaccer"/>
        <s v="Dune"/>
        <s v="Gambling.com Group"/>
        <s v="Cisco"/>
        <s v="LinkedIn"/>
        <s v="Jumia"/>
        <s v="Guesty"/>
        <s v="Breadfast"/>
        <s v="Trend Micro"/>
        <s v="MRI Software"/>
        <s v="One Identity"/>
        <s v="MessageBird"/>
        <s v="ZoomInfo"/>
        <s v="Adda247"/>
        <s v="Parker"/>
        <s v="Staffbase"/>
        <s v="Cloudflare"/>
        <s v="Bill.com"/>
        <s v="Ticketmaster"/>
        <s v="DeepL"/>
        <s v="Upwork"/>
        <s v="Truecaller"/>
        <s v="Arctic Wolf"/>
        <s v="Pocket FM"/>
        <s v="LSports"/>
        <s v="ApnaMart"/>
        <s v="reAlpha"/>
        <s v="PayPal"/>
        <s v="Coinbase"/>
        <s v="Freshworks"/>
        <s v="0G"/>
        <s v="Careem"/>
        <s v="Shopify"/>
        <s v="Pentera"/>
        <s v="SuperOps"/>
        <s v="Remarkable"/>
        <s v="Noa Technologies"/>
        <s v="Epidemic Sound"/>
        <s v="GeoComply"/>
        <s v="Qt Company"/>
        <s v="Acko"/>
        <s v="Sama"/>
        <s v="Shutterfly"/>
        <s v="Quora"/>
        <s v="Snap"/>
        <s v="UKG"/>
        <s v="Taboola"/>
        <s v="Swyftx"/>
        <s v="Nayax"/>
        <s v="Productboard"/>
        <s v="GoCardless"/>
        <s v="Eventbrite"/>
        <s v="StarkWare"/>
        <s v="Esh Group"/>
        <s v="Life360"/>
        <s v="Qualcomm"/>
        <s v="Cars.com"/>
        <s v="Pepper Pay"/>
        <s v="IAC"/>
        <s v="GoPro"/>
        <s v="Pendo"/>
        <s v="Bolt"/>
        <s v="Welltech"/>
        <s v="NeuroPixel.AI"/>
        <s v="Vimeo"/>
        <s v="MARA"/>
        <s v="Monzo"/>
        <s v="Covrzy"/>
        <s v="Rec Room"/>
        <s v="Yupp"/>
        <s v="Enpal"/>
        <s v="Monte Carlo"/>
        <s v="Quandoo"/>
        <s v="Epic Games"/>
        <s v="Zendesk"/>
        <s v="OpenText"/>
        <s v="Spotify"/>
        <s v="Gemini"/>
        <s v="Snowflake"/>
        <s v="Crypto.com"/>
        <s v="FranShares"/>
        <s v="Dell"/>
        <s v="Stone"/>
        <s v="Loopio"/>
        <s v="Digg"/>
        <s v="Atlassian"/>
        <s v="InvestCloud"/>
        <s v="Flipkart"/>
        <s v="SSense"/>
        <s v="Marketsource"/>
        <s v="Supernal"/>
        <s v="Envato"/>
        <s v="Amazon"/>
        <s v="At-Bay"/>
        <s v="MicroVision"/>
        <s v="Verint Systems"/>
        <s v="Zap Africa"/>
        <s v="Block"/>
        <s v="Ocado"/>
        <s v="eBay"/>
        <s v="C3.ai"/>
        <s v="Deliveroo"/>
        <s v="WiseTech"/>
        <s v="TrueCar"/>
        <s v="DraftKings"/>
        <s v="Livspace"/>
        <s v="Codecademy"/>
        <s v="Xero"/>
        <s v="Cyberark"/>
        <s v="Huawei"/>
        <s v="Axonius"/>
        <s v="Firebolt"/>
        <s v="Clari"/>
        <s v="Glossier"/>
        <s v="Dayforce"/>
        <s v="Fi.Money"/>
        <s v="Workday"/>
        <s v="Rewire"/>
        <s v="Smartsheet"/>
        <s v="Zillow"/>
        <s v="Zipcar"/>
        <s v="Expedia"/>
        <s v="Zupee"/>
        <s v="Peloton"/>
        <s v="Kiwi.com"/>
        <s v="Gloo"/>
        <s v="ASML"/>
        <s v="Pinterest"/>
        <s v="Moon Active"/>
        <s v="Entropy"/>
        <s v="Roof Stacks"/>
        <s v="Autodesk"/>
        <s v="Polygon"/>
        <s v="Ericsson"/>
        <s v="Tipalti"/>
        <s v="Informatica"/>
        <s v="Playtika"/>
        <s v="Aleph Alpha"/>
        <s v="eToro"/>
        <s v="Alle"/>
        <s v="StoreDot"/>
        <s v="MercadoLibre"/>
        <s v="FormFactor"/>
        <s v="Kaseya"/>
        <s v="Foretellix"/>
        <s v="Tailwind Labs"/>
        <s v="Angi"/>
        <s v="Multiverse"/>
        <s v="Sapiens"/>
        <s v="Yellow.ai"/>
        <s v="The Trade Desk"/>
        <s v="PowerSchool"/>
        <s v="Zebra Technologies"/>
        <s v="Believer Meats"/>
        <s v="EyeEm"/>
        <s v="Lusha"/>
        <s v="Tenstorrent"/>
        <s v="Whatfix"/>
        <s v="VSCO"/>
        <s v="GenWise"/>
        <s v="Mobileye"/>
        <s v="Payoneer"/>
        <s v="Teads"/>
        <s v="Cellebrite"/>
        <s v="Modern Hydrogen"/>
        <s v="Aqua Security"/>
        <s v="Inbound Health"/>
        <s v="Junglee Games"/>
        <s v="HP"/>
        <s v="ezCater"/>
        <s v="Monarch Tractor"/>
        <s v="Veson Nautical"/>
        <s v="Pipe"/>
        <s v="BharatAgri"/>
        <s v="AI Fleet"/>
        <s v="Synopsys"/>
        <s v="Deepwatch"/>
        <s v="GamesKraft"/>
        <s v="Sonder"/>
        <s v="MyBambu"/>
        <s v="Hewlett Packard Enterprise"/>
        <s v="Indeed"/>
        <s v="TripAdvisor"/>
        <s v="Porter"/>
        <s v="Personio"/>
        <s v="Chegg"/>
        <s v="Medtronic"/>
        <s v="Hootsuite"/>
        <s v="Robin AI"/>
        <s v="Applied Material"/>
        <s v="Altruist"/>
        <s v="Ludeo"/>
        <s v="Zepto"/>
        <s v="Broadcom"/>
        <s v="Tia"/>
        <s v="OfferUp"/>
        <s v="Handshake"/>
        <s v="Paycom"/>
        <s v="Simpl"/>
        <s v="Just Eat"/>
        <s v="Yolo Group"/>
        <s v="ZipRecruiter"/>
        <s v="Fiverr"/>
        <s v="Sorbet"/>
        <s v="Hike"/>
        <s v="xAI"/>
        <s v="Verbit"/>
        <s v="Scope3"/>
        <s v="Head Digital Works"/>
        <s v="GupShup"/>
        <s v="Bobble AI"/>
        <s v="The Gist"/>
        <s v="theGist"/>
        <s v="Games 24x7"/>
        <s v="Mobile Premier League"/>
        <s v="Krutrim"/>
        <s v="Flip"/>
        <s v="Klaviyo"/>
        <s v="BeepKart"/>
        <s v="Kyte"/>
        <s v="Restaurant365"/>
        <s v="F5"/>
        <s v="Micron"/>
        <s v="BenchSci"/>
        <s v="Crunchyroll"/>
        <s v="Kaltura"/>
        <s v="Nextdoor"/>
        <s v="Yotpo"/>
        <s v="Windsurf"/>
        <s v="Wondery"/>
        <s v="Clear"/>
        <s v="Astra"/>
        <s v="Eyeo"/>
        <s v="Ohm Mobility"/>
        <s v="ConsenSys"/>
        <s v="Zeen"/>
        <s v="Rocket Companies"/>
        <s v="TytoCare"/>
        <s v="Amicole"/>
        <s v="CodeParrot"/>
        <s v="Scale AI"/>
        <s v="Lenovo"/>
        <s v="Jamf"/>
        <s v="King.com"/>
        <s v="Blip"/>
        <s v="Intel"/>
        <s v="TripleLift"/>
        <s v="Indeed + Glassdoor"/>
        <s v="Augury"/>
        <s v="Eigen Labs"/>
        <s v="Subtl AI"/>
        <s v="Retrain.ai"/>
        <s v="Okra"/>
        <s v="TomTom"/>
        <s v="Bumble"/>
        <s v="Klue"/>
        <s v="Pluralsight"/>
        <s v="Khoros"/>
        <s v="Sabi"/>
        <s v="Salto"/>
        <s v="Airtime"/>
        <s v="Hims &amp; Hers"/>
        <s v="Business Insider"/>
        <s v="Cars24"/>
        <s v="nCino"/>
        <s v="Otipy"/>
        <s v="LeddarTech"/>
        <s v="Climeworks"/>
        <s v="Builder.ai"/>
        <s v="Luminar"/>
        <s v="Blink Charging"/>
        <s v="VerSe Innovation copy"/>
        <s v="GroundGame Health"/>
        <s v="Noogata"/>
        <s v="Match Group"/>
        <s v="CrowdStrike"/>
        <s v="General Fusion"/>
        <s v="Deep Instinct"/>
        <s v="Log 9 Materials"/>
        <s v="Beam"/>
        <s v="Bench"/>
        <s v="Electronic Arts"/>
        <s v="Stem"/>
        <s v="Spotter"/>
        <s v="Tomorrow"/>
        <s v="SambaNova"/>
        <s v="Katana"/>
        <s v="Zopper"/>
        <s v="Turo"/>
        <s v="AppLovin"/>
        <s v="Smashing"/>
        <s v="Forto"/>
        <s v="Marin Software"/>
        <s v="Wing Cloud"/>
        <s v="Coho AI"/>
        <s v="Five9"/>
        <s v="Tract"/>
        <s v="Automattic"/>
        <s v="Canva"/>
        <s v="WhyHive"/>
        <s v="Zomato"/>
        <s v="Northvolt"/>
        <s v="2U"/>
        <s v="Palantir"/>
        <s v="Niantic"/>
        <s v="Prefect"/>
        <s v="Brightcove"/>
        <s v="Acxiom"/>
        <s v="HelloFresh"/>
        <s v="Otorio"/>
        <s v="ActiveFence"/>
        <s v="D-ID"/>
        <s v="Arrival"/>
        <s v="Zonar Systems"/>
        <s v="Wayfair"/>
        <s v="LiveRamp"/>
        <s v="Ola Electric"/>
        <s v="ANS Commerce"/>
        <s v="Grubhub"/>
        <s v="Digimarc"/>
        <s v="Flywire"/>
        <s v="Commercetools"/>
        <s v="Skybox Security"/>
        <s v="HerMD"/>
        <s v="Ibotta"/>
        <s v="NetEase"/>
        <s v="Electriq Global"/>
        <s v="SeatGeek"/>
        <s v="Vendease"/>
        <s v="Riskified"/>
        <s v="Logically"/>
        <s v="Eviation Aircraft"/>
        <s v="Blue Origin"/>
        <s v="Metro Africa Xpress"/>
        <s v="Sophos"/>
        <s v="Redfin"/>
        <s v="Zepz"/>
        <s v="Getaround"/>
        <s v="Unity"/>
        <s v="Wise"/>
        <s v="Justworks"/>
        <s v="Sprinklr"/>
        <s v="NanoLock"/>
        <s v="Refurbed"/>
        <s v="Outbrain"/>
        <s v="SRTX"/>
        <s v="Tabnine"/>
        <s v="Hugging Face"/>
        <s v="Cruise"/>
        <s v="Okta"/>
        <s v="AppsFlyer"/>
        <s v="Asana"/>
        <s v="Innoviz"/>
        <s v="Sure"/>
        <s v="Cushion"/>
        <s v="Placer.ai"/>
        <s v="Digital River"/>
        <s v="Aurora Labs"/>
        <s v="Stripe"/>
        <s v="Turso"/>
        <s v="Unbabel"/>
        <s v="Chrono24"/>
        <s v="Aurora Solar"/>
        <s v="HeyJobs"/>
        <s v="ShareChat"/>
        <s v="Textio"/>
        <s v="Advisor Credit Exchange"/>
        <s v="TechCrunch"/>
        <s v="Alza"/>
        <s v="Boozt"/>
        <s v="Pandion"/>
        <s v="Icon"/>
        <s v="Cloud Software Group"/>
        <s v="SolarEdge"/>
        <s v="Level"/>
        <s v="Brave Care"/>
        <s v="Epicery"/>
        <s v="Lilium"/>
        <s v="BionicHIVE"/>
        <s v="RealSelf"/>
        <s v="Refinery29"/>
        <s v="Thrive"/>
        <s v="Cint"/>
        <s v="Yahoo"/>
        <s v="Foundry"/>
        <s v="Calendly"/>
        <s v="Canoo"/>
        <s v="Bluevine"/>
        <s v="Spectrm"/>
        <s v="EasyKnock"/>
        <s v="Carousell"/>
        <s v="Mixtroz"/>
        <s v="Circle"/>
        <s v="Vox Media"/>
        <s v="Stash"/>
        <s v="Booking Holdings"/>
        <s v="Lightspeed Commerce"/>
        <s v="Kobo360"/>
        <s v="Klub"/>
        <s v="AlphaSense"/>
        <s v="Sprout Social"/>
        <s v="Apple"/>
        <s v="Adjust"/>
        <s v="Hopper"/>
        <s v="Headspace"/>
        <s v="Own"/>
        <s v="TrueLayer"/>
        <s v="Better Collective"/>
        <s v="Kuku FM"/>
        <s v="AMD"/>
        <s v="Forward"/>
        <s v="Lyra Health"/>
        <s v="New Relic"/>
        <s v="Stoa"/>
        <s v="Enphase Energy"/>
        <s v="23andMe"/>
        <s v="Sword Health"/>
        <s v="BigCommerce"/>
        <s v="Booking.com"/>
        <s v="Exosonic"/>
        <s v="Akamai"/>
        <s v="ShareFile"/>
        <s v="iRobot"/>
        <s v="Outreach"/>
        <s v="Avaya"/>
        <s v="Mozilla Foundation"/>
        <s v="Incredibuild"/>
        <s v="Atera"/>
        <s v="Maven Clinic"/>
        <s v="Bowery Farming"/>
        <s v="Tidal"/>
        <s v="Dropbox"/>
        <s v="Miro"/>
        <s v="Docker"/>
        <s v="dYdX"/>
        <s v="Coursera"/>
        <s v="Twelve"/>
        <s v="Airthings"/>
        <s v="Catena Media"/>
        <s v="Venminder"/>
        <s v="Jellysmack"/>
        <s v="Chief"/>
        <s v="CapWay"/>
        <s v="Gigamon"/>
        <s v="Fable"/>
        <s v="Bytedance"/>
        <s v="Nikola"/>
        <s v="Toplyne"/>
        <s v="CareerBuilder + Monster"/>
        <s v="GoWild"/>
        <s v="Toptal"/>
        <s v="Grabango"/>
        <s v="Zapp"/>
        <s v="Eaze"/>
        <s v="PubMatic"/>
        <s v="Zapata Computing"/>
        <s v="Tome"/>
        <s v="Alma"/>
        <s v="Flexport"/>
        <s v="ABBYY"/>
        <s v="FreshBooks"/>
        <s v="Shein"/>
        <s v="DoubleCloud"/>
        <s v="Greenikk"/>
        <s v="Drata"/>
        <s v="Moov"/>
        <s v="FreightWaves"/>
        <s v="Olo"/>
        <s v="Healthy.io"/>
        <s v="Reverb"/>
        <s v="Notable Labs"/>
        <s v="CarTrawler"/>
        <s v="ApplyBoard"/>
        <s v="Spendesk"/>
        <s v="Aakash"/>
        <s v="IBM"/>
        <s v="Runtastic"/>
        <s v="Udemy"/>
        <s v="InsurStaq.ai"/>
        <s v="Nori"/>
        <s v="WeTransfer"/>
        <s v="Center"/>
        <s v="Goop"/>
        <s v="Motif Foodworks"/>
        <s v="ChargePoint"/>
        <s v="Fly.io"/>
        <s v="Lyft"/>
        <s v="ABL"/>
        <s v="Dozee"/>
        <s v="Dunzo"/>
        <s v="Character.ai"/>
        <s v="Brave"/>
        <s v="Tome Biosciences"/>
        <s v="Velo3D"/>
        <s v="Kenko Health"/>
        <s v="Received"/>
        <s v="Sandvine"/>
        <s v="Kaiyo"/>
        <s v="Skip the Dishes"/>
        <s v="ReshaMandi"/>
        <s v="Localize"/>
        <s v="Paper"/>
        <s v="Retention.com"/>
        <s v="Loop"/>
        <s v="Regrow Ag"/>
        <s v="Inuitive"/>
        <s v="Formlabs"/>
        <s v="Mister Spex"/>
        <s v="PacketFabric"/>
        <s v="Sampler"/>
        <s v="Grail"/>
        <s v="DayTwo"/>
        <s v="Quizac"/>
        <s v="Tally"/>
        <s v="Branch.io"/>
        <s v="iCIMS"/>
        <s v="Ready Robotics"/>
        <s v="Submittable"/>
        <s v="Fastly"/>
        <s v="LegalZoom"/>
        <s v="Axios Media"/>
        <s v="Mobius Motors"/>
        <s v="Teradata"/>
        <s v="Infineon"/>
        <s v="Jam City"/>
        <s v="Rad Power Bikes"/>
        <s v="Delivery Hero"/>
        <s v="NerdWallet"/>
        <s v="Moxion Power"/>
        <s v="OrCam"/>
        <s v="WayCool"/>
        <s v="Humble Games"/>
        <s v="Cohere"/>
        <s v="Bluelearn"/>
        <s v="Magic Leap"/>
        <s v="Mercari U.S."/>
        <s v="EverC"/>
        <s v="Lex"/>
        <s v="ON"/>
        <s v="Kaspersky"/>
        <s v="Unbounce"/>
        <s v="SadaPay"/>
        <s v="MoxiWorks"/>
        <s v="Redbox"/>
        <s v="CyberProof"/>
        <s v="UIPath"/>
        <s v="Unacademy"/>
        <s v="Koo"/>
        <s v="Upside Foods"/>
        <s v="Sightful"/>
        <s v="Ninja Van"/>
        <s v="Priceline"/>
        <s v="RealPage"/>
        <s v="Planet"/>
        <s v="Perion"/>
        <s v="BeReal"/>
        <s v="Flutterwave"/>
        <s v="Ginkgo Bioworks"/>
        <s v="Trade Republic"/>
        <s v="Emma Sleep"/>
        <s v="Moovit"/>
        <s v="Wex"/>
        <s v="C2FO"/>
        <s v="Fisker"/>
        <s v="Stackpath"/>
        <s v="Unit"/>
        <s v="Care/of"/>
        <s v="Running Tide"/>
        <s v="Satellogic"/>
        <s v="Cypress.io"/>
        <s v="Paxos"/>
        <s v="SCiFi Foods"/>
        <s v="VRChat"/>
        <s v="Ladenzeile"/>
        <s v="Kissflow"/>
        <s v="Copia"/>
        <s v="Revel"/>
        <s v="Oda"/>
        <s v="Pagaya"/>
        <s v="MoonPay"/>
        <s v="Yext"/>
        <s v="Tropic"/>
        <s v="Gro Intelligence"/>
        <s v="Jasper Health"/>
        <s v="FlightStats"/>
        <s v="ICANN"/>
        <s v="Walnut"/>
        <s v="Funding Circle"/>
        <s v="Glovo"/>
        <s v="Foursquare"/>
        <s v="Guild"/>
        <s v="Cue Health"/>
        <s v="Silo"/>
        <s v="Joonko"/>
        <s v="Toshiba"/>
        <s v="Wefox"/>
        <s v="Replit"/>
        <s v="Gopuff"/>
        <s v="Karhoo"/>
        <s v="SeekOut"/>
        <s v="Atmosphere"/>
        <s v="Singularity 6"/>
        <s v="Mainvest"/>
        <s v="Motional"/>
        <s v="Symend"/>
        <s v="Vacasa"/>
        <s v="Sight Diagnostics"/>
        <s v="PrepLadder"/>
        <s v="Arkane Studios"/>
        <s v="Brilliant"/>
        <s v="Kinaxis"/>
        <s v="Hopin"/>
        <s v="Enovix"/>
        <s v="Bakkt"/>
        <s v="Cabify"/>
        <s v="Assurance"/>
        <s v="Sproutt"/>
        <s v="Tesla"/>
        <s v="RiseUp"/>
        <s v="Akili Interactive"/>
        <s v="Getir"/>
        <s v="Ola"/>
        <s v="ComplYant"/>
        <s v="HealthifyMe"/>
        <s v="True Anomaly"/>
        <s v="Grin"/>
        <s v="Freenome"/>
        <s v="Heureka Group"/>
        <s v="98point6"/>
        <s v="OutSystems"/>
        <s v="Homie"/>
        <s v="The Good Glamm Group"/>
        <s v="Showpad"/>
        <s v="Stability AI"/>
        <s v="Pax8"/>
        <s v="ConnectWise"/>
        <s v="Take-Two"/>
        <s v="Criteo"/>
        <s v="Fabric"/>
        <s v="Hinge Health"/>
        <s v="Zoe"/>
        <s v="Cornershop"/>
        <s v="Scaler"/>
        <s v="Checkr"/>
        <s v="Trendsales"/>
        <s v="Fission"/>
        <s v="Bolt.Earth"/>
        <s v="Agility Robotics"/>
        <s v="Ghost Autonomy"/>
        <s v="Vivian Health"/>
        <s v="CoRover"/>
        <s v="Yummly"/>
        <s v="Byju's"/>
        <s v="Lentra"/>
        <s v="Thepeer"/>
        <s v="Osso VR"/>
        <s v="Identiq"/>
        <s v="Ranger Insurance"/>
        <s v="Rezi"/>
        <s v="ChowNow"/>
        <s v="Synctera"/>
        <s v="Cybereason"/>
        <s v="ShopBack"/>
        <s v="Orbotech"/>
        <s v="Airmeet"/>
        <s v="Singular Genomics"/>
        <s v="Longi"/>
        <s v="Flock Freight"/>
        <s v="Chipper Cash"/>
        <s v="Blueboard"/>
        <s v="Ancestry"/>
        <s v="Phantom Auto"/>
        <s v="Deadspin"/>
        <s v="Niche"/>
        <s v="Inscribe"/>
        <s v="Turnitin"/>
        <s v="Totango"/>
        <s v="Sorare"/>
        <s v="PlanetScale"/>
        <s v="Form Energy"/>
        <s v="Edgio"/>
        <s v="Melio"/>
        <s v="Our Next Energy"/>
        <s v="Project Ronin"/>
        <s v="Pristyn Care"/>
        <s v="Tonik"/>
        <s v="Kevin"/>
        <s v="Treasury Prime"/>
        <s v="Sony Interactive"/>
        <s v="PropertyGuru"/>
        <s v="Daraz"/>
        <s v="Redesign Health"/>
        <s v="Carbon Health"/>
        <s v="Vice Media"/>
        <s v="Affirm"/>
        <s v="Finder"/>
        <s v="BuzzFeed"/>
        <s v="Aptiv"/>
        <s v="Tails.com"/>
        <s v="Auctane"/>
        <s v="KnownOrigin"/>
        <s v="Meati"/>
        <s v="Farfetch"/>
        <s v="Voi"/>
        <s v="Toast"/>
        <s v="LinkSquares"/>
        <s v="Storytel"/>
        <s v="CodeSee"/>
        <s v="May Mobility"/>
        <s v="Wint Wealth"/>
        <s v="Away"/>
        <s v="Instacart"/>
        <s v="Mozilla"/>
        <s v="Impinj"/>
        <s v="Everybuddy"/>
        <s v="Popcore"/>
        <s v="Wisense"/>
        <s v="SiriusXM"/>
        <s v="Licious"/>
        <s v="BlissClub"/>
        <s v="Kandji"/>
        <s v="Pure Storage"/>
        <s v="Otovo"/>
        <s v="Journera"/>
        <s v="Grammarly"/>
        <s v="Fireblocks"/>
        <s v="Tenable"/>
        <s v="Workfellow"/>
        <s v="DocuSign"/>
        <s v="Glowforge"/>
        <s v="Drizly"/>
        <s v="BillGO"/>
        <s v="Impact.com"/>
        <s v="Astrate Medical"/>
        <s v="Meetup"/>
        <s v="Muvin"/>
        <s v="Nomad Health"/>
        <s v="Zwift"/>
        <s v="Top Hat"/>
        <s v="Cake Bikes"/>
        <s v="Small Robot Company"/>
        <s v="Twig"/>
        <s v="Zoom"/>
        <s v="Illumina"/>
        <s v="Indigo"/>
        <s v="Proofpoint"/>
        <s v="Trove Recommerce"/>
        <s v="CircleCI"/>
        <s v="Thinx"/>
        <s v="The Messenger"/>
        <s v="Zuora"/>
        <s v="Wattpad"/>
        <s v="Noom"/>
        <s v="Procore"/>
        <s v="Vipps"/>
        <s v="DispatchHealth"/>
        <s v="Swiggy"/>
        <s v="Veho"/>
        <s v="MVPindex"/>
        <s v="Cova"/>
        <s v="Cult.fit"/>
        <s v="Aurora"/>
        <s v="Desktop Metal"/>
        <s v="HubSpot"/>
        <s v="SAP"/>
        <s v="Vroom"/>
        <s v="Brex"/>
        <s v="Cure.fit"/>
        <s v="GoStudent"/>
        <s v="GoTo"/>
        <s v="Seedr"/>
        <s v="Riot Games"/>
        <s v="Xendit"/>
        <s v="Fashinza"/>
        <s v="Stitch Fix"/>
        <s v="YouTube"/>
        <s v="Sirplus"/>
        <s v="SonderMind"/>
        <s v="First Mode"/>
        <s v="ALI Technologies"/>
        <s v="Thursday"/>
        <s v="Veeam"/>
        <s v="GrabCAD"/>
        <s v="Artifact"/>
        <s v="Dastgyr"/>
        <s v="Hologram"/>
        <s v="Vendr"/>
        <s v="New Work SE"/>
        <s v="Discord"/>
        <s v="Inmobi"/>
        <s v="Audible"/>
        <s v="7Shifts"/>
        <s v="Sisense"/>
        <n v="888"/>
        <s v="Certinia"/>
        <s v="Dextrous Robotics"/>
        <s v="Citrix"/>
        <s v="FreshDirect"/>
        <s v="Beam Benefits"/>
        <s v="Instagram"/>
        <s v="SoFi"/>
        <s v="Twitch"/>
        <s v="Branch"/>
        <s v="Nevro"/>
        <s v="FullStory"/>
        <s v="Uber Freight"/>
        <s v="Rent the Runway"/>
        <s v="Treasure Financial"/>
        <s v="Humane"/>
        <s v="EVBox"/>
        <s v="Morning Consult"/>
        <s v="NuScale Power"/>
        <s v="Flexe"/>
        <s v="Pitch"/>
        <s v="Here"/>
        <s v="Ledger Investing"/>
        <s v="Lendio"/>
        <s v="MeridianLink"/>
        <s v="LiveVox"/>
        <s v="NanoString Technologies"/>
        <s v="Lever"/>
        <s v="Trigo"/>
        <s v="InVision"/>
        <s v="VideoAmp"/>
        <s v="Xerox"/>
        <s v="Orca Security"/>
        <s v="Frontdesk"/>
        <s v="Strake"/>
        <s v="Hyperloop One"/>
        <s v="Palmetto Clean Technology"/>
        <s v="InSightec"/>
        <s v="Kaspien"/>
        <s v="Udaan"/>
        <s v="Checkout.com"/>
        <s v="Arm Holdings"/>
        <s v="Superpedestrian"/>
        <s v="Solarisbank"/>
        <s v="Curalie"/>
        <s v="Curbio"/>
        <s v="Flyhomes"/>
        <s v="Stellar Pizza"/>
        <s v="Invitae"/>
        <s v="Etsy"/>
        <s v="Analog Devices"/>
        <s v="ForgeRock"/>
        <s v="Flex"/>
        <s v="FourKites"/>
        <s v="Sojern"/>
        <s v="Jungle Scout"/>
        <s v="SmileDirectClub"/>
        <s v="Sunfolding"/>
        <s v="Zulily"/>
        <s v="D2iQ"/>
        <s v="Simplilearn"/>
        <s v="Navan"/>
        <s v="ZestMoney"/>
        <s v="Contentful"/>
        <s v="Course Hero"/>
        <s v="Pivo"/>
        <s v="TuSimple"/>
        <s v="Meow Wolf"/>
        <s v="DwellWell"/>
        <s v="Twilio"/>
        <s v="Filmic"/>
        <s v="Loco"/>
        <s v="Domo"/>
        <s v="Mojo"/>
        <s v="Pipedrive"/>
        <s v="Dataminr"/>
        <s v="Tier Mobility"/>
        <s v="VMware"/>
        <s v="Veev"/>
        <s v="Anar"/>
        <s v="Alerzo"/>
        <s v="McMakler"/>
        <s v="Tulip Retail"/>
        <s v="Jodo"/>
        <s v="Presto"/>
        <s v="Physics Wallah"/>
        <s v="NextGen Healthcare"/>
        <s v="Buildertrend"/>
        <s v="Jane"/>
        <s v="Zazuu"/>
        <s v="Sierra Space"/>
        <s v="Paystack"/>
        <s v="Beamery"/>
        <s v="FintechOS"/>
        <s v="Landing"/>
        <s v="Uleet"/>
        <s v="Chewy"/>
        <s v="Sarcos"/>
        <s v="Cake Group"/>
        <s v="Halodoc"/>
        <s v="Markforged"/>
        <s v="Ping Identity"/>
        <s v="Carta"/>
        <s v="Commure"/>
        <s v="OSlash"/>
        <s v="CloudKitchens"/>
        <s v="Oportun"/>
        <s v="Zeus Living"/>
        <s v="Ava Labs"/>
        <s v="Moore Threads"/>
        <s v="Pico Interactive"/>
        <s v="NIO"/>
        <s v="OpenSea"/>
        <s v="Viasat"/>
        <s v="Beyond Meat"/>
        <s v="OpenSpace"/>
        <s v="Orchard"/>
        <s v="Sportradar"/>
        <s v="Splunk"/>
        <s v="Faire"/>
        <s v="Sana Benefits"/>
        <s v="Olive"/>
        <s v="StepStone"/>
        <s v="Hubilo"/>
        <s v="Karat Financial"/>
        <s v="Hippo Insurance"/>
        <s v="Graphy"/>
        <s v="Salsify"/>
        <s v="F-Secure"/>
        <s v="Virgio"/>
        <s v="Exabeam"/>
        <s v="Slync"/>
        <s v="SiFive"/>
        <s v="Pebble"/>
        <s v="Shipt"/>
        <s v="Parity Technologies"/>
        <s v="Roblox China"/>
        <s v="Convoy"/>
        <s v="Bullhorn"/>
        <s v="StellarAlgo"/>
        <s v="ManoMano"/>
        <s v="Plume"/>
        <s v="Belora Paris"/>
        <s v="Made Renovation"/>
        <s v="Volta Trucks"/>
        <s v="Waymo"/>
        <s v="CityMall"/>
        <s v="Kayak / OpenTable"/>
        <s v="Bandcamp"/>
        <s v="Stack Overflow"/>
        <s v="PokerStars"/>
        <s v="Uno Health"/>
        <s v="Lending Club"/>
        <s v="MariaDB"/>
        <s v="Deepgram"/>
        <s v="Acronis"/>
        <s v="Neon"/>
        <s v="Braid"/>
        <s v="Product Hunt"/>
        <s v="VTrips"/>
        <s v="Juniper Networks"/>
        <s v="Dash"/>
        <s v="Shift"/>
        <s v="Yuga Labs"/>
        <s v="Bizongo"/>
        <s v="SchoolMint"/>
        <s v="Ledger"/>
        <s v="Qualtrics"/>
        <s v="Bird"/>
        <s v="Dare"/>
        <s v="Sendoso"/>
        <s v="Chainalysis"/>
        <s v="Synapse"/>
        <s v="Chia Network"/>
        <s v="IronNet"/>
        <s v="Sono Motors"/>
        <s v="Cowbell"/>
        <s v="N26"/>
        <s v="Andgo"/>
        <s v="Vendasta"/>
        <s v="Lululemon Studio"/>
        <s v="Fit Analytics"/>
        <s v="Talkdesk"/>
        <s v="Lucid Software"/>
        <s v="Eat Just"/>
        <s v="Appsmith"/>
        <s v="Roblox"/>
        <s v="Foodpanda"/>
        <s v="Recast"/>
        <s v="DealShare"/>
        <s v="Merative"/>
        <s v="Akudo"/>
        <s v="Truss Works"/>
        <s v="Nowadays"/>
        <s v="Hooray Foods"/>
        <s v="Sage Therapeutics copy"/>
        <s v="Velocity"/>
        <s v="Airtable"/>
        <s v="Project44"/>
        <s v="R3"/>
        <s v="Akili Labs"/>
        <s v="Evolve"/>
        <s v="Binance.US"/>
        <s v="Homeday"/>
        <s v="Eurora"/>
        <s v="Chargebee"/>
        <s v="Divvy Homes"/>
        <s v="Bonterra"/>
        <s v="Mollie"/>
        <s v="Oyster"/>
        <s v="Sensor Tower"/>
        <s v="Drift"/>
        <s v="Hijra"/>
        <s v="Roku"/>
        <s v="ForeScout"/>
        <s v="Better.com"/>
        <s v="iSpecimen"/>
        <s v="MaxMilhas"/>
        <s v="Absci"/>
        <s v="Hodinkee"/>
        <s v="Talent.com"/>
        <s v="mPharma"/>
        <s v="Xolo"/>
        <s v="Nexar"/>
        <s v="Khatabook"/>
        <s v="Clearcover"/>
        <s v="Gated"/>
        <s v="Lunchtime"/>
        <s v="Pegasystems"/>
        <s v="Biofourmis"/>
        <s v="Malwarebytes"/>
        <s v="SkyKick"/>
        <s v="Omuni"/>
        <s v="Huma"/>
        <s v="Zeplin"/>
        <s v="123Milhas"/>
        <s v="CoinSwitch"/>
        <s v="Clockwork"/>
        <s v="SenseTime"/>
        <s v="HackerRank"/>
        <s v="Cuemath"/>
        <s v="Fortinet"/>
        <s v="Captiv8"/>
        <s v="Chingari"/>
        <s v="Atlas"/>
        <s v="Veriff"/>
        <s v="BlackLine"/>
        <s v="Rivos"/>
        <s v="Cellulant"/>
        <s v="JOIN"/>
        <s v="CoinDCX"/>
        <s v="Datagen"/>
        <s v="Hypefast"/>
        <s v="Tempo Automation"/>
        <s v="Recur"/>
        <s v="Unite Us"/>
        <s v="Twiga"/>
        <s v="Spartan Poker"/>
        <s v="Times Internet"/>
        <s v="Detectify"/>
        <s v="Embrace"/>
        <s v="Zylo"/>
        <s v="AppFolio"/>
        <s v="StreamElements"/>
        <s v="FlexCar"/>
        <s v="Noice"/>
        <s v="SecureWorks"/>
        <s v="Easee"/>
        <s v="CoinDesk"/>
        <s v="iQiyi Smart"/>
        <s v="LingoAce"/>
        <s v="SHINE Technologies"/>
        <s v="NCC Group"/>
        <s v="Blend"/>
        <s v="Babylon Health"/>
        <s v="Dealtale"/>
        <s v="Bukalapak"/>
        <s v="Podium"/>
        <s v="Quizy"/>
        <s v="StyleSeat"/>
        <s v="Thoughtworks"/>
        <s v="Rapid7"/>
        <s v="MPL"/>
        <s v="Doximity"/>
        <s v="Caliva"/>
        <s v="Sendy"/>
        <s v="Verse"/>
        <s v="Qomplx"/>
        <s v="CodeClan"/>
        <s v="Big Cabal Media"/>
        <s v="Bardee"/>
        <s v="Aware"/>
        <s v="Ayoconnect"/>
        <s v="Finastra"/>
        <s v="Spinny"/>
        <s v="Tekion"/>
        <s v="BetterUp"/>
        <s v="Gem"/>
        <s v="Gupy"/>
        <s v="FamPay"/>
        <s v="Actyv.ai"/>
        <s v="ConnectedH"/>
        <s v="DICE"/>
        <s v="HackerOne"/>
        <s v="Silofit"/>
        <s v="Vesttoo"/>
        <s v="Archipelago"/>
        <s v="Increff"/>
        <s v="inDrive"/>
        <s v="Qoala"/>
        <s v="Cambricon"/>
        <s v="Kape Technologies"/>
        <s v="Eroad"/>
        <s v="Kape"/>
        <s v="Homology"/>
        <s v="Milkbasket"/>
        <s v="Wish"/>
        <s v="Point"/>
        <s v="Akseleran"/>
        <s v="Datree"/>
        <s v="Degreed"/>
        <s v="Figure"/>
        <s v="Myntra"/>
        <s v="Kleos Space"/>
        <s v="Ripl"/>
        <s v="Deep Instict"/>
        <s v="AppHarvest"/>
        <s v="Arive"/>
        <s v="Onfido"/>
        <s v="PathAI"/>
        <s v="Bundle Africa"/>
        <s v="Viaplay"/>
        <s v="MiQ"/>
        <s v="Phunware"/>
        <s v="Saarthi.ai"/>
        <s v="AgentSync"/>
        <s v="Inspirato"/>
        <s v="Tilia"/>
        <s v="Blue Apron"/>
        <s v="Cameo"/>
        <s v="Square Roots"/>
        <s v="Code42"/>
        <s v="Ezoic"/>
        <s v="Lamudi Indonesia"/>
        <s v="Binance"/>
        <s v="PayScale"/>
        <s v="Navi Technologies"/>
        <s v="Skill Lync"/>
        <s v="AudioCodes"/>
        <s v="Centr"/>
        <s v="Factorial"/>
        <s v="Bark"/>
        <s v="Netlify"/>
        <s v="Dapper Labs"/>
        <s v="DeepVerge"/>
        <s v="Freightos"/>
        <s v="CyberGRX"/>
        <s v="Duck Creek Technologies"/>
        <s v="Matterport"/>
        <s v="Everquote"/>
        <s v="Built Technologies"/>
        <s v="Butterfly Network copy"/>
        <s v="Dukaan"/>
        <s v="Jasper"/>
        <s v="FrontRow"/>
        <s v="IntelyCare"/>
        <s v="Latch"/>
        <s v="Motive"/>
        <s v="Medsaf"/>
        <s v="Evernote"/>
        <s v="PaulCamper"/>
        <s v="Trellix"/>
        <s v="Perfect Day"/>
        <s v="Solidigm"/>
        <s v="Circles.Life"/>
        <s v="ConnectRN"/>
        <s v="Crunchbase"/>
        <s v="Athennian"/>
        <s v="Vista Group"/>
        <s v="Highsnobiety"/>
        <s v="Zip"/>
        <s v="Buzzer"/>
        <s v="Lunya"/>
        <s v="MediaMath"/>
        <s v="Petal"/>
        <s v="Artsy"/>
        <s v="Candy Digital"/>
        <s v="Xiaomi India"/>
        <s v="Torii"/>
        <s v="Insider Intelligence"/>
        <s v="Merama"/>
        <s v="Qyuki"/>
        <s v="Vowel"/>
        <s v="Ludia"/>
        <s v="Karat"/>
        <s v="Plex"/>
        <s v="Starburst"/>
        <s v="Zapier"/>
        <s v="Selina"/>
        <s v="Tibber"/>
        <s v="ClearPay"/>
        <s v="Eyowo"/>
        <s v="Honor"/>
        <s v="Lordstown Motors"/>
        <s v="Waze"/>
        <s v="IRL"/>
        <s v="Retool"/>
        <s v="Anaplan"/>
        <s v="Tackle.io"/>
        <s v="Ritual"/>
        <s v="Friday Health Plans"/>
        <s v="Mutiny"/>
        <s v="Grab"/>
        <s v="OLX Group"/>
        <s v="AvantStay"/>
        <s v="Karakuki"/>
        <s v="Panther"/>
        <s v="Fuzzy"/>
        <s v="Mojocare"/>
        <s v="Pilot"/>
        <s v="Karshare"/>
        <s v="CareRev"/>
        <s v="TADA"/>
        <s v="Cerner"/>
        <s v="Bitwise"/>
        <s v="Mamaearth"/>
        <s v="Western Digital"/>
        <s v="JupiterOne"/>
        <s v="Zalando"/>
        <s v="dot.LA"/>
        <s v="TaxBit"/>
        <s v="Tiki"/>
        <s v="Trybe"/>
        <s v="Expel"/>
        <s v="Cityblock Health"/>
        <s v="Highspot"/>
        <s v="Cohesity"/>
        <s v="Opora"/>
        <s v="Nubank"/>
        <s v="Sumo Logic"/>
        <s v="Flatiron Health"/>
        <s v="HashiCorp"/>
        <s v="Ursa Major"/>
        <s v="Coherent"/>
        <s v="Reddit"/>
        <s v="Linktree"/>
        <s v="Dragos"/>
        <s v="Bunnii"/>
        <s v="Azibo"/>
        <s v="Meati Foods"/>
        <s v="Zume"/>
        <s v="Haven Technologies"/>
        <s v="Mural"/>
        <s v="Glamyo Health"/>
        <s v="CloudTrucks"/>
        <s v="CoachHub"/>
        <s v="Fractal Software"/>
        <s v="SmartAsset"/>
        <s v="Mux"/>
        <s v="Taxfix"/>
        <s v="Mensa Brands"/>
        <s v="Coupa"/>
        <s v="Nansen"/>
        <s v="DHI Group"/>
        <s v="BenevolentAI"/>
        <s v="Circus Kitchens"/>
        <s v="Kabam"/>
        <s v="WillowTree"/>
        <s v="Flink"/>
        <s v="Alibaba Cloud"/>
        <s v="Brainly"/>
        <s v="Reliance JioMart"/>
        <s v="SoundCloud"/>
        <s v="Tractable"/>
        <s v="Daylight"/>
        <s v="FemTech Health"/>
        <s v="Paperless Parts"/>
        <s v="Nuance Communications"/>
        <s v="Moss"/>
        <s v="Pie Insurance"/>
        <s v="Clearbit"/>
        <s v="dbt Labs"/>
        <s v="L1ght"/>
        <s v="Nextbite"/>
        <s v="Formstack"/>
        <s v="Lemonade"/>
        <s v="DroneUp"/>
        <s v="Quanto"/>
        <s v="Cana"/>
        <s v="Nuro"/>
        <s v="Telenav"/>
        <s v="Happay"/>
        <s v="Slickdeals"/>
        <s v="Toothsi"/>
        <s v="Everlaw"/>
        <s v="Tessera"/>
        <s v="Varo"/>
        <s v="CS Disco"/>
        <s v="Redbubble"/>
        <s v="Similarweb"/>
        <s v="Sonatype"/>
        <s v="Marqeta"/>
        <s v="Momentis Surgical"/>
        <s v="Glean AI"/>
        <s v="Everledger"/>
        <s v="Twist Bioscience"/>
        <s v="Meesho"/>
        <s v="Teachmint"/>
        <s v="Eventus"/>
        <s v="Sabre"/>
        <s v="Scribe Media"/>
        <s v="Autograph"/>
        <s v="Earnix"/>
        <s v="Karma"/>
        <s v="Glassbox"/>
        <s v="Zymergen"/>
        <s v="TheSkimm"/>
        <s v="Brightline"/>
        <s v="Bishop Fox"/>
        <s v="Zoomo"/>
        <s v="Vallai"/>
        <s v="Lev"/>
        <s v="PharmEasy"/>
        <s v="Vah Vah!"/>
        <s v="Cogito"/>
        <s v="Embark Vet"/>
        <s v="Poparazzi"/>
        <s v="Providoor"/>
        <s v="Alteryx"/>
        <s v="Greenhouse"/>
        <s v="Rebellion Defense"/>
        <s v="Poppulo"/>
        <s v="Megaport"/>
        <s v="Airtasker"/>
        <s v="Tickertape"/>
        <s v="Clubhouse"/>
        <s v="Oddle"/>
        <s v="Extramarks"/>
        <s v="Teampay"/>
        <s v="RenoRun"/>
        <s v="Rapid"/>
        <s v="Red Hat"/>
        <s v="BigPanda"/>
        <s v="Benchling"/>
        <s v="Open"/>
        <s v="Gloat"/>
        <s v="Insider"/>
        <s v="Iress"/>
        <s v="WalkMe"/>
        <s v="Noon"/>
        <s v="TRM Labs"/>
        <s v="CoLab"/>
        <s v="Ten Square Games"/>
        <s v="Ynsect"/>
        <s v="Kumu"/>
        <s v="Utopia Music"/>
        <s v="Quadream"/>
        <s v="Drip Capital"/>
        <s v="Community Gaming"/>
        <s v="Calibrate"/>
        <s v="OpenClassrooms"/>
        <s v="Sayurbox"/>
        <s v="Astronomer"/>
        <s v="Bluepad"/>
        <s v="Heygo"/>
        <s v="Lazerpay"/>
        <s v="Mediafly"/>
        <s v="Science 37"/>
        <s v="Milkrun"/>
        <s v="Permutive"/>
        <s v="Examedi"/>
        <s v="Euler Motors"/>
        <s v="Reforge"/>
        <s v="Practo"/>
        <s v="Pear Therapeutics"/>
        <s v="Workit Health"/>
        <s v="Absolute Software"/>
        <s v="Avocargo"/>
        <s v="Amplitude"/>
        <s v="1K Kirana"/>
        <s v="Foundation Medicine"/>
        <s v="Boost"/>
        <s v="Cin7"/>
        <s v="Hyland Software"/>
        <s v="View"/>
        <s v="Guideline"/>
        <s v="Domestika"/>
        <s v="Airbyte"/>
        <s v="Hulu"/>
        <s v="LendingTree"/>
        <s v="FanClash"/>
        <s v="Crossbeam"/>
        <s v="AnswerLab"/>
        <s v="Endowus"/>
        <s v="GoodWorker"/>
        <s v="Kyndryl"/>
        <s v="Nowports"/>
        <s v="CoverMyMeds"/>
        <s v="Seagate"/>
        <s v="iCAD"/>
        <s v="Anyline"/>
        <s v="OnePipe"/>
        <s v="Blue Nile"/>
        <s v="AEye"/>
        <s v="Better Therapeutics"/>
        <s v="Aspiration"/>
        <s v="The Meet Group"/>
        <s v="Cimpress"/>
        <s v="TakeOff"/>
        <s v="Slite"/>
        <s v="Logitech"/>
        <s v="Glassdoor"/>
        <s v="Wejo"/>
        <s v="Copper"/>
        <s v="Rewind"/>
        <s v="Roofstock"/>
        <s v="Marvell"/>
        <s v="Workhuman"/>
        <s v="Xing"/>
        <s v="Mr Yum"/>
        <s v="Smallcase"/>
        <s v="GAMURS Group"/>
        <s v="Laybuy"/>
        <s v="Huuuge Games"/>
        <s v="Candor Technology"/>
        <s v="Leafly"/>
        <s v="Bonusly"/>
        <s v="Boxed"/>
        <s v="TradeWindow"/>
        <s v="Hometap"/>
        <s v="Fetch"/>
        <s v="Anchorage Digital"/>
        <s v="Avidbots"/>
        <s v="Samsung"/>
        <s v="Kaleidoscope"/>
        <s v="GoTo Group"/>
        <s v="Cookpad"/>
        <s v="Wave Financial"/>
        <s v="Morning Brew"/>
        <s v="Neoleukin Therapeutics"/>
        <s v="Toucan"/>
        <s v="Appcues"/>
        <s v="Catch"/>
        <s v="RDX Works"/>
        <s v="Take-Two Interactive"/>
        <s v="UpGrad"/>
        <s v="HomeLane"/>
        <s v="Ankorstore"/>
        <s v="No Fluff Jobs"/>
        <s v="Loft"/>
        <s v="Embark Trucks"/>
        <s v="Lendi"/>
        <s v="UserTesting"/>
        <s v="Airbnb"/>
        <s v="Accolade"/>
        <s v="Zscaler"/>
        <s v="MasterClass"/>
        <s v="Ambev Tech"/>
        <s v="Fittr"/>
        <s v="CNET"/>
        <s v="Comparis"/>
        <s v="Kandela"/>
        <s v="Truckstop.com"/>
        <s v="iFood"/>
        <s v="Color Health"/>
        <s v="PayFit"/>
        <s v="Protego Trust Bank"/>
        <s v="DUX Education"/>
        <s v="Cerebral"/>
        <s v="Amount"/>
        <s v="Stytch"/>
        <s v="BitSight"/>
        <s v="Twitter"/>
        <s v="SAP Labs"/>
        <s v="Velodyne Lidar"/>
        <s v="Medallia"/>
        <s v="Lucira Health"/>
        <s v="Stax"/>
        <s v="EQRx"/>
        <s v="Poshmark"/>
        <s v="OneFootball"/>
        <s v="The Iconic"/>
        <s v="EVgo"/>
        <s v="StrongDM"/>
        <s v="Messari"/>
        <s v="Vibrent Health"/>
        <s v="Synamedia"/>
        <s v="TaskUs"/>
        <s v="Arch Oncology"/>
        <s v="Immutable"/>
        <s v="Jounce Therapeutics"/>
        <s v="Locomation"/>
        <s v="Green Labs"/>
        <s v="Ethos Life"/>
        <s v="Basis Technologies"/>
        <s v="PeerStreet"/>
        <s v="MyGate"/>
        <s v="Kinde"/>
        <s v="Fipola"/>
        <s v="Tencent"/>
        <s v="Reserve"/>
        <s v="The RealReal"/>
        <s v="ServiceTitan"/>
        <s v="DigitalOcean"/>
        <s v="Betterment"/>
        <s v="Observe.AI"/>
        <s v="Religion of Sports"/>
        <s v="SurveyMonkey"/>
        <s v="Tackle"/>
        <s v="Vicarious Surgical"/>
        <s v="Blackbaud"/>
        <s v="CommerceHub"/>
        <s v="Dropp"/>
        <s v="HackerEarth"/>
        <s v="PhableCare"/>
        <s v="Electric"/>
        <s v="EMX Digital"/>
        <s v="PetLove"/>
        <s v="Collective Health"/>
        <s v="Magic Eden"/>
        <s v="Casavo"/>
        <s v="Moladin"/>
        <s v="Titan Medical"/>
        <s v="TikTok India"/>
        <s v="Syft Technologies"/>
        <s v="Open Co"/>
        <s v="Rigetti Computing"/>
        <s v="Wonderschool"/>
        <s v="Misfits Market"/>
        <s v="Olive AI"/>
        <s v="REE Automotive"/>
        <s v="GitHub"/>
        <s v="Quillt"/>
        <s v="WeTrade"/>
        <s v="GoDaddy"/>
        <s v="Gusto"/>
        <s v="Gong"/>
        <s v="Equitybee"/>
        <s v="Baraja"/>
        <s v="Koho"/>
        <s v="Medly"/>
        <s v="Nearmap"/>
        <s v="Salesloft"/>
        <s v="Openpay"/>
        <s v="LearnUpon"/>
        <s v="Loggi"/>
        <s v="Catch.com.au"/>
        <s v="VinFast US"/>
        <s v="Pocket Aces"/>
        <s v="C6 Bank"/>
        <s v="TenureX"/>
        <s v="Kyruus"/>
        <s v="Lightico"/>
        <s v="Eightfold AI"/>
        <s v="FarEye"/>
        <s v="Protocol Labs"/>
        <s v="Built Technologies copy"/>
        <s v="Mindstrong"/>
        <s v="Bittrex"/>
        <s v="Snowplow"/>
        <s v="Articulate"/>
        <s v="NCSoft"/>
        <s v="Sharesies"/>
        <s v="Cyren"/>
        <s v="Workato"/>
        <s v="VerticalScope"/>
        <s v="Wheel"/>
        <s v="Appgate"/>
        <s v="Exterro"/>
        <s v="Ada"/>
        <s v="Bustle Digital Group"/>
        <s v="Frequency Therapeutics"/>
        <s v="Omnipresent"/>
        <s v="Upstart"/>
        <s v="Software AG"/>
        <s v="Tilting Point"/>
        <s v="Gokada"/>
        <s v="AU10TIX"/>
        <s v="National Instruments"/>
        <s v="Philips"/>
        <s v="Impossible Foods"/>
        <s v="BM Technologies"/>
        <s v="Olist"/>
        <s v="Prime Trust"/>
        <s v="Quantum SI"/>
        <s v="Hoxhunt"/>
        <s v="Me Poupe"/>
        <s v="CoinTracker"/>
        <s v="Ruggable"/>
        <s v="Heycar"/>
        <s v="Matrixport"/>
        <s v="Shakepay"/>
        <s v="#Paid"/>
        <s v="Decent"/>
        <s v="Feedzai"/>
        <s v="Nate"/>
        <s v="Soundwide"/>
        <s v="Confluent"/>
        <s v="Glisser"/>
        <s v="DriveWealth"/>
        <s v="Mode Global"/>
        <s v="Plus One Robotics"/>
        <s v="Lam Research"/>
        <s v="Luno"/>
        <s v="Clear Capital"/>
        <s v="Guardant Health"/>
        <s v="SirionLabs"/>
        <s v="PagSeguro"/>
        <s v="Prosus"/>
        <s v="PartnerStack"/>
        <s v="Gitpod"/>
        <s v="OFFOR Health"/>
        <s v="Venngage"/>
        <s v="Corvus Insurance"/>
        <s v="PagerDuty"/>
        <s v="Scoro"/>
        <s v="Innovid"/>
        <s v="Booktopia"/>
        <s v="Ermetic"/>
        <s v="Namogoo"/>
        <s v="Camp K12"/>
        <s v="BUX"/>
        <s v="MediBuddy"/>
        <s v="BitTorrent"/>
        <s v="Enjoei"/>
        <s v="Edifecs"/>
        <s v="Citrine Informatics"/>
        <s v="Avalara"/>
        <s v="Cyteir Therapeutics"/>
        <s v="Zappos"/>
        <s v="Capital One"/>
        <s v="Proterra"/>
        <s v="WeWork"/>
        <s v="Saks.com"/>
        <s v="Hydrow"/>
        <s v="Earth Rides"/>
        <s v="Fandom"/>
        <s v="IAM Robotics"/>
        <s v="Icertis"/>
        <s v="Magnite"/>
        <s v="Mudafy"/>
        <s v="Personalis"/>
        <s v="Prisma"/>
        <s v="Spaceship"/>
        <s v="Wallbox"/>
        <s v="Teladoc Health"/>
        <s v="8x8"/>
        <s v="Benevity"/>
        <s v="Jumpcloud"/>
        <s v="Starry"/>
        <s v="Clue"/>
        <s v="Addepar"/>
        <s v="80 Acres Farms"/>
        <s v="Aiven"/>
        <s v="Bally's Interactive"/>
        <s v="Betterfly"/>
        <s v="Cazoo"/>
        <s v="Coda"/>
        <s v="Lucid Diagnostics"/>
        <s v="Mavenir"/>
        <s v="Britishvolt"/>
        <s v="Clutch"/>
        <s v="Exotel"/>
        <s v="Unico"/>
        <s v="Tul"/>
        <s v="American Robotics"/>
        <s v="Luxury Presence"/>
        <s v="RingCentral"/>
        <s v="Fishbrain"/>
        <s v="GoMechanic"/>
        <s v="Rappi"/>
        <s v="RateGenius"/>
        <s v="XP"/>
        <s v="PagBank"/>
        <s v="Gramophone"/>
        <s v="ClearCo"/>
        <s v="Ignition"/>
        <s v="Rebel Foods"/>
        <s v="Captain Fresh"/>
        <s v="Snappy"/>
        <s v="DeHaat"/>
        <s v="Black Shark"/>
        <s v="Vial"/>
        <s v="Carvana"/>
        <s v="CoSchedule"/>
        <s v="GoCanvas"/>
        <s v="Jellyfish"/>
        <s v="SmartNews"/>
        <s v="Skit.ai"/>
        <s v="Pier"/>
        <s v="Blockchain.com"/>
        <s v="Lattice"/>
        <s v="Greenlight"/>
        <s v="Cashfree Payments"/>
        <s v="Mapbox"/>
        <s v="Definitive Healthcare"/>
        <s v="Career Karma"/>
        <s v="Rock Content"/>
        <s v="Jumio"/>
        <s v="Intrinsic"/>
        <s v="Citizen"/>
        <s v="Limeade"/>
        <s v="Paddle"/>
        <s v="Till Payments"/>
        <s v="Thinkific"/>
        <s v="LEAD"/>
        <s v="Parler"/>
        <s v="GoBolt"/>
        <s v="Relevel"/>
        <s v="Cart.com"/>
        <s v="100 Thieves"/>
        <s v="Esper"/>
        <s v="WHOOP"/>
        <s v="Fate Therapeutics"/>
        <s v="Century Therapeutics"/>
        <s v="Editas Medicine"/>
        <s v="Minute Media"/>
        <s v="Integrate"/>
        <s v="Huobi"/>
        <s v="Bounce"/>
        <s v="CareerArc"/>
        <s v="CreateMe"/>
        <s v="Lantern"/>
        <s v="Mojo Vision"/>
        <s v="SuperRare"/>
        <s v="Cue"/>
        <s v="SoundHound"/>
        <s v="Socure"/>
        <s v="Genesis"/>
        <s v="Moglix"/>
        <s v="Everlane"/>
        <s v="Pecan AI"/>
        <s v="Personetics"/>
        <s v="Twine Solutions"/>
        <s v="UpScalio"/>
        <s v="Attentive"/>
        <s v="Compass"/>
        <s v="TCR2"/>
        <s v="Butterfly Network"/>
        <s v="Wyre"/>
        <s v="Uniphore"/>
        <s v="Harappa"/>
        <s v="Graphcore"/>
        <s v="Gousto"/>
        <s v="Bilibili"/>
        <s v="Octopus Network"/>
        <s v="PayU"/>
        <s v="Element"/>
        <s v="Willow"/>
        <s v="Back Market"/>
        <s v="Zoopla"/>
        <s v="Lendis"/>
        <s v="Chope"/>
        <s v="Briza"/>
        <s v="StreetBees"/>
        <s v="Zhihu"/>
        <s v="Homebot"/>
        <s v="Health IQ"/>
        <s v="Xiaomi"/>
        <s v="YourGrocer"/>
        <s v="Revelate"/>
        <s v="E Inc."/>
        <s v="Improbable"/>
        <s v="Modern Treasury"/>
        <s v="Reach"/>
        <s v="LeafLink"/>
        <s v="Workmotion"/>
        <s v="Apollo"/>
        <s v="JD.ID"/>
        <s v="Quanergy Systems"/>
        <s v="Thumbtack"/>
        <s v="Komodo Health"/>
        <s v="Viant"/>
        <s v="Freshly"/>
        <s v="Balto"/>
        <s v="Caribou"/>
        <s v="Outschool"/>
        <s v="Xentral"/>
        <s v="Autobooks"/>
        <s v="Convene"/>
        <s v="Bol.com"/>
        <s v="Share Now"/>
        <s v="Alice"/>
        <s v="Primer"/>
        <s v="Brodmann17"/>
        <s v="Digital Surge"/>
        <s v="N-able Technologies"/>
        <s v="ZenLedger"/>
        <s v="Glints"/>
        <s v="Buser"/>
        <s v="Otonomo"/>
        <s v="TechTarget"/>
        <s v="Inscripta"/>
        <s v="CyCognito"/>
        <s v="Armis"/>
        <s v="FireHydrant"/>
        <s v="Nerdy"/>
        <s v="Vanta"/>
        <s v="Vedantu"/>
        <s v="Plaid"/>
        <s v="Recur Forever"/>
        <s v="Relativity"/>
        <s v="Integral Ad Science"/>
        <s v="Houzz"/>
        <s v="Grover"/>
        <s v="Lithic"/>
        <s v="Zywave"/>
        <s v="Doma"/>
        <s v="Weedmaps"/>
        <s v="Adobe"/>
        <s v="Perimeter 81"/>
        <s v="Koinly"/>
        <s v="Bridgit"/>
        <s v="Filevine"/>
        <s v="Moove"/>
        <s v="Nextiva"/>
        <s v="OneStudyTeam"/>
        <s v="DataRails"/>
        <s v="Elemy"/>
        <s v="Route"/>
        <s v="OYO"/>
        <s v="Bybit"/>
        <s v="Cognyte"/>
        <s v="Polly"/>
        <s v="Homebound"/>
        <s v="Lora DiCarlo"/>
        <s v="Bizzabo"/>
        <s v="BloomTech"/>
        <s v="Springbig"/>
        <s v="SQZ Biotech"/>
        <s v="Strava"/>
        <s v="Synlogic"/>
        <s v="Yapily"/>
        <s v="DoorDash"/>
        <s v="Happy Money"/>
        <s v="Ula"/>
        <s v="Wonder"/>
        <s v="StudySmarter"/>
        <s v="UalÃƒÂ¡"/>
        <s v="Etermax"/>
        <s v="Thread"/>
        <s v="Sana"/>
        <s v="Venafi"/>
        <s v="Bitso"/>
        <s v="Lyst"/>
        <s v="CoinJar"/>
        <s v="Bitfront"/>
        <s v="Codexis"/>
        <s v="Firework"/>
        <s v="Plerk"/>
        <s v="Proton.ai"/>
        <s v="Infarm"/>
        <s v="Wildlife Studios"/>
        <s v="Hirect"/>
        <s v="Ajaib"/>
        <s v="ResearchGate"/>
        <s v="BlockFi"/>
        <s v="FutureLearn"/>
        <s v="Inspectify"/>
        <s v="Ledn"/>
        <s v="NCX"/>
        <s v="Spora Health"/>
        <s v="Change Invest"/>
        <s v="Zilch"/>
        <s v="VerSe Innovation"/>
        <s v="Carwow"/>
        <s v="Lemon"/>
        <s v="Quidax"/>
        <s v="Menulog"/>
        <s v="Assure"/>
        <s v="GoodGood"/>
        <s v="Muni Tienda"/>
        <s v="SWVL"/>
        <s v="SIRCLO"/>
        <s v="Movidesk"/>
        <s v="Trax"/>
        <s v="Flash Coffee"/>
        <s v="Natera"/>
        <s v="Reynen Court"/>
        <s v="Kitopi"/>
        <s v="Devo"/>
        <s v="GloriFi"/>
        <s v="Synthego"/>
        <s v="Splyt"/>
        <s v="Capitolis"/>
        <s v="Kavak"/>
        <s v="Metaplex"/>
        <s v="Ruangguru"/>
        <s v="StoryBlocks"/>
        <s v="Unchained Capital"/>
        <s v="Homepoint"/>
        <s v="Juni"/>
        <s v="Chili Piper"/>
        <s v="TealBook"/>
        <s v="&amp;Open"/>
        <s v="Wayflyer"/>
        <s v="Lokalise"/>
        <s v="D2L"/>
        <s v="Dance"/>
        <s v="Homeward"/>
        <s v="Infogrid"/>
        <s v="Kite"/>
        <s v="OwnBackup"/>
        <s v="Deliveroo Australia"/>
        <s v="Properly"/>
        <s v="Protocol"/>
        <s v="Jimdo"/>
        <s v="The Zebra"/>
        <s v="Viber"/>
        <s v="CaptivateIQ"/>
        <s v="Apollo Insurance"/>
        <s v="Nirvana Money"/>
        <s v="Oatly"/>
        <s v="Outside"/>
        <s v="Rubicon Technologies"/>
        <s v="Typeform"/>
        <s v="Whispir"/>
        <s v="Sema4"/>
        <s v="iFit"/>
        <s v="Ribbon"/>
        <s v="Intercom"/>
        <s v="Cardlytics"/>
        <s v="Cloudinary"/>
        <s v="Nestcoin"/>
        <s v="Tricida"/>
        <s v="Chipax"/>
        <s v="Juniper"/>
        <s v="Offerpad"/>
        <s v="Juul"/>
        <s v="InfluxData"/>
        <s v="Wistia"/>
        <s v="Ocavu"/>
        <s v="Avast"/>
        <s v="SendCloud"/>
        <s v="Voly"/>
        <s v="Wavely"/>
        <s v="ZenBusiness"/>
        <s v="Root Insurance"/>
        <s v="Liftoff"/>
        <s v="Plum"/>
        <s v="HighRadius"/>
        <s v="Amobee"/>
        <s v="CloudFactory"/>
        <s v="Faze Medicines"/>
        <s v="EverBridge"/>
        <s v="Repertoire Immune Medicines"/>
        <s v="Beat"/>
        <s v="NanoString"/>
        <s v="SADA"/>
        <s v="Dock"/>
        <s v="Domino Data Lab"/>
        <s v="Varonis"/>
        <s v="Practically"/>
        <s v="Planetly"/>
        <s v="KoinWorks"/>
        <s v="Exodus"/>
        <s v="Benitago Group"/>
        <s v="Mythical Games"/>
        <s v="Shippo"/>
        <s v="Provi"/>
        <s v="Rubius"/>
        <s v="Snapdocs"/>
        <s v="Studio"/>
        <s v="Chime"/>
        <s v="Checkmarx"/>
        <s v="Smava"/>
        <s v="Iron Ox"/>
        <s v="Digital Currency Gruop"/>
        <s v="BitMEX"/>
        <s v="Signicat"/>
        <s v="Argo AI"/>
        <s v="Drop"/>
        <s v="Tapps Games"/>
        <s v="Help Scout"/>
        <s v="Kry"/>
        <s v="Notarize"/>
        <s v="EquityZen"/>
        <s v="Doubtnut"/>
        <s v="Fifth Season"/>
        <s v="Advata"/>
        <s v="Springlane"/>
        <s v="Recharge"/>
        <s v="GoNuts"/>
        <s v="Spreetail"/>
        <s v="MindBody"/>
        <s v="GoFundMe"/>
        <s v="Carbon"/>
        <s v="Fundbox"/>
        <s v="Embroker"/>
        <s v="Vee"/>
        <s v="Callisto Media"/>
        <s v="Antidote Health"/>
        <s v="Elinvar"/>
        <s v="Synapsica"/>
        <s v="Volta"/>
        <s v="Hotmart"/>
        <s v="Loom"/>
        <s v="Sales Boomerang"/>
        <s v="AtoB"/>
        <s v="InfoSum"/>
        <s v="Clever Real Estate"/>
        <s v="Collibra"/>
        <s v="Side"/>
        <s v="Ada Health"/>
        <s v="Tiendanube"/>
        <s v="Nuri"/>
        <s v="Flipboard"/>
        <s v="Flux Systems"/>
        <s v="Qin1"/>
        <s v="Playdots"/>
        <s v="ExtraHop"/>
        <s v="6sense"/>
        <s v="Sinch"/>
        <s v="MX"/>
        <s v="Pacaso"/>
        <s v="Sketch"/>
        <s v="Udacity"/>
        <s v="Linkfire"/>
        <s v="Emitwise"/>
        <s v="GSR"/>
        <s v="VanHack"/>
        <s v="Pavilion Data"/>
        <s v="Nyriad"/>
        <s v="Collage.com"/>
        <s v="BioMarin"/>
        <s v="Rev.com"/>
        <s v="Atome"/>
        <s v="First AML"/>
        <s v="Foresight Insurance"/>
        <s v="Built In"/>
        <s v="TwinStrand"/>
        <s v="Fivetran"/>
        <s v="ActiveCampaign"/>
        <s v="Tempo"/>
        <s v="WazirX"/>
        <s v="Spin"/>
        <s v="Carsome"/>
        <s v="Pastel"/>
        <s v="Truepill"/>
        <s v="Westwing"/>
        <s v="Zenjob"/>
        <s v="Front"/>
        <s v="Konfio"/>
        <s v="Foxtrot"/>
        <s v="Truiloo"/>
        <s v="Pesto"/>
        <s v="NYDIG"/>
        <s v="Klarna"/>
        <s v="Made.com"/>
        <s v="Kitty Hawk"/>
        <s v="Candidate Labs"/>
        <s v="Curative"/>
        <n v="99"/>
        <s v="Ouster"/>
        <s v="Vesalius Therapeutics"/>
        <s v="LivePerson"/>
        <s v="Acast"/>
        <s v="WorkRamp"/>
        <s v="NextRoll"/>
        <s v="Netflix"/>
        <s v="Bitrise"/>
        <s v="Patreon"/>
        <s v="Propzy"/>
        <s v="Quicko"/>
        <s v="Mode Analytics"/>
        <s v="Compete"/>
        <s v="Karbon"/>
        <s v="SkipTheDishes"/>
        <s v="Brighte"/>
        <s v="Amber Group"/>
        <s v="Capiter"/>
        <s v="CommonBond"/>
        <s v="DreamBox Learning"/>
        <s v="Flowhub"/>
        <s v="Lido Learning"/>
        <s v="Pomelo Fashion"/>
        <s v="Genome Medical"/>
        <s v="BigBear.ai"/>
        <s v="Realtor.com"/>
        <s v="Simple Feast"/>
        <s v="Rupeek"/>
        <s v="Demandbase"/>
        <s v="Xsight Labs"/>
        <s v="Lawgeex"/>
        <s v="Juniper Square"/>
        <s v="Medium"/>
        <s v="Kuda"/>
        <s v="Sea"/>
        <s v="2TM"/>
        <s v="Urban Sports Club"/>
        <s v="Hedvig"/>
        <s v="GoodRx"/>
        <s v="Apartment List"/>
        <s v="Artnight"/>
        <s v="Snagajob"/>
        <s v="The Wing"/>
        <s v="Viamo"/>
        <s v="Immersive Labs"/>
        <s v="54gene"/>
        <s v="Fungible"/>
        <s v="Skillz"/>
        <s v="Argyle"/>
        <s v="Loja Integrada"/>
        <s v="ShipBob"/>
        <s v="Reali"/>
        <s v="Pix"/>
        <s v="Packable"/>
        <s v="Q4"/>
        <s v="Skedulo"/>
        <s v="Plato"/>
        <s v="DataRobot"/>
        <s v="Kogan"/>
        <s v="Skillshare"/>
        <s v="Mr. Yum"/>
        <s v="ShopX"/>
        <s v="NSO"/>
        <s v="Tufin"/>
        <s v="Hodlnaut"/>
        <s v="Thirty Madison"/>
        <s v="Fluke"/>
        <s v="Warren"/>
        <s v="AlayaCare"/>
        <s v="Pliops"/>
        <s v="Woven"/>
        <s v="Edmodo"/>
        <s v="Updater"/>
        <s v="ContraFect"/>
        <s v="ThredUp"/>
        <s v="Anywell"/>
        <s v="Almanac"/>
        <s v="Core Scientific"/>
        <s v="Orbit"/>
        <s v="Calm"/>
        <s v="Marketforce"/>
        <s v="Expert360"/>
        <s v="Guidewire"/>
        <s v="Pollen"/>
        <s v="Vedanta Biosciences"/>
        <s v="GoHealth"/>
        <s v="Nutanix"/>
        <s v="Quanterix"/>
        <s v="MadeiraMadeira"/>
        <s v="Shogun"/>
        <s v="Dooly"/>
        <s v="Berkeley Lights"/>
        <s v="DailyPay"/>
        <s v="Haus"/>
        <s v="Sweetgreen"/>
        <s v="Warby Parker"/>
        <s v="Labelbox"/>
        <s v="Daily Harvest"/>
        <s v="Mejuri"/>
        <s v="Uberflip"/>
        <s v="Article"/>
        <s v="10X Genomics"/>
        <s v="On Deck"/>
        <s v="Nomad"/>
        <s v="StubHub"/>
        <s v="Zenius"/>
        <s v="Healthcare.com"/>
        <s v="The Org"/>
        <s v="CarDekho"/>
        <s v="Puppet"/>
        <s v="Talkwalker"/>
        <s v="Seegrid"/>
        <s v="Nylas"/>
        <s v="The Predictive Index"/>
        <s v="Stedi"/>
        <s v="FuboTV"/>
        <s v="Hash"/>
        <s v="Classkick"/>
        <s v="OnlyFans"/>
        <s v="Perceptive Automata"/>
        <s v="Whereby"/>
        <s v="Metigy"/>
        <s v="Gatherly"/>
        <s v="Imperfect Foods"/>
        <s v="Shelf Engine"/>
        <s v="Quantcast"/>
        <s v="Sherpa"/>
        <s v="CoinFLEX"/>
        <s v="MissFresh"/>
        <s v="Yabonza"/>
        <s v="Metromile"/>
        <s v="Allbirds"/>
        <s v="TextNow"/>
        <s v="Bikayi"/>
        <s v="Brainbase"/>
        <s v="Change.org"/>
        <s v="Tapas Media"/>
        <s v="Turntide"/>
        <s v="Coinsquare"/>
        <s v="InDebted"/>
        <s v="Dover"/>
        <s v="Included Health"/>
        <s v="Soluto"/>
        <s v="Eucalyptus"/>
        <s v="Workstream"/>
        <s v="Clarify Health"/>
        <s v="Arete"/>
        <s v="Boosted Commerce"/>
        <s v="Owlet"/>
        <s v="People.ai"/>
        <s v="Wizeline"/>
        <s v="Lunchbox"/>
        <s v="Catalyst"/>
        <s v="Smarsh"/>
        <s v="Just Eat Takeaway"/>
        <s v="BlueStacks"/>
        <s v="Introhive"/>
        <s v="Splice"/>
        <s v="Forma.ai"/>
        <s v="Arc"/>
        <s v="M1"/>
        <s v="SellerX"/>
        <s v="Stint"/>
        <s v="Capsule"/>
        <s v="PACT Pharma"/>
        <s v="Bright Money"/>
        <s v="Heroes"/>
        <s v="Aspire"/>
        <s v="Zego"/>
        <s v="The Mom Project"/>
        <s v="Unstoppable Domains"/>
        <s v="Kiavi"/>
        <s v="Alto Pharmacy"/>
        <s v="Cosuno"/>
        <s v="Wave"/>
        <s v="Tonal"/>
        <s v="Bryter"/>
        <s v="Involves"/>
        <s v="CircleUp"/>
        <s v="Papa"/>
        <s v="Fraazo"/>
        <s v="Babylon"/>
        <s v="Airlift"/>
        <s v="Spring"/>
        <s v="SundaySky"/>
        <s v="Apeel Sciences"/>
        <s v="Ignite"/>
        <s v="PuduTech"/>
        <s v="Butler Hospitality"/>
        <s v="Next Insurance"/>
        <s v="Adwerx"/>
        <s v="Emotive"/>
        <s v="Cedar"/>
        <s v="Remote"/>
        <s v="Anodot"/>
        <s v="SQream"/>
        <s v="Bullish"/>
        <s v="Transmit Security"/>
        <s v="Thimble"/>
        <s v="Syte"/>
        <s v="Chessable"/>
        <s v="Sendle"/>
        <s v="Gorillas"/>
        <s v="Celsius"/>
        <s v="LetsGetChecked"/>
        <s v="Perx Health"/>
        <s v="WanderJaunt"/>
        <s v="Bamboo Health"/>
        <s v="Teleport"/>
        <s v="Remesh"/>
        <s v="Enjoy"/>
        <s v="Crejo.Fun"/>
        <s v="Stash Financial"/>
        <s v="Stream"/>
        <s v="Finleap Connect"/>
        <s v="Abra"/>
        <s v="Gavelytics"/>
        <s v="Secfi"/>
        <s v="Sundae"/>
        <s v="Toppr"/>
        <s v="Qumulo"/>
        <s v="Parallel Wireless"/>
        <s v="Oye Rickshaw"/>
        <s v="Rows"/>
        <s v="Baton"/>
        <s v="Substack"/>
        <s v="CommentSold"/>
        <s v="HomeLight"/>
        <s v="Modsy"/>
        <s v="Volt Bank"/>
        <s v="WhiteHat Jr"/>
        <s v="StockX"/>
        <s v="Sidecar Health"/>
        <s v="Vezeeta"/>
        <s v="Bright Machines"/>
        <s v="HealthMatch"/>
        <s v="Nova Benefits"/>
        <s v="Una Brands"/>
        <s v="Banxa"/>
        <s v="SafeGraph"/>
        <s v="Postscript"/>
        <s v="Bitpanda"/>
        <s v="Sunday"/>
        <s v="Bestow"/>
        <s v="Feather"/>
        <s v="Give Legacy"/>
        <s v="Aura"/>
        <s v="Pipl"/>
        <s v="Vouch"/>
        <s v="Voyage SMS"/>
        <s v="Kune"/>
        <s v="Mark43"/>
        <s v="Ro"/>
        <s v="Bungalow"/>
        <s v="Mindgeek"/>
        <s v="Ebanx"/>
        <s v="Community"/>
        <s v="Sourcegraph"/>
        <s v="Frubana"/>
        <s v="SuperLearn"/>
        <s v="Tray.io"/>
        <s v="SummerBio"/>
        <s v="Aqgromalin"/>
        <s v="Bonsai"/>
        <s v="BitOasis"/>
        <s v="Finite State"/>
        <s v="JOKR"/>
        <s v="Zumper"/>
        <s v="Circulo Health"/>
        <s v="Swappie"/>
        <s v="Wealthsimple"/>
        <s v="Weee!"/>
        <s v="Tonkean"/>
        <s v="Airtame"/>
        <s v="OpenWeb"/>
        <s v="Swyft"/>
        <s v="Crehana"/>
        <s v="JetClosing"/>
        <s v="Sami"/>
        <s v="Breathe"/>
        <s v="Hunty"/>
        <s v="TIFIN"/>
        <s v="Addi"/>
        <s v="Wave Sports and Entertainment"/>
        <s v="Automox"/>
        <s v="Berlin Brands Group"/>
        <s v="Sanar"/>
        <s v="Freetrade"/>
        <s v="Albert"/>
        <s v="Keepe"/>
        <s v="Liongard"/>
        <s v="Ziroom"/>
        <s v="OneTrust"/>
        <s v="Daniel Wellington"/>
        <s v="The Grommet"/>
        <s v="Stashaway"/>
        <s v="Preply"/>
        <s v="Starship"/>
        <s v="iPrice Group"/>
        <s v="Memmo"/>
        <s v="Lummo"/>
        <s v="ID.me"/>
        <s v="KiwiCo"/>
        <s v="Bond"/>
        <s v="CyberCube"/>
        <s v="Dutchie"/>
        <s v="Eruditus"/>
        <s v="Afterverse"/>
        <s v="Superhuman"/>
        <s v="Food52"/>
        <s v="5B Solar"/>
        <s v="Favo"/>
        <s v="PolicyGenius"/>
        <s v="Yojak"/>
        <s v="Stord"/>
        <s v="Gather"/>
        <s v="Shef"/>
        <s v="Esme Learning"/>
        <s v="Kaodim"/>
        <s v="Rain"/>
        <s v="Udayy"/>
        <s v="Curve"/>
        <s v="Impala"/>
        <s v="Truck It In"/>
        <s v="Replicated"/>
        <s v="Tomo"/>
        <s v="Getta"/>
        <s v="BookClub"/>
        <s v="SumUp"/>
        <s v="Tempus Ex"/>
        <s v="Daloopa"/>
        <s v="Uncapped"/>
        <s v="Akerna"/>
        <s v="Terminus"/>
        <s v="VTEX"/>
        <s v="Dazn"/>
        <s v="Lacework"/>
        <s v="Kontist"/>
        <s v="Coterie Insurance"/>
        <s v="Buenbit"/>
        <s v="BeyondMinds"/>
        <s v="MFine"/>
        <s v="Picsart"/>
        <s v="Zak"/>
        <s v="AliExpress Russia"/>
        <s v="Subspace"/>
        <s v="Section4"/>
        <s v="Tripwire"/>
        <s v="Meero"/>
        <s v="Reef"/>
        <s v="divvyDOSE"/>
        <s v="Progrexion"/>
        <s v="SEND"/>
        <s v="Colossus"/>
        <s v="Mainstreet"/>
        <s v="Ideoclick"/>
        <s v="Vise"/>
        <s v="Bizpay"/>
        <s v="Thrasio"/>
        <s v="Avo"/>
        <s v="Wahoo Fitness"/>
        <s v="Sigfox"/>
        <s v="Clyde"/>
        <s v="Xiaohongshu"/>
        <s v="Facily"/>
        <s v="QuintoAndar"/>
        <s v="Humble"/>
        <s v="Halcyon Health"/>
        <s v="Ahead"/>
        <s v="Goodfood"/>
        <s v="Workrise"/>
        <s v="Fast"/>
        <s v="Legible"/>
        <s v="Rasa"/>
        <s v="Furlenco"/>
        <s v="Grove Collaborative"/>
        <s v="Curology"/>
        <s v="Trell"/>
        <s v="Knock"/>
        <s v="Talis Biomedical"/>
        <s v="Sezzle"/>
        <s v="Adaptive Biotechnologies"/>
        <s v="Hyperscience"/>
        <s v="WeDoctor"/>
        <s v="OKCredit"/>
        <s v="Lido"/>
        <s v="Virgin Hyperloop"/>
        <s v="Trustly"/>
        <s v="Liv Up"/>
        <s v="Defined.ai"/>
        <s v="Rhino"/>
        <s v="Protonn"/>
        <s v="BitTitan"/>
        <s v="Ozy Media"/>
        <s v="Genius"/>
        <s v="Treehouse"/>
        <s v="Casper"/>
        <s v="Tanium"/>
        <s v="Flockjay"/>
        <s v="Pagarbook"/>
        <s v="Katerra"/>
        <s v="Lambda School"/>
        <s v="Madefire"/>
        <s v="HuffPo"/>
        <s v="Clumio"/>
        <s v="DJI"/>
        <s v="Ninjacart"/>
        <s v="Limelight"/>
        <s v="Hubba"/>
        <s v="Privitar"/>
        <s v="Postmates"/>
        <s v="Pocketmath"/>
        <s v="Aura Financial"/>
        <s v="Simple"/>
        <s v="Pulse Secure"/>
        <s v="Breather"/>
        <s v="Actifio"/>
        <s v="Zinier"/>
        <s v="Aya"/>
        <s v="Domio"/>
        <s v="Bridge Connector"/>
        <s v="Tidepool"/>
        <s v="Igenous"/>
        <s v="Scoop"/>
        <s v="Worksmith"/>
        <s v="Rubica"/>
        <s v="Bossa Nova"/>
        <s v="Remedy"/>
        <s v="Knotel"/>
        <s v="Cheetah"/>
        <s v="CodeCombat"/>
        <s v="Quibi"/>
        <s v="GetYourGuide"/>
        <s v="OLX India"/>
        <s v="Chef"/>
        <s v="TheWrap"/>
        <s v="HumanForest"/>
        <s v="Air"/>
        <s v="NS8"/>
        <s v="Bleacher Report"/>
        <s v="HubHaus"/>
        <s v="Swing Education"/>
        <s v="Awok"/>
        <s v="Big Fish Games"/>
        <s v="GoBear"/>
        <s v="MakeMyTrip"/>
        <s v="kununu"/>
        <s v="Superloop"/>
        <s v="Spaces"/>
        <s v="StreamSets"/>
        <s v="Docly"/>
        <s v="Mapify"/>
        <s v="Lumina Networks"/>
        <s v="HopSkipDrive"/>
        <s v="Eatsy"/>
        <s v="The Appraisal Lane"/>
        <s v="Thriver"/>
        <s v="Vesta"/>
        <s v="Buy.com / Rakuten"/>
        <s v="tZero"/>
        <s v="Pared"/>
        <s v="Zeitgold"/>
        <s v="Perkbox"/>
        <s v="Sorabel"/>
        <s v="Lighter Capital"/>
        <s v="Curefit"/>
        <s v="Snaptravel"/>
        <s v="Optimizely"/>
        <s v="Skyscanner"/>
        <s v="Yelp"/>
        <s v="Zilingo"/>
        <s v="PaySense"/>
        <s v="OnDeck"/>
        <s v="Sharethrough"/>
        <s v="Kongregate"/>
        <s v="Havenly"/>
        <s v="G2"/>
        <s v="Hired"/>
        <s v="Engine eCommerce"/>
        <s v="Byton"/>
        <s v="Gojek"/>
        <s v="ScaleFactor"/>
        <s v="Dark"/>
        <s v="Atlas Obscura"/>
        <s v="Navi"/>
        <s v="PaisaBazaar"/>
        <s v="Redox"/>
        <s v="Conga"/>
        <s v="Stockwell AI"/>
        <s v="SynapseFI"/>
        <s v="ScaleFocus"/>
        <s v="Her Campus Media"/>
        <s v="Integrate.ai"/>
        <s v="The Athletic"/>
        <s v="Lastline"/>
        <s v="Builder"/>
        <s v="Outdoorsy"/>
        <s v="SpotHero"/>
        <s v="Credit Sesame"/>
        <s v="Circ"/>
        <s v="Descartes Labs"/>
        <s v="MakerBot"/>
        <s v="CrowdStreet"/>
        <s v="Loftium"/>
        <s v="BookMyShow"/>
        <s v="The Sill"/>
        <s v="Instructure"/>
        <s v="Bluprint"/>
        <s v="Acorns"/>
        <s v="Teamwork"/>
        <s v="Cvent"/>
        <s v="PickYourTrail"/>
        <s v="Glitch"/>
        <s v="Kapten / Free Now"/>
        <s v="Samsara"/>
        <s v="Stay Alfred"/>
        <s v="Dotscience"/>
        <s v="Divvy"/>
        <s v="Agoda"/>
        <s v="Rubrik"/>
        <s v="Intapp"/>
        <s v="Datera"/>
        <s v="Magicbricks"/>
        <s v="Lendingkart"/>
        <s v="Masse"/>
        <s v="Quartz"/>
        <s v="Ridecell"/>
        <s v="Veem"/>
        <s v="Sift"/>
        <s v="TicketSwap"/>
        <s v="Workfront"/>
        <s v="Deliv"/>
        <s v="Mercos"/>
        <s v="Kickstarter"/>
        <s v="Intersect"/>
        <s v="BetterCloud"/>
        <s v="WeFit"/>
        <s v="Mixpanel"/>
        <s v="Hireology"/>
        <s v="Datto"/>
        <s v="Revolut"/>
        <s v="Cadre"/>
        <s v="Jump"/>
        <s v="Numbrs"/>
        <s v="Airy Rooms"/>
        <s v="Validity"/>
        <s v="Flatiron School"/>
        <s v="Rubicon Project"/>
        <s v="Segment"/>
        <s v="OPay"/>
        <s v="ThoughtSpot"/>
        <s v="Andela"/>
        <s v="Workable"/>
        <s v="Cloudera"/>
        <s v="League"/>
        <s v="Oriente"/>
        <s v="Element AI"/>
        <s v="Deputy"/>
        <s v="Castlight Health"/>
        <s v="Trivago"/>
        <s v="LiveTiles"/>
        <s v="Namely"/>
        <s v="Culture Trip"/>
        <s v="Sandbox VR"/>
        <s v="Virtudent"/>
        <s v="Monese"/>
        <s v="Automatic"/>
        <s v="Flynote"/>
        <s v="Care.com"/>
        <s v="AirMap"/>
        <s v="PicoBrew"/>
        <s v="Lime"/>
        <s v="Transfix"/>
        <s v="Yoco"/>
        <s v="Renmoney"/>
        <s v="App Annie"/>
        <s v="OpenX"/>
        <s v="PayJoy"/>
        <s v="Shipsi"/>
        <s v="Migo"/>
        <s v="Automation Anywhere"/>
        <s v="Qwick"/>
        <s v="Stoqo"/>
        <s v="Divergent 3D"/>
        <s v="Ada Support"/>
        <s v="UPshow"/>
        <s v="Horizn Studios"/>
        <s v="Welkin Health"/>
        <s v="Jiobit"/>
        <s v="TutorMundi"/>
        <s v="Cheddar"/>
        <s v="Zenefits"/>
        <s v="Oscar Health"/>
        <s v="Simon Data"/>
        <s v="PowerReviews"/>
        <s v="Singular"/>
        <s v="When I Work"/>
        <s v="Ike"/>
        <s v="Politico / Protocol"/>
        <s v="Bringg"/>
        <s v="Klook"/>
        <s v="GumGum"/>
        <s v="Kueski"/>
        <s v="Zum"/>
        <s v="Hipcamp"/>
        <s v="Motif Investing"/>
        <s v="BlackBuck"/>
        <s v="ContaAzul"/>
        <s v="Labster"/>
        <s v="Tor"/>
        <s v="Dispatch"/>
        <s v="Influitive"/>
        <s v="CarGurus"/>
        <s v="Funding Societies"/>
        <s v="CleverTap"/>
        <s v="CrowdRiff"/>
        <s v="Grailed"/>
        <s v="LumenAd"/>
        <s v="Purse"/>
        <s v="SquadVoice"/>
        <s v="Shop101"/>
        <s v="Akulaku"/>
        <s v="Parsable"/>
        <s v="Kodiak Robotics"/>
        <s v="Dude Solutions"/>
        <s v="SweetEscape"/>
        <s v="TouchBistro"/>
        <s v="Envoy"/>
        <s v="DataStax"/>
        <s v="Xerpa"/>
        <s v="RedDoorz"/>
        <s v="Zoox"/>
        <s v="EasyPost"/>
        <s v="Clearbanc"/>
        <s v="BeeTech"/>
        <s v="NuoDB"/>
        <s v="Rhumbix"/>
        <s v="Atsu"/>
        <s v="Geekwire"/>
        <s v="FloQast"/>
        <s v="Omie"/>
        <s v="Clinc"/>
        <s v="Lighthouse Labs"/>
        <s v="LoopMe"/>
        <s v="CipherTrace"/>
        <s v="Elliptic"/>
        <s v="Zest AI"/>
        <s v="Unison"/>
        <s v="Button"/>
        <s v="Eden / Managed By Q"/>
        <s v="BVAccel"/>
        <s v="Kenoby"/>
        <s v="Connected"/>
        <s v="GetNinjas"/>
        <s v="Spyce"/>
        <s v="Creditas"/>
        <s v="Lytics"/>
        <s v="Slice Labs"/>
        <s v="TechAdvance"/>
        <s v="Zola"/>
        <s v="Sage Therapeutics"/>
        <s v="Branch Metrics"/>
        <s v="Newfront Insurance"/>
        <s v="Virta Health"/>
        <s v="Group Nine Media"/>
        <s v="Payfactors"/>
        <s v="Nav"/>
        <s v="AskNicely"/>
        <s v="RainFocus"/>
        <s v="BounceX"/>
        <s v="Wordstream"/>
        <s v="BusBud"/>
        <s v="Borrowell"/>
        <s v="PerkSpot"/>
        <s v="Bitfarms"/>
        <s v="Iflix"/>
        <s v="Gympass"/>
        <s v="Minted"/>
        <s v="Traveloka"/>
        <s v="Arrive Logistics"/>
        <s v="Jetty"/>
        <s v="Opencare"/>
        <s v="Anagram"/>
        <s v="G/O Media Group"/>
        <s v="DSCO"/>
        <s v="Tripbam"/>
        <s v="Avantage Entertainment"/>
        <s v="Alegion"/>
        <s v="AllyO"/>
        <s v="Mews"/>
        <s v="PeopleGrove"/>
        <s v="The Muse"/>
        <s v="ClassPass"/>
        <s v="eGym"/>
        <s v="Industrious"/>
        <s v="1stdibs"/>
        <s v="ThirdLove"/>
        <s v="Shuttl"/>
        <s v="Jobcase"/>
        <s v="Dynamic Signal"/>
        <s v="FiscalNote"/>
        <s v="Sauce Labs"/>
        <s v="Humu"/>
        <s v="Coding Dojo"/>
        <s v="Instamojo"/>
        <s v="Synergysuite"/>
        <s v="Atlanta Tech Village"/>
        <s v="Capillary"/>
        <s v="The Modist"/>
        <s v="Booksy"/>
        <s v="Flymya"/>
        <s v="PatientPop"/>
        <s v="Earnin"/>
        <s v="Wonolo"/>
        <s v="Moovel"/>
        <s v="Crayon"/>
        <s v="Pana"/>
        <s v="Sensibill"/>
        <s v="Usermind"/>
        <s v="Incredible Health"/>
        <s v="Currency"/>
        <s v="GOAT Group"/>
        <s v="Le Tote"/>
        <s v="Levelset"/>
        <s v="Pebblepost"/>
        <s v="WhyHotel"/>
        <s v="KeepTruckin"/>
        <s v="AdRoll"/>
        <s v="Rover"/>
        <s v="uShip"/>
        <s v="SkySlope"/>
        <s v="Siteimprove"/>
        <s v="AngelList"/>
        <s v="Zenoti"/>
        <s v="DialSource"/>
        <s v="Adara"/>
        <s v="Claravine"/>
        <s v="Kazoo"/>
        <s v="Snap Finance"/>
        <s v="Zerto"/>
        <s v="RigUp"/>
        <s v="FabHotels"/>
        <s v="Hibob"/>
        <s v="Maven"/>
        <s v="Blume Global"/>
        <s v="Catalant"/>
        <s v="Starship Technologies"/>
        <s v="Loftsmart"/>
        <s v="Iris Nova"/>
        <s v="Cuyana"/>
        <s v="Amplero"/>
        <s v="Polarr"/>
        <s v="TravelTriangle"/>
        <s v="OneWeb"/>
        <s v="HOOQ"/>
        <s v="Blueground"/>
        <s v="Mogo"/>
        <s v="DISCO"/>
        <s v="Raken"/>
        <s v="Oh My Green"/>
        <s v="Bevi"/>
        <s v="Opal"/>
        <s v="Bcredi"/>
        <s v="Make School"/>
        <s v="Pivot3"/>
        <s v="B8ta"/>
        <s v="Fareportal"/>
        <s v="Ecobee"/>
        <s v="Passport"/>
        <s v="Peerspace"/>
        <s v="GoSpotCheck"/>
        <s v="Consider.co"/>
        <s v="Nativo"/>
        <s v="TripActions"/>
        <s v="Lyric"/>
        <s v="Rangle"/>
        <s v="O'Reilly Media"/>
        <s v="OutboundEngine"/>
        <s v="Overtime"/>
        <s v="Jama"/>
        <s v="Element Analytics"/>
        <s v="Clutter"/>
        <s v="Universal Standard"/>
        <s v="Takl"/>
        <s v="Foodsby"/>
        <s v="TravelBank"/>
        <s v="Flowr"/>
        <s v="Peerfit"/>
        <s v="The Guild"/>
        <s v="Drip"/>
        <s v="GrayMeta"/>
        <s v="Triplebyte"/>
        <s v="Ladder Life"/>
        <s v="Cabin"/>
        <s v="Eight Sleep"/>
        <s v="Flywheel Sports"/>
        <s v="Peek"/>
        <s v="CTO.ai"/>
        <s v="Yonder"/>
        <s v="Service"/>
        <s v="Ejento"/>
        <s v="Remote Year"/>
        <s v="Lola"/>
        <s v="Anyvision"/>
        <s v="Popin"/>
        <s v="Tuft &amp; Needle"/>
        <s v="Flytedesk"/>
        <s v="Help.com"/>
        <s v="Panda Squad"/>
        <s v="Tamara Mellon"/>
      </sharedItems>
    </cacheField>
    <cacheField name="industry" numFmtId="0">
      <sharedItems count="31">
        <s v="Other"/>
        <s v="Consumer"/>
        <s v="Retail"/>
        <s v="Security"/>
        <s v="Media"/>
        <s v="Healthcare"/>
        <s v="Data"/>
        <s v="HR"/>
        <s v="Recruiting"/>
        <s v="Crypto"/>
        <s v="Marketing"/>
        <s v="Transportation"/>
        <s v="Hardware"/>
        <s v="Travel"/>
        <s v="Finance"/>
        <s v="Support"/>
        <s v="Real Estate"/>
        <s v="AI"/>
        <s v="Food"/>
        <s v="Sales"/>
        <s v="Manufacturing"/>
        <s v="Education"/>
        <s v="Product"/>
        <s v="Logistics"/>
        <s v="Infrastructure"/>
        <s v="Fitness"/>
        <s v="Energy"/>
        <s v="Legal"/>
        <s v="Unknown"/>
        <s v="Aerospace"/>
        <s v="Construction"/>
      </sharedItems>
    </cacheField>
    <cacheField name="country" numFmtId="0">
      <sharedItems containsBlank="1"/>
    </cacheField>
    <cacheField name="stage" numFmtId="0">
      <sharedItems containsBlank="1" count="17">
        <s v="Post-IPO"/>
        <s v="Acquired"/>
        <s v="Series B"/>
        <s v="Unknown"/>
        <s v="Series F"/>
        <s v="Series C"/>
        <s v="Seed"/>
        <s v="Series D"/>
        <s v="Series A"/>
        <s v="Private Equity"/>
        <s v="Subsidiary"/>
        <s v="Series E"/>
        <s v="Series G"/>
        <s v="Series H"/>
        <s v="Series J"/>
        <s v="Series I"/>
        <m/>
      </sharedItems>
    </cacheField>
    <cacheField name="total_laid_off_num" numFmtId="0">
      <sharedItems containsMixedTypes="1" containsNumber="1" containsInteger="1" minValue="3" maxValue="22000"/>
    </cacheField>
    <cacheField name="percentage_laid_off_num" numFmtId="0">
      <sharedItems containsMixedTypes="1" containsNumber="1" minValue="0" maxValue="1"/>
    </cacheField>
    <cacheField name="funds_raised_num" numFmtId="0">
      <sharedItems containsMixedTypes="1" containsNumber="1" minValue="0.7" maxValue="121900"/>
    </cacheField>
    <cacheField name="date_clean" numFmtId="14">
      <sharedItems containsSemiMixedTypes="0" containsNonDate="0" containsDate="1" containsString="0" minDate="2020-03-11T00:00:00" maxDate="2026-07-02T00:00:00" count="1261">
        <d v="2026-07-01T00:00:00"/>
        <d v="2026-06-30T00:00:00"/>
        <d v="2026-06-29T00:00:00"/>
        <d v="2026-06-26T00:00:00"/>
        <d v="2026-06-25T00:00:00"/>
        <d v="2026-06-24T00:00:00"/>
        <d v="2026-06-23T00:00:00"/>
        <d v="2026-06-22T00:00:00"/>
        <d v="2026-06-17T00:00:00"/>
        <d v="2026-06-16T00:00:00"/>
        <d v="2026-06-12T00:00:00"/>
        <d v="2026-06-11T00:00:00"/>
        <d v="2026-06-10T00:00:00"/>
        <d v="2026-06-09T00:00:00"/>
        <d v="2026-06-08T00:00:00"/>
        <d v="2026-06-07T00:00:00"/>
        <d v="2026-06-05T00:00:00"/>
        <d v="2026-06-04T00:00:00"/>
        <d v="2026-06-03T00:00:00"/>
        <d v="2026-06-02T00:00:00"/>
        <d v="2026-06-01T00:00:00"/>
        <d v="2026-05-30T00:00:00"/>
        <d v="2026-05-29T00:00:00"/>
        <d v="2026-05-28T00:00:00"/>
        <d v="2026-05-27T00:00:00"/>
        <d v="2026-05-26T00:00:00"/>
        <d v="2026-05-25T00:00:00"/>
        <d v="2026-05-21T00:00:00"/>
        <d v="2026-05-20T00:00:00"/>
        <d v="2026-05-18T00:00:00"/>
        <d v="2026-05-15T00:00:00"/>
        <d v="2026-05-14T00:00:00"/>
        <d v="2026-05-13T00:00:00"/>
        <d v="2026-05-12T00:00:00"/>
        <d v="2026-05-11T00:00:00"/>
        <d v="2026-05-10T00:00:00"/>
        <d v="2026-05-09T00:00:00"/>
        <d v="2026-05-08T00:00:00"/>
        <d v="2026-05-07T00:00:00"/>
        <d v="2026-05-06T00:00:00"/>
        <d v="2026-05-05T00:00:00"/>
        <d v="2026-05-04T00:00:00"/>
        <d v="2026-04-27T00:00:00"/>
        <d v="2026-04-24T00:00:00"/>
        <d v="2026-04-22T00:00:00"/>
        <d v="2026-04-21T00:00:00"/>
        <d v="2026-04-20T00:00:00"/>
        <d v="2026-04-16T00:00:00"/>
        <d v="2026-04-15T00:00:00"/>
        <d v="2026-04-14T00:00:00"/>
        <d v="2026-04-13T00:00:00"/>
        <d v="2026-04-12T00:00:00"/>
        <d v="2026-04-10T00:00:00"/>
        <d v="2026-04-09T00:00:00"/>
        <d v="2026-04-08T00:00:00"/>
        <d v="2026-04-07T00:00:00"/>
        <d v="2026-04-05T00:00:00"/>
        <d v="2026-04-03T00:00:00"/>
        <d v="2026-04-02T00:00:00"/>
        <d v="2026-04-01T00:00:00"/>
        <d v="2026-03-31T00:00:00"/>
        <d v="2026-03-27T00:00:00"/>
        <d v="2026-03-26T00:00:00"/>
        <d v="2026-03-25T00:00:00"/>
        <d v="2026-03-24T00:00:00"/>
        <d v="2026-03-23T00:00:00"/>
        <d v="2026-03-20T00:00:00"/>
        <d v="2026-03-19T00:00:00"/>
        <d v="2026-03-17T00:00:00"/>
        <d v="2026-03-16T00:00:00"/>
        <d v="2026-03-13T00:00:00"/>
        <d v="2026-03-11T00:00:00"/>
        <d v="2026-03-10T00:00:00"/>
        <d v="2026-03-06T00:00:00"/>
        <d v="2026-03-05T00:00:00"/>
        <d v="2026-03-04T00:00:00"/>
        <d v="2026-03-03T00:00:00"/>
        <d v="2026-03-02T00:00:00"/>
        <d v="2026-02-28T00:00:00"/>
        <d v="2026-02-26T00:00:00"/>
        <d v="2026-02-25T00:00:00"/>
        <d v="2026-02-24T00:00:00"/>
        <d v="2026-02-20T00:00:00"/>
        <d v="2026-02-19T00:00:00"/>
        <d v="2026-02-18T00:00:00"/>
        <d v="2026-02-17T00:00:00"/>
        <d v="2026-02-15T00:00:00"/>
        <d v="2026-02-12T00:00:00"/>
        <d v="2026-02-11T00:00:00"/>
        <d v="2026-02-10T00:00:00"/>
        <d v="2026-02-09T00:00:00"/>
        <d v="2026-02-04T00:00:00"/>
        <d v="2026-02-02T00:00:00"/>
        <d v="2026-02-01T00:00:00"/>
        <d v="2026-01-30T00:00:00"/>
        <d v="2026-01-29T00:00:00"/>
        <d v="2026-01-28T00:00:00"/>
        <d v="2026-01-27T00:00:00"/>
        <d v="2026-01-26T00:00:00"/>
        <d v="2026-01-25T00:00:00"/>
        <d v="2026-01-24T00:00:00"/>
        <d v="2026-01-22T00:00:00"/>
        <d v="2026-01-21T00:00:00"/>
        <d v="2026-01-20T00:00:00"/>
        <d v="2026-01-16T00:00:00"/>
        <d v="2026-01-15T00:00:00"/>
        <d v="2026-01-14T00:00:00"/>
        <d v="2026-01-13T00:00:00"/>
        <d v="2026-01-12T00:00:00"/>
        <d v="2026-01-09T00:00:00"/>
        <d v="2026-01-08T00:00:00"/>
        <d v="2026-01-07T00:00:00"/>
        <d v="2026-01-05T00:00:00"/>
        <d v="2025-12-28T00:00:00"/>
        <d v="2025-12-23T00:00:00"/>
        <d v="2025-12-17T00:00:00"/>
        <d v="2025-12-15T00:00:00"/>
        <d v="2025-12-12T00:00:00"/>
        <d v="2025-12-11T00:00:00"/>
        <d v="2025-12-10T00:00:00"/>
        <d v="2025-12-09T00:00:00"/>
        <d v="2025-12-08T00:00:00"/>
        <d v="2025-12-04T00:00:00"/>
        <d v="2025-12-03T00:00:00"/>
        <d v="2025-12-01T00:00:00"/>
        <d v="2025-11-26T00:00:00"/>
        <d v="2025-11-25T00:00:00"/>
        <d v="2025-11-21T00:00:00"/>
        <d v="2025-11-19T00:00:00"/>
        <d v="2025-11-18T00:00:00"/>
        <d v="2025-11-17T00:00:00"/>
        <d v="2025-11-16T00:00:00"/>
        <d v="2025-11-13T00:00:00"/>
        <d v="2025-11-12T00:00:00"/>
        <d v="2025-11-10T00:00:00"/>
        <d v="2025-11-06T00:00:00"/>
        <d v="2025-11-05T00:00:00"/>
        <d v="2025-11-04T00:00:00"/>
        <d v="2025-10-29T00:00:00"/>
        <d v="2025-10-27T00:00:00"/>
        <d v="2025-10-24T00:00:00"/>
        <d v="2025-10-23T00:00:00"/>
        <d v="2025-10-22T00:00:00"/>
        <d v="2025-10-20T00:00:00"/>
        <d v="2025-10-18T00:00:00"/>
        <d v="2025-10-17T00:00:00"/>
        <d v="2025-10-15T00:00:00"/>
        <d v="2025-10-14T00:00:00"/>
        <d v="2025-10-02T00:00:00"/>
        <d v="2025-10-01T00:00:00"/>
        <d v="2025-09-25T00:00:00"/>
        <d v="2025-09-23T00:00:00"/>
        <d v="2025-09-18T00:00:00"/>
        <d v="2025-09-16T00:00:00"/>
        <d v="2025-09-15T00:00:00"/>
        <d v="2025-09-14T00:00:00"/>
        <d v="2025-09-13T00:00:00"/>
        <d v="2025-09-12T00:00:00"/>
        <d v="2025-09-11T00:00:00"/>
        <d v="2025-09-10T00:00:00"/>
        <d v="2025-09-08T00:00:00"/>
        <d v="2025-09-05T00:00:00"/>
        <d v="2025-09-04T00:00:00"/>
        <d v="2025-09-03T00:00:00"/>
        <d v="2025-09-02T00:00:00"/>
        <d v="2025-09-01T00:00:00"/>
        <d v="2025-08-31T00:00:00"/>
        <d v="2025-08-29T00:00:00"/>
        <d v="2025-08-27T00:00:00"/>
        <d v="2025-08-26T00:00:00"/>
        <d v="2025-08-25T00:00:00"/>
        <d v="2025-08-23T00:00:00"/>
        <d v="2025-08-22T00:00:00"/>
        <d v="2025-08-19T00:00:00"/>
        <d v="2025-08-15T00:00:00"/>
        <d v="2025-08-14T00:00:00"/>
        <d v="2025-08-13T00:00:00"/>
        <d v="2025-08-12T00:00:00"/>
        <d v="2025-08-07T00:00:00"/>
        <d v="2025-08-05T00:00:00"/>
        <d v="2025-08-04T00:00:00"/>
        <d v="2025-08-01T00:00:00"/>
        <d v="2025-07-30T00:00:00"/>
        <d v="2025-07-28T00:00:00"/>
        <d v="2025-07-24T00:00:00"/>
        <d v="2025-07-23T00:00:00"/>
        <d v="2025-07-22T00:00:00"/>
        <d v="2025-07-21T00:00:00"/>
        <d v="2025-07-18T00:00:00"/>
        <d v="2025-07-17T00:00:00"/>
        <d v="2025-07-16T00:00:00"/>
        <d v="2025-07-15T00:00:00"/>
        <d v="2025-07-14T00:00:00"/>
        <d v="2025-07-12T00:00:00"/>
        <d v="2025-07-11T00:00:00"/>
        <d v="2025-07-10T00:00:00"/>
        <d v="2025-07-08T00:00:00"/>
        <d v="2025-07-07T00:00:00"/>
        <d v="2025-07-03T00:00:00"/>
        <d v="2025-07-02T00:00:00"/>
        <d v="2025-06-30T00:00:00"/>
        <d v="2025-06-26T00:00:00"/>
        <d v="2025-06-25T00:00:00"/>
        <d v="2025-06-24T00:00:00"/>
        <d v="2025-06-20T00:00:00"/>
        <d v="2025-06-19T00:00:00"/>
        <d v="2025-06-17T00:00:00"/>
        <d v="2025-06-10T00:00:00"/>
        <d v="2025-06-09T00:00:00"/>
        <d v="2025-06-05T00:00:00"/>
        <d v="2025-06-04T00:00:00"/>
        <d v="2025-06-02T00:00:00"/>
        <d v="2025-05-30T00:00:00"/>
        <d v="2025-05-29T00:00:00"/>
        <d v="2025-05-28T00:00:00"/>
        <d v="2025-05-27T00:00:00"/>
        <d v="2025-05-23T00:00:00"/>
        <d v="2025-05-22T00:00:00"/>
        <d v="2025-05-21T00:00:00"/>
        <d v="2025-05-20T00:00:00"/>
        <d v="2025-05-19T00:00:00"/>
        <d v="2025-05-18T00:00:00"/>
        <d v="2025-05-15T00:00:00"/>
        <d v="2025-05-14T00:00:00"/>
        <d v="2025-05-13T00:00:00"/>
        <d v="2025-05-12T00:00:00"/>
        <d v="2025-05-08T00:00:00"/>
        <d v="2025-05-07T00:00:00"/>
        <d v="2025-05-06T00:00:00"/>
        <d v="2025-05-05T00:00:00"/>
        <d v="2025-05-04T00:00:00"/>
        <d v="2025-05-02T00:00:00"/>
        <d v="2025-05-01T00:00:00"/>
        <d v="2025-04-30T00:00:00"/>
        <d v="2025-04-29T00:00:00"/>
        <d v="2025-04-28T00:00:00"/>
        <d v="2025-04-26T00:00:00"/>
        <d v="2025-04-25T00:00:00"/>
        <d v="2025-04-24T00:00:00"/>
        <d v="2025-04-23T00:00:00"/>
        <d v="2025-04-17T00:00:00"/>
        <d v="2025-04-16T00:00:00"/>
        <d v="2025-04-15T00:00:00"/>
        <d v="2025-04-14T00:00:00"/>
        <d v="2025-04-12T00:00:00"/>
        <d v="2025-04-11T00:00:00"/>
        <d v="2025-04-10T00:00:00"/>
        <d v="2025-04-09T00:00:00"/>
        <d v="2025-04-06T00:00:00"/>
        <d v="2025-04-03T00:00:00"/>
        <d v="2025-04-02T00:00:00"/>
        <d v="2025-04-01T00:00:00"/>
        <d v="2025-03-31T00:00:00"/>
        <d v="2025-03-27T00:00:00"/>
        <d v="2025-03-25T00:00:00"/>
        <d v="2025-03-19T00:00:00"/>
        <d v="2025-03-17T00:00:00"/>
        <d v="2025-03-13T00:00:00"/>
        <d v="2025-03-10T00:00:00"/>
        <d v="2025-03-09T00:00:00"/>
        <d v="2025-03-07T00:00:00"/>
        <d v="2025-03-06T00:00:00"/>
        <d v="2025-03-05T00:00:00"/>
        <d v="2025-03-03T00:00:00"/>
        <d v="2025-03-02T00:00:00"/>
        <d v="2025-02-28T00:00:00"/>
        <d v="2025-02-27T00:00:00"/>
        <d v="2025-02-26T00:00:00"/>
        <d v="2025-02-24T00:00:00"/>
        <d v="2025-02-22T00:00:00"/>
        <d v="2025-02-21T00:00:00"/>
        <d v="2025-02-20T00:00:00"/>
        <d v="2025-02-19T00:00:00"/>
        <d v="2025-02-17T00:00:00"/>
        <d v="2025-02-14T00:00:00"/>
        <d v="2025-02-13T00:00:00"/>
        <d v="2025-02-12T00:00:00"/>
        <d v="2025-02-11T00:00:00"/>
        <d v="2025-02-10T00:00:00"/>
        <d v="2025-02-06T00:00:00"/>
        <d v="2025-02-05T00:00:00"/>
        <d v="2025-02-04T00:00:00"/>
        <d v="2025-02-03T00:00:00"/>
        <d v="2025-01-30T00:00:00"/>
        <d v="2025-01-29T00:00:00"/>
        <d v="2025-01-28T00:00:00"/>
        <d v="2025-01-27T00:00:00"/>
        <d v="2025-01-21T00:00:00"/>
        <d v="2025-01-20T00:00:00"/>
        <d v="2025-01-16T00:00:00"/>
        <d v="2025-01-15T00:00:00"/>
        <d v="2025-01-14T00:00:00"/>
        <d v="2025-01-13T00:00:00"/>
        <d v="2025-01-10T00:00:00"/>
        <d v="2025-01-09T00:00:00"/>
        <d v="2025-01-07T00:00:00"/>
        <d v="2025-01-06T00:00:00"/>
        <d v="2025-01-02T00:00:00"/>
        <d v="2024-12-31T00:00:00"/>
        <d v="2024-12-27T00:00:00"/>
        <d v="2024-12-23T00:00:00"/>
        <d v="2024-12-22T00:00:00"/>
        <d v="2024-12-19T00:00:00"/>
        <d v="2024-12-17T00:00:00"/>
        <d v="2024-12-14T00:00:00"/>
        <d v="2024-12-12T00:00:00"/>
        <d v="2024-12-11T00:00:00"/>
        <d v="2024-12-10T00:00:00"/>
        <d v="2024-12-09T00:00:00"/>
        <d v="2024-12-06T00:00:00"/>
        <d v="2024-12-05T00:00:00"/>
        <d v="2024-12-04T00:00:00"/>
        <d v="2024-12-03T00:00:00"/>
        <d v="2024-12-02T00:00:00"/>
        <d v="2024-11-30T00:00:00"/>
        <d v="2024-11-29T00:00:00"/>
        <d v="2024-11-27T00:00:00"/>
        <d v="2024-11-25T00:00:00"/>
        <d v="2024-11-24T00:00:00"/>
        <d v="2024-11-22T00:00:00"/>
        <d v="2024-11-21T00:00:00"/>
        <d v="2024-11-20T00:00:00"/>
        <d v="2024-11-19T00:00:00"/>
        <d v="2024-11-15T00:00:00"/>
        <d v="2024-11-14T00:00:00"/>
        <d v="2024-11-13T00:00:00"/>
        <d v="2024-11-12T00:00:00"/>
        <d v="2024-11-11T00:00:00"/>
        <d v="2024-11-08T00:00:00"/>
        <d v="2024-11-07T00:00:00"/>
        <d v="2024-11-06T00:00:00"/>
        <d v="2024-11-05T00:00:00"/>
        <d v="2024-11-04T00:00:00"/>
        <d v="2024-11-03T00:00:00"/>
        <d v="2024-11-01T00:00:00"/>
        <d v="2024-10-31T00:00:00"/>
        <d v="2024-10-30T00:00:00"/>
        <d v="2024-10-29T00:00:00"/>
        <d v="2024-10-25T00:00:00"/>
        <d v="2024-10-24T00:00:00"/>
        <d v="2024-10-23T00:00:00"/>
        <d v="2024-10-21T00:00:00"/>
        <d v="2024-10-20T00:00:00"/>
        <d v="2024-10-17T00:00:00"/>
        <d v="2024-10-16T00:00:00"/>
        <d v="2024-10-15T00:00:00"/>
        <d v="2024-10-11T00:00:00"/>
        <d v="2024-10-10T00:00:00"/>
        <d v="2024-10-09T00:00:00"/>
        <d v="2024-10-08T00:00:00"/>
        <d v="2024-10-07T00:00:00"/>
        <d v="2024-10-03T00:00:00"/>
        <d v="2024-10-02T00:00:00"/>
        <d v="2024-10-01T00:00:00"/>
        <d v="2024-09-30T00:00:00"/>
        <d v="2024-09-26T00:00:00"/>
        <d v="2024-09-25T00:00:00"/>
        <d v="2024-09-24T00:00:00"/>
        <d v="2024-09-23T00:00:00"/>
        <d v="2024-09-22T00:00:00"/>
        <d v="2024-09-20T00:00:00"/>
        <d v="2024-09-19T00:00:00"/>
        <d v="2024-09-18T00:00:00"/>
        <d v="2024-09-16T00:00:00"/>
        <d v="2024-09-12T00:00:00"/>
        <d v="2024-09-11T00:00:00"/>
        <d v="2024-09-09T00:00:00"/>
        <d v="2024-09-08T00:00:00"/>
        <d v="2024-09-07T00:00:00"/>
        <d v="2024-09-06T00:00:00"/>
        <d v="2024-09-04T00:00:00"/>
        <d v="2024-09-03T00:00:00"/>
        <d v="2024-09-02T00:00:00"/>
        <d v="2024-08-31T00:00:00"/>
        <d v="2024-08-29T00:00:00"/>
        <d v="2024-08-28T00:00:00"/>
        <d v="2024-08-27T00:00:00"/>
        <d v="2024-08-26T00:00:00"/>
        <d v="2024-08-23T00:00:00"/>
        <d v="2024-08-22T00:00:00"/>
        <d v="2024-08-21T00:00:00"/>
        <d v="2024-08-20T00:00:00"/>
        <d v="2024-08-19T00:00:00"/>
        <d v="2024-08-16T00:00:00"/>
        <d v="2024-08-15T00:00:00"/>
        <d v="2024-08-14T00:00:00"/>
        <d v="2024-08-13T00:00:00"/>
        <d v="2024-08-12T00:00:00"/>
        <d v="2024-08-09T00:00:00"/>
        <d v="2024-08-08T00:00:00"/>
        <d v="2024-08-07T00:00:00"/>
        <d v="2024-08-06T00:00:00"/>
        <d v="2024-08-05T00:00:00"/>
        <d v="2024-08-03T00:00:00"/>
        <d v="2024-08-01T00:00:00"/>
        <d v="2024-07-31T00:00:00"/>
        <d v="2024-07-30T00:00:00"/>
        <d v="2024-07-29T00:00:00"/>
        <d v="2024-07-28T00:00:00"/>
        <d v="2024-07-27T00:00:00"/>
        <d v="2024-07-26T00:00:00"/>
        <d v="2024-07-25T00:00:00"/>
        <d v="2024-07-23T00:00:00"/>
        <d v="2024-07-22T00:00:00"/>
        <d v="2024-07-19T00:00:00"/>
        <d v="2024-07-17T00:00:00"/>
        <d v="2024-07-16T00:00:00"/>
        <d v="2024-07-15T00:00:00"/>
        <d v="2024-07-12T00:00:00"/>
        <d v="2024-07-11T00:00:00"/>
        <d v="2024-07-10T00:00:00"/>
        <d v="2024-07-09T00:00:00"/>
        <d v="2024-07-03T00:00:00"/>
        <d v="2024-07-02T00:00:00"/>
        <d v="2024-07-01T00:00:00"/>
        <d v="2024-06-28T00:00:00"/>
        <d v="2024-06-27T00:00:00"/>
        <d v="2024-06-26T00:00:00"/>
        <d v="2024-06-25T00:00:00"/>
        <d v="2024-06-24T00:00:00"/>
        <d v="2024-06-23T00:00:00"/>
        <d v="2024-06-20T00:00:00"/>
        <d v="2024-06-19T00:00:00"/>
        <d v="2024-06-18T00:00:00"/>
        <d v="2024-06-17T00:00:00"/>
        <d v="2024-06-16T00:00:00"/>
        <d v="2024-06-15T00:00:00"/>
        <d v="2024-06-14T00:00:00"/>
        <d v="2024-06-13T00:00:00"/>
        <d v="2024-06-12T00:00:00"/>
        <d v="2024-06-11T00:00:00"/>
        <d v="2024-06-10T00:00:00"/>
        <d v="2024-06-06T00:00:00"/>
        <d v="2024-06-05T00:00:00"/>
        <d v="2024-06-03T00:00:00"/>
        <d v="2024-05-31T00:00:00"/>
        <d v="2024-05-30T00:00:00"/>
        <d v="2024-05-29T00:00:00"/>
        <d v="2024-05-25T00:00:00"/>
        <d v="2024-05-24T00:00:00"/>
        <d v="2024-05-23T00:00:00"/>
        <d v="2024-05-22T00:00:00"/>
        <d v="2024-05-21T00:00:00"/>
        <d v="2024-05-19T00:00:00"/>
        <d v="2024-05-16T00:00:00"/>
        <d v="2024-05-15T00:00:00"/>
        <d v="2024-05-14T00:00:00"/>
        <d v="2024-05-13T00:00:00"/>
        <d v="2024-05-10T00:00:00"/>
        <d v="2024-05-09T00:00:00"/>
        <d v="2024-05-08T00:00:00"/>
        <d v="2024-05-07T00:00:00"/>
        <d v="2024-05-06T00:00:00"/>
        <d v="2024-05-03T00:00:00"/>
        <d v="2024-05-02T00:00:00"/>
        <d v="2024-05-01T00:00:00"/>
        <d v="2024-04-30T00:00:00"/>
        <d v="2024-04-29T00:00:00"/>
        <d v="2024-04-27T00:00:00"/>
        <d v="2024-04-25T00:00:00"/>
        <d v="2024-04-24T00:00:00"/>
        <d v="2024-04-23T00:00:00"/>
        <d v="2024-04-19T00:00:00"/>
        <d v="2024-04-18T00:00:00"/>
        <d v="2024-04-17T00:00:00"/>
        <d v="2024-04-16T00:00:00"/>
        <d v="2024-04-15T00:00:00"/>
        <d v="2024-04-12T00:00:00"/>
        <d v="2024-04-11T00:00:00"/>
        <d v="2024-04-10T00:00:00"/>
        <d v="2024-04-09T00:00:00"/>
        <d v="2024-04-08T00:00:00"/>
        <d v="2024-04-07T00:00:00"/>
        <d v="2024-04-06T00:00:00"/>
        <d v="2024-04-04T00:00:00"/>
        <d v="2024-04-03T00:00:00"/>
        <d v="2024-04-02T00:00:00"/>
        <d v="2024-04-01T00:00:00"/>
        <d v="2024-03-28T00:00:00"/>
        <d v="2024-03-26T00:00:00"/>
        <d v="2024-03-25T00:00:00"/>
        <d v="2024-03-22T00:00:00"/>
        <d v="2024-03-20T00:00:00"/>
        <d v="2024-03-19T00:00:00"/>
        <d v="2024-03-18T00:00:00"/>
        <d v="2024-03-16T00:00:00"/>
        <d v="2024-03-15T00:00:00"/>
        <d v="2024-03-14T00:00:00"/>
        <d v="2024-03-13T00:00:00"/>
        <d v="2024-03-12T00:00:00"/>
        <d v="2024-03-11T00:00:00"/>
        <d v="2024-03-08T00:00:00"/>
        <d v="2024-03-07T00:00:00"/>
        <d v="2024-03-06T00:00:00"/>
        <d v="2024-03-05T00:00:00"/>
        <d v="2024-03-04T00:00:00"/>
        <d v="2024-03-01T00:00:00"/>
        <d v="2024-02-29T00:00:00"/>
        <d v="2024-02-28T00:00:00"/>
        <d v="2024-02-27T00:00:00"/>
        <d v="2024-02-26T00:00:00"/>
        <d v="2024-02-23T00:00:00"/>
        <d v="2024-02-22T00:00:00"/>
        <d v="2024-02-21T00:00:00"/>
        <d v="2024-02-20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6T00:00:00"/>
        <d v="2024-01-25T00:00:00"/>
        <d v="2024-01-24T00:00:00"/>
        <d v="2024-01-23T00:00:00"/>
        <d v="2024-01-22T00:00:00"/>
        <d v="2024-01-21T00:00:00"/>
        <d v="2024-01-19T00:00:00"/>
        <d v="2024-01-18T00:00:00"/>
        <d v="2024-01-17T00:00:00"/>
        <d v="2024-01-16T00:00:00"/>
        <d v="2024-01-12T00:00:00"/>
        <d v="2024-01-11T00:00:00"/>
        <d v="2024-01-10T00:00:00"/>
        <d v="2024-01-09T00:00:00"/>
        <d v="2024-01-08T00:00:00"/>
        <d v="2024-01-07T00:00:00"/>
        <d v="2024-01-06T00:00:00"/>
        <d v="2024-01-05T00:00:00"/>
        <d v="2024-01-04T00:00:00"/>
        <d v="2024-01-03T00:00:00"/>
        <d v="2024-01-02T00:00:00"/>
        <d v="2023-12-31T00:00:00"/>
        <d v="2023-12-29T00:00:00"/>
        <d v="2023-12-28T00:00:00"/>
        <d v="2023-12-25T00:00:00"/>
        <d v="2023-12-21T00:00:00"/>
        <d v="2023-12-20T00:00:00"/>
        <d v="2023-12-19T00:00:00"/>
        <d v="2023-12-18T00:00:00"/>
        <d v="2023-12-17T00:00:00"/>
        <d v="2023-12-15T00:00:00"/>
        <d v="2023-12-14T00:00:00"/>
        <d v="2023-12-13T00:00:00"/>
        <d v="2023-12-12T00:00:00"/>
        <d v="2023-12-11T00:00:00"/>
        <d v="2023-12-09T00:00:00"/>
        <d v="2023-12-08T00:00:00"/>
        <d v="2023-12-07T00:00:00"/>
        <d v="2023-12-06T00:00:00"/>
        <d v="2023-12-05T00:00:00"/>
        <d v="2023-12-04T00:00:00"/>
        <d v="2023-12-01T00:00:00"/>
        <d v="2023-11-30T00:00:00"/>
        <d v="2023-11-28T00:00:00"/>
        <d v="2023-11-27T00:00:00"/>
        <d v="2023-11-26T00:00:00"/>
        <d v="2023-11-25T00:00:00"/>
        <d v="2023-11-21T00:00:00"/>
        <d v="2023-11-20T00:00:00"/>
        <d v="2023-11-19T00:00:00"/>
        <d v="2023-11-17T00:00:00"/>
        <d v="2023-11-16T00:00:00"/>
        <d v="2023-11-15T00:00:00"/>
        <d v="2023-11-14T00:00:00"/>
        <d v="2023-11-13T00:00:00"/>
        <d v="2023-11-12T00:00:00"/>
        <d v="2023-11-10T00:00:00"/>
        <d v="2023-11-09T00:00:00"/>
        <d v="2023-11-08T00:00:00"/>
        <d v="2023-11-07T00:00:00"/>
        <d v="2023-11-06T00:00:00"/>
        <d v="2023-11-03T00:00:00"/>
        <d v="2023-11-02T00:00:00"/>
        <d v="2023-11-01T00:00:00"/>
        <d v="2023-10-31T00:00:00"/>
        <d v="2023-10-30T00:00:00"/>
        <d v="2023-10-27T00:00:00"/>
        <d v="2023-10-26T00:00:00"/>
        <d v="2023-10-25T00:00:00"/>
        <d v="2023-10-24T00:00:00"/>
        <d v="2023-10-23T00:00:00"/>
        <d v="2023-10-20T00:00:00"/>
        <d v="2023-10-19T00:00:00"/>
        <d v="2023-10-18T00:00:00"/>
        <d v="2023-10-17T00:00:00"/>
        <d v="2023-10-16T00:00:00"/>
        <d v="2023-10-15T00:00:00"/>
        <d v="2023-10-14T00:00:00"/>
        <d v="2023-10-13T00:00:00"/>
        <d v="2023-10-12T00:00:00"/>
        <d v="2023-10-11T00:00:00"/>
        <d v="2023-10-10T00:00:00"/>
        <d v="2023-10-09T00:00:00"/>
        <d v="2023-10-07T00:00:00"/>
        <d v="2023-10-06T00:00:00"/>
        <d v="2023-10-05T00:00:00"/>
        <d v="2023-10-04T00:00:00"/>
        <d v="2023-10-03T00:00:00"/>
        <d v="2023-10-02T00:00:00"/>
        <d v="2023-09-29T00:00:00"/>
        <d v="2023-09-28T00:00:00"/>
        <d v="2023-09-27T00:00:00"/>
        <d v="2023-09-26T00:00:00"/>
        <d v="2023-09-25T00:00:00"/>
        <d v="2023-09-22T00:00:00"/>
        <d v="2023-09-21T00:00:00"/>
        <d v="2023-09-20T00:00:00"/>
        <d v="2023-09-18T00:00:00"/>
        <d v="2023-09-17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7T00:00:00"/>
        <d v="2023-08-26T00:00:00"/>
        <d v="2023-08-25T00:00:00"/>
        <d v="2023-08-24T00:00:00"/>
        <d v="2023-08-23T00:00:00"/>
        <d v="2023-08-22T00:00:00"/>
        <d v="2023-08-21T00:00:00"/>
        <d v="2023-08-20T00:00:00"/>
        <d v="2023-08-19T00:00:00"/>
        <d v="2023-08-18T00:00:00"/>
        <d v="2023-08-17T00:00:00"/>
        <d v="2023-08-16T00:00:00"/>
        <d v="2023-08-15T00:00:00"/>
        <d v="2023-08-14T00:00:00"/>
        <d v="2023-08-11T00:00:00"/>
        <d v="2023-08-10T00:00:00"/>
        <d v="2023-08-09T00:00:00"/>
        <d v="2023-08-08T00:00:00"/>
        <d v="2023-08-07T00:00:00"/>
        <d v="2023-08-04T00:00:00"/>
        <d v="2023-08-03T00:00:00"/>
        <d v="2023-08-02T00:00:00"/>
        <d v="2023-08-01T00:00:00"/>
        <d v="2023-07-31T00:00:00"/>
        <d v="2023-07-30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3T00:00:00"/>
        <d v="2023-07-02T00:00:00"/>
        <d v="2023-06-30T00:00:00"/>
        <d v="2023-06-29T00:00:00"/>
        <d v="2023-06-28T00:00:00"/>
        <d v="2023-06-27T00:00:00"/>
        <d v="2023-06-26T00:00:00"/>
        <d v="2023-06-25T00:00:00"/>
        <d v="2023-06-23T00:00:00"/>
        <d v="2023-06-22T00:00:00"/>
        <d v="2023-06-21T00:00:00"/>
        <d v="2023-06-20T00:00:00"/>
        <d v="2023-06-19T00:00:00"/>
        <d v="2023-06-18T00:00:00"/>
        <d v="2023-06-17T00:00:00"/>
        <d v="2023-06-16T00:00:00"/>
        <d v="2023-06-15T00:00:00"/>
        <d v="2023-06-14T00:00:00"/>
        <d v="2023-06-13T00:00:00"/>
        <d v="2023-06-12T00:00:00"/>
        <d v="2023-06-11T00:00:00"/>
        <d v="2023-06-09T00:00:00"/>
        <d v="2023-06-08T00:00:00"/>
        <d v="2023-06-07T00:00:00"/>
        <d v="2023-06-06T00:00:00"/>
        <d v="2023-06-05T00:00:00"/>
        <d v="2023-06-03T00:00:00"/>
        <d v="2023-06-02T00:00:00"/>
        <d v="2023-06-01T00:00:00"/>
        <d v="2023-05-31T00:00:00"/>
        <d v="2023-05-30T00:00:00"/>
        <d v="2023-05-29T00:00:00"/>
        <d v="2023-05-26T00:00:00"/>
        <d v="2023-05-25T00:00:00"/>
        <d v="2023-05-24T00:00:00"/>
        <d v="2023-05-23T00:00:00"/>
        <d v="2023-05-22T00:00:00"/>
        <d v="2023-05-20T00:00:00"/>
        <d v="2023-05-19T00:00:00"/>
        <d v="2023-05-18T00:00:00"/>
        <d v="2023-05-17T00:00:00"/>
        <d v="2023-05-16T00:00:00"/>
        <d v="2023-05-13T00:00:00"/>
        <d v="2023-05-12T00:00:00"/>
        <d v="2023-05-11T00:00:00"/>
        <d v="2023-05-10T00:00:00"/>
        <d v="2023-05-09T00:00:00"/>
        <d v="2023-05-08T00:00:00"/>
        <d v="2023-05-05T00:00:00"/>
        <d v="2023-05-04T00:00:00"/>
        <d v="2023-05-03T00:00:00"/>
        <d v="2023-05-02T00:00:00"/>
        <d v="2023-05-01T00:00:00"/>
        <d v="2023-04-30T00:00:00"/>
        <d v="2023-04-29T00:00:00"/>
        <d v="2023-04-28T00:00:00"/>
        <d v="2023-04-27T00:00:00"/>
        <d v="2023-04-26T00:00:00"/>
        <d v="2023-04-25T00:00:00"/>
        <d v="2023-04-24T00:00:00"/>
        <d v="2023-04-21T00:00:00"/>
        <d v="2023-04-20T00:00:00"/>
        <d v="2023-04-19T00:00:00"/>
        <d v="2023-04-18T00:00:00"/>
        <d v="2023-04-17T00:00:00"/>
        <d v="2023-04-16T00:00:00"/>
        <d v="2023-04-14T00:00:00"/>
        <d v="2023-04-13T00:00:00"/>
        <d v="2023-04-12T00:00:00"/>
        <d v="2023-04-11T00:00:00"/>
        <d v="2023-04-10T00:00:00"/>
        <d v="2023-04-09T00:00:00"/>
        <d v="2023-04-08T00:00:00"/>
        <d v="2023-04-07T00:00:00"/>
        <d v="2023-04-06T00:00:00"/>
        <d v="2023-04-05T00:00:00"/>
        <d v="2023-04-04T00:00:00"/>
        <d v="2023-04-03T00:00:00"/>
        <d v="2023-03-31T00:00:00"/>
        <d v="2023-03-30T00:00:00"/>
        <d v="2023-03-29T00:00:00"/>
        <d v="2023-03-28T00:00:00"/>
        <d v="2023-03-27T00:00:00"/>
        <d v="2023-03-24T00:00:00"/>
        <d v="2023-03-23T00:00:00"/>
        <d v="2023-03-22T00:00:00"/>
        <d v="2023-03-21T00:00:00"/>
        <d v="2023-03-20T00:00:00"/>
        <d v="2023-03-17T00:00:00"/>
        <d v="2023-03-16T00:00:00"/>
        <d v="2023-03-15T00:00:00"/>
        <d v="2023-03-14T00:00:00"/>
        <d v="2023-03-10T00:00:00"/>
        <d v="2023-03-09T00:00:00"/>
        <d v="2023-03-08T00:00:00"/>
        <d v="2023-03-07T00:00:00"/>
        <d v="2023-03-06T00:00:00"/>
        <d v="2023-03-04T00:00:00"/>
        <d v="2023-03-03T00:00:00"/>
        <d v="2023-03-02T00:00:00"/>
        <d v="2023-03-01T00:00:00"/>
        <d v="2023-02-28T00:00:00"/>
        <d v="2023-02-27T00:00:00"/>
        <d v="2023-02-26T00:00:00"/>
        <d v="2023-02-25T00:00:00"/>
        <d v="2023-02-24T00:00:00"/>
        <d v="2023-02-23T00:00:00"/>
        <d v="2023-02-22T00:00:00"/>
        <d v="2023-02-21T00:00:00"/>
        <d v="2023-02-20T00:00:00"/>
        <d v="2023-02-19T00:00:00"/>
        <d v="2023-02-17T00:00:00"/>
        <d v="2023-02-16T00:00:00"/>
        <d v="2023-02-15T00:00:00"/>
        <d v="2023-02-14T00:00:00"/>
        <d v="2023-02-13T00:00:00"/>
        <d v="2023-02-12T00:00:00"/>
        <d v="2023-02-10T00:00:00"/>
        <d v="2023-02-09T00:00:00"/>
        <d v="2023-02-08T00:00:00"/>
        <d v="2023-02-07T00:00:00"/>
        <d v="2023-02-06T00:00:00"/>
        <d v="2023-02-05T00:00:00"/>
        <d v="2023-02-03T00:00:00"/>
        <d v="2023-02-02T00:00:00"/>
        <d v="2023-02-01T00:00:00"/>
        <d v="2023-01-31T00:00:00"/>
        <d v="2023-01-30T00:00:00"/>
        <d v="2023-01-29T00:00:00"/>
        <d v="2023-01-28T00:00:00"/>
        <d v="2023-01-27T00:00:00"/>
        <d v="2023-01-26T00:00:00"/>
        <d v="2023-01-25T00:00:00"/>
        <d v="2023-01-24T00:00:00"/>
        <d v="2023-01-23T00:00:00"/>
        <d v="2023-01-22T00:00:00"/>
        <d v="2023-01-20T00:00:00"/>
        <d v="2023-01-19T00:00:00"/>
        <d v="2023-01-18T00:00:00"/>
        <d v="2023-01-17T00:00:00"/>
        <d v="2023-01-16T00:00:00"/>
        <d v="2023-01-15T00:00:00"/>
        <d v="2023-01-13T00:00:00"/>
        <d v="2023-01-12T00:00:00"/>
        <d v="2023-01-11T00:00:00"/>
        <d v="2023-01-10T00:00:00"/>
        <d v="2023-01-09T00:00:00"/>
        <d v="2023-01-08T00:00:00"/>
        <d v="2023-01-07T00:00:00"/>
        <d v="2023-01-06T00:00:00"/>
        <d v="2023-01-05T00:00:00"/>
        <d v="2023-01-04T00:00:00"/>
        <d v="2023-01-03T00:00:00"/>
        <d v="2023-01-02T00:00:00"/>
        <d v="2023-01-01T00:00:00"/>
        <d v="2022-12-31T00:00:00"/>
        <d v="2022-12-27T00:00:00"/>
        <d v="2022-12-26T00:00:00"/>
        <d v="2022-12-25T00:00:00"/>
        <d v="2022-12-23T00:00:00"/>
        <d v="2022-12-22T00:00:00"/>
        <d v="2022-12-21T00:00:00"/>
        <d v="2022-12-20T00:00:00"/>
        <d v="2022-12-19T00:00:00"/>
        <d v="2022-12-16T00:00:00"/>
        <d v="2022-12-15T00:00:00"/>
        <d v="2022-12-14T00:00:00"/>
        <d v="2022-12-13T00:00:00"/>
        <d v="2022-12-12T00:00:00"/>
        <d v="2022-12-10T00:00:00"/>
        <d v="2022-12-09T00:00:00"/>
        <d v="2022-12-08T00:00:00"/>
        <d v="2022-12-07T00:00:00"/>
        <d v="2022-12-06T00:00:00"/>
        <d v="2022-12-05T00:00:00"/>
        <d v="2022-12-03T00:00:00"/>
        <d v="2022-12-02T00:00:00"/>
        <d v="2022-12-01T00:00:00"/>
        <d v="2022-11-30T00:00:00"/>
        <d v="2022-11-29T00:00:00"/>
        <d v="2022-11-28T00:00:00"/>
        <d v="2022-11-27T00:00:00"/>
        <d v="2022-11-26T00:00:00"/>
        <d v="2022-11-25T00:00:00"/>
        <d v="2022-11-24T00:00:00"/>
        <d v="2022-11-23T00:00:00"/>
        <d v="2022-11-22T00:00:00"/>
        <d v="2022-11-21T00:00:00"/>
        <d v="2022-11-19T00:00:00"/>
        <d v="2022-11-18T00:00:00"/>
        <d v="2022-11-17T00:00:00"/>
        <d v="2022-11-16T00:00:00"/>
        <d v="2022-11-15T00:00:00"/>
        <d v="2022-11-14T00:00:00"/>
        <d v="2022-11-11T00:00:00"/>
        <d v="2022-11-10T00:00:00"/>
        <d v="2022-11-09T00:00:00"/>
        <d v="2022-11-08T00:00:00"/>
        <d v="2022-11-07T00:00:00"/>
        <d v="2022-11-06T00:00:00"/>
        <d v="2022-11-04T00:00:00"/>
        <d v="2022-11-03T00:00:00"/>
        <d v="2022-11-02T00:00:00"/>
        <d v="2022-11-01T00:00:00"/>
        <d v="2022-10-31T00:00:00"/>
        <d v="2022-10-28T00:00:00"/>
        <d v="2022-10-27T00:00:00"/>
        <d v="2022-10-26T00:00:00"/>
        <d v="2022-10-25T00:00:00"/>
        <d v="2022-10-24T00:00:00"/>
        <d v="2022-10-23T00:00:00"/>
        <d v="2022-10-21T00:00:00"/>
        <d v="2022-10-20T00:00:00"/>
        <d v="2022-10-19T00:00:00"/>
        <d v="2022-10-18T00:00:00"/>
        <d v="2022-10-17T00:00:00"/>
        <d v="2022-10-16T00:00:00"/>
        <d v="2022-10-14T00:00:00"/>
        <d v="2022-10-13T00:00:00"/>
        <d v="2022-10-12T00:00:00"/>
        <d v="2022-10-11T00:00:00"/>
        <d v="2022-10-10T00:00:00"/>
        <d v="2022-10-09T00:00:00"/>
        <d v="2022-10-07T00:00:00"/>
        <d v="2022-10-06T00:00:00"/>
        <d v="2022-10-05T00:00:00"/>
        <d v="2022-10-04T00:00:00"/>
        <d v="2022-10-03T00:00:00"/>
        <d v="2022-10-02T00:00:00"/>
        <d v="2022-09-30T00:00:00"/>
        <d v="2022-09-29T00:00:00"/>
        <d v="2022-09-28T00:00:00"/>
        <d v="2022-09-27T00:00:00"/>
        <d v="2022-09-24T00:00:00"/>
        <d v="2022-09-23T00:00:00"/>
        <d v="2022-09-22T00:00:00"/>
        <d v="2022-09-21T00:00:00"/>
        <d v="2022-09-20T00:00:00"/>
        <d v="2022-09-19T00:00:00"/>
        <d v="2022-09-18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8T00:00:00"/>
        <d v="2022-08-26T00:00:00"/>
        <d v="2022-08-25T00:00:00"/>
        <d v="2022-08-24T00:00:00"/>
        <d v="2022-08-23T00:00:00"/>
        <d v="2022-08-22T00:00:00"/>
        <d v="2022-08-21T00:00:00"/>
        <d v="2022-08-20T00:00:00"/>
        <d v="2022-08-19T00:00:00"/>
        <d v="2022-08-18T00:00:00"/>
        <d v="2022-08-17T00:00:00"/>
        <d v="2022-08-16T00:00:00"/>
        <d v="2022-08-15T00:00:00"/>
        <d v="2022-08-14T00:00:00"/>
        <d v="2022-08-13T00:00:00"/>
        <d v="2022-08-12T00:00:00"/>
        <d v="2022-08-11T00:00:00"/>
        <d v="2022-08-10T00:00:00"/>
        <d v="2022-08-09T00:00:00"/>
        <d v="2022-08-08T00:00:00"/>
        <d v="2022-08-05T00:00:00"/>
        <d v="2022-08-04T00:00:00"/>
        <d v="2022-08-03T00:00:00"/>
        <d v="2022-08-02T00:00:00"/>
        <d v="2022-08-01T00:00:00"/>
        <d v="2022-07-31T00:00:00"/>
        <d v="2022-07-29T00:00:00"/>
        <d v="2022-07-28T00:00:00"/>
        <d v="2022-07-27T00:00:00"/>
        <d v="2022-07-26T00:00:00"/>
        <d v="2022-07-25T00:00:00"/>
        <d v="2022-07-24T00:00:00"/>
        <d v="2022-07-22T00:00:00"/>
        <d v="2022-07-21T00:00:00"/>
        <d v="2022-07-20T00:00:00"/>
        <d v="2022-07-19T00:00:00"/>
        <d v="2022-07-18T00:00:00"/>
        <d v="2022-07-15T00:00:00"/>
        <d v="2022-07-14T00:00:00"/>
        <d v="2022-07-13T00:00:00"/>
        <d v="2022-07-12T00:00:00"/>
        <d v="2022-07-11T00:00:00"/>
        <d v="2022-07-09T00:00:00"/>
        <d v="2022-07-08T00:00:00"/>
        <d v="2022-07-07T00:00:00"/>
        <d v="2022-07-06T00:00:00"/>
        <d v="2022-07-05T00:00:00"/>
        <d v="2022-07-04T00:00:00"/>
        <d v="2022-07-03T00:00:00"/>
        <d v="2022-07-02T00:00:00"/>
        <d v="2022-07-01T00:00:00"/>
        <d v="2022-06-30T00:00:00"/>
        <d v="2022-06-29T00:00:00"/>
        <d v="2022-06-28T00:00:00"/>
        <d v="2022-06-27T00:00:00"/>
        <d v="2022-06-26T00:00:00"/>
        <d v="2022-06-24T00:00:00"/>
        <d v="2022-06-23T00:00:00"/>
        <d v="2022-06-22T00:00:00"/>
        <d v="2022-06-21T00:00:00"/>
        <d v="2022-06-20T00:00:00"/>
        <d v="2022-06-19T00:00:00"/>
        <d v="2022-06-18T00:00:00"/>
        <d v="2022-06-17T00:00:00"/>
        <d v="2022-06-16T00:00:00"/>
        <d v="2022-06-15T00:00:00"/>
        <d v="2022-06-14T00:00:00"/>
        <d v="2022-06-13T00:00:00"/>
        <d v="2022-06-10T00:00:00"/>
        <d v="2022-06-09T00:00:00"/>
        <d v="2022-06-08T00:00:00"/>
        <d v="2022-06-07T00:00:00"/>
        <d v="2022-06-06T00:00:00"/>
        <d v="2022-06-04T00:00:00"/>
        <d v="2022-06-03T00:00:00"/>
        <d v="2022-06-02T00:00:00"/>
        <d v="2022-06-01T00:00:00"/>
        <d v="2022-05-31T00:00:00"/>
        <d v="2022-05-30T00:00:00"/>
        <d v="2022-05-27T00:00:00"/>
        <d v="2022-05-26T00:00:00"/>
        <d v="2022-05-25T00:00:00"/>
        <d v="2022-05-24T00:00:00"/>
        <d v="2022-05-23T00:00:00"/>
        <d v="2022-05-21T00:00:00"/>
        <d v="2022-05-20T00:00:00"/>
        <d v="2022-05-19T00:00:00"/>
        <d v="2022-05-18T00:00:00"/>
        <d v="2022-05-17T00:00:00"/>
        <d v="2022-05-16T00:00:00"/>
        <d v="2022-05-14T00:00:00"/>
        <d v="2022-05-13T00:00:00"/>
        <d v="2022-05-12T00:00:00"/>
        <d v="2022-05-11T00:00:00"/>
        <d v="2022-05-10T00:00:00"/>
        <d v="2022-05-09T00:00:00"/>
        <d v="2022-05-06T00:00:00"/>
        <d v="2022-05-05T00:00:00"/>
        <d v="2022-05-04T00:00:00"/>
        <d v="2022-05-02T00:00:00"/>
        <d v="2022-05-01T00:00:00"/>
        <d v="2022-04-29T00:00:00"/>
        <d v="2022-04-28T00:00:00"/>
        <d v="2022-04-27T00:00:00"/>
        <d v="2022-04-26T00:00:00"/>
        <d v="2022-04-25T00:00:00"/>
        <d v="2022-04-21T00:00:00"/>
        <d v="2022-04-20T00:00:00"/>
        <d v="2022-04-19T00:00:00"/>
        <d v="2022-04-18T00:00:00"/>
        <d v="2022-04-15T00:00:00"/>
        <d v="2022-04-14T00:00:00"/>
        <d v="2022-04-12T00:00:00"/>
        <d v="2022-04-11T00:00:00"/>
        <d v="2022-04-08T00:00:00"/>
        <d v="2022-04-07T00:00:00"/>
        <d v="2022-04-05T00:00:00"/>
        <d v="2022-04-04T00:00:00"/>
        <d v="2022-03-31T00:00:00"/>
        <d v="2022-03-30T00:00:00"/>
        <d v="2022-03-29T00:00:00"/>
        <d v="2022-03-26T00:00:00"/>
        <d v="2022-03-19T00:00:00"/>
        <d v="2022-03-17T00:00:00"/>
        <d v="2022-03-16T00:00:00"/>
        <d v="2022-03-15T00:00:00"/>
        <d v="2022-03-10T00:00:00"/>
        <d v="2022-03-08T00:00:00"/>
        <d v="2022-03-03T00:00:00"/>
        <d v="2022-03-02T00:00:00"/>
        <d v="2022-03-01T00:00:00"/>
        <d v="2022-02-25T00:00:00"/>
        <d v="2022-02-24T00:00:00"/>
        <d v="2022-02-21T00:00:00"/>
        <d v="2022-02-17T00:00:00"/>
        <d v="2022-02-16T00:00:00"/>
        <d v="2022-02-14T00:00:00"/>
        <d v="2022-02-10T00:00:00"/>
        <d v="2022-02-08T00:00:00"/>
        <d v="2022-02-07T00:00:00"/>
        <d v="2022-02-03T00:00:00"/>
        <d v="2022-01-26T00:00:00"/>
        <d v="2022-01-20T00:00:00"/>
        <d v="2022-01-08T00:00:00"/>
        <d v="2021-12-22T00:00:00"/>
        <d v="2021-12-08T00:00:00"/>
        <d v="2021-12-01T00:00:00"/>
        <d v="2021-11-18T00:00:00"/>
        <d v="2021-11-02T00:00:00"/>
        <d v="2021-10-05T00:00:00"/>
        <d v="2021-10-01T00:00:00"/>
        <d v="2021-09-23T00:00:00"/>
        <d v="2021-09-22T00:00:00"/>
        <d v="2021-09-15T00:00:00"/>
        <d v="2021-09-14T00:00:00"/>
        <d v="2021-08-30T00:00:00"/>
        <d v="2021-08-24T00:00:00"/>
        <d v="2021-08-05T00:00:00"/>
        <d v="2021-07-26T00:00:00"/>
        <d v="2021-06-01T00:00:00"/>
        <d v="2021-05-05T00:00:00"/>
        <d v="2021-04-29T00:00:00"/>
        <d v="2021-04-26T00:00:00"/>
        <d v="2021-04-06T00:00:00"/>
        <d v="2021-03-24T00:00:00"/>
        <d v="2021-03-09T00:00:00"/>
        <d v="2021-03-03T00:00:00"/>
        <d v="2021-03-01T00:00:00"/>
        <d v="2021-02-24T00:00:00"/>
        <d v="2021-02-23T00:00:00"/>
        <d v="2021-02-22T00:00:00"/>
        <d v="2021-02-09T00:00:00"/>
        <d v="2021-02-04T00:00:00"/>
        <d v="2021-02-03T00:00:00"/>
        <d v="2021-02-01T00:00:00"/>
        <d v="2021-01-27T00:00:00"/>
        <d v="2021-01-25T00:00:00"/>
        <d v="2021-01-23T00:00:00"/>
        <d v="2021-01-21T00:00:00"/>
        <d v="2021-01-20T00:00:00"/>
        <d v="2021-01-13T00:00:00"/>
        <d v="2021-01-11T00:00:00"/>
        <d v="2021-01-07T00:00:00"/>
        <d v="2021-01-06T00:00:00"/>
        <d v="2020-12-23T00:00:00"/>
        <d v="2020-12-16T00:00:00"/>
        <d v="2020-12-08T00:00:00"/>
        <d v="2020-11-25T00:00:00"/>
        <d v="2020-11-19T00:00:00"/>
        <d v="2020-11-18T00:00:00"/>
        <d v="2020-11-17T00:00:00"/>
        <d v="2020-11-09T00:00:00"/>
        <d v="2020-11-05T00:00:00"/>
        <d v="2020-11-02T00:00:00"/>
        <d v="2020-11-01T00:00:00"/>
        <d v="2020-10-29T00:00:00"/>
        <d v="2020-10-25T00:00:00"/>
        <d v="2020-10-23T00:00:00"/>
        <d v="2020-10-21T00:00:00"/>
        <d v="2020-10-20T00:00:00"/>
        <d v="2020-10-14T00:00:00"/>
        <d v="2020-10-10T00:00:00"/>
        <d v="2020-10-08T00:00:00"/>
        <d v="2020-09-29T00:00:00"/>
        <d v="2020-09-25T00:00:00"/>
        <d v="2020-09-23T00:00:00"/>
        <d v="2020-09-16T00:00:00"/>
        <d v="2020-09-11T00:00:00"/>
        <d v="2020-09-09T00:00:00"/>
        <d v="2020-09-08T00:00:00"/>
        <d v="2020-09-05T00:00:00"/>
        <d v="2020-09-02T00:00:00"/>
        <d v="2020-09-01T00:00:00"/>
        <d v="2020-08-31T00:00:00"/>
        <d v="2020-08-26T00:00:00"/>
        <d v="2020-08-24T00:00:00"/>
        <d v="2020-08-20T00:00:00"/>
        <d v="2020-08-19T00:00:00"/>
        <d v="2020-08-18T00:00:00"/>
        <d v="2020-08-17T00:00:00"/>
        <d v="2020-08-14T00:00:00"/>
        <d v="2020-08-12T00:00:00"/>
        <d v="2020-08-11T00:00:00"/>
        <d v="2020-08-08T00:00:00"/>
        <d v="2020-08-07T00:00:00"/>
        <d v="2020-08-06T00:00:00"/>
        <d v="2020-08-05T00:00:00"/>
        <d v="2020-07-30T00:00:00"/>
        <d v="2020-07-29T00:00:00"/>
        <d v="2020-07-28T00:00:00"/>
        <d v="2020-07-27T00:00:00"/>
        <d v="2020-07-23T00:00:00"/>
        <d v="2020-07-21T00:00:00"/>
        <d v="2020-07-20T00:00:00"/>
        <d v="2020-07-17T00:00:00"/>
        <d v="2020-07-16T00:00:00"/>
        <d v="2020-07-15T00:00:00"/>
        <d v="2020-07-14T00:00:00"/>
        <d v="2020-07-13T00:00:00"/>
        <d v="2020-07-10T00:00:00"/>
        <d v="2020-07-09T00:00:00"/>
        <d v="2020-07-08T00:00:00"/>
        <d v="2020-07-01T00:00:00"/>
        <d v="2020-06-30T00:00:00"/>
        <d v="2020-06-29T00:00:00"/>
        <d v="2020-06-28T00:00:00"/>
        <d v="2020-06-27T00:00:00"/>
        <d v="2020-06-25T00:00:00"/>
        <d v="2020-06-24T00:00:00"/>
        <d v="2020-06-23T00:00:00"/>
        <d v="2020-06-22T00:00:00"/>
        <d v="2020-06-19T00:00:00"/>
        <d v="2020-06-18T00:00:00"/>
        <d v="2020-06-17T00:00:00"/>
        <d v="2020-06-16T00:00:00"/>
        <d v="2020-06-15T00:00:00"/>
        <d v="2020-06-12T00:00:00"/>
        <d v="2020-06-11T00:00:00"/>
        <d v="2020-06-10T00:00:00"/>
        <d v="2020-06-09T00:00:00"/>
        <d v="2020-06-05T00:00:00"/>
        <d v="2020-06-04T00:00:00"/>
        <d v="2020-06-03T00:00:00"/>
        <d v="2020-06-02T00:00:00"/>
        <d v="2020-06-01T00:00:00"/>
        <d v="2020-05-29T00:00:00"/>
        <d v="2020-05-28T00:00:00"/>
        <d v="2020-05-27T00:00:00"/>
        <d v="2020-05-26T00:00:00"/>
        <d v="2020-05-25T00:00:00"/>
        <d v="2020-05-22T00:00:00"/>
        <d v="2020-05-21T00:00:00"/>
        <d v="2020-05-20T00:00:00"/>
        <d v="2020-05-19T00:00:00"/>
        <d v="2020-05-18T00:00:00"/>
        <d v="2020-05-17T00:00:00"/>
        <d v="2020-05-15T00:00:00"/>
        <d v="2020-05-14T00:00:00"/>
        <d v="2020-05-13T00:00:00"/>
        <d v="2020-05-12T00:00:00"/>
        <d v="2020-05-11T00:00:00"/>
        <d v="2020-05-08T00:00:00"/>
        <d v="2020-05-07T00:00:00"/>
        <d v="2020-05-06T00:00:00"/>
        <d v="2020-05-05T00:00:00"/>
        <d v="2020-05-04T00:00:00"/>
        <d v="2020-05-03T00:00:00"/>
        <d v="2020-05-01T00:00:00"/>
        <d v="2020-04-30T00:00:00"/>
        <d v="2020-04-29T00:00:00"/>
        <d v="2020-04-28T00:00:00"/>
        <d v="2020-04-27T00:00:00"/>
        <d v="2020-04-25T00:00:00"/>
        <d v="2020-04-24T00:00:00"/>
        <d v="2020-04-23T00:00:00"/>
        <d v="2020-04-22T00:00:00"/>
        <d v="2020-04-21T00:00:00"/>
        <d v="2020-04-20T00:00:00"/>
        <d v="2020-04-18T00:00:00"/>
        <d v="2020-04-17T00:00:00"/>
        <d v="2020-04-16T00:00:00"/>
        <d v="2020-04-15T00:00:00"/>
        <d v="2020-04-14T00:00:00"/>
        <d v="2020-04-13T00:00:00"/>
        <d v="2020-04-10T00:00:00"/>
        <d v="2020-04-09T00:00:00"/>
        <d v="2020-04-08T00:00:00"/>
        <d v="2020-04-07T00:00:00"/>
        <d v="2020-04-06T00:00:00"/>
        <d v="2020-04-05T00:00:00"/>
        <d v="2020-04-04T00:00:00"/>
        <d v="2020-04-03T00:00:00"/>
        <d v="2020-04-02T00:00:00"/>
        <d v="2020-04-01T00:00:00"/>
        <d v="2020-03-31T00:00:00"/>
        <d v="2020-03-30T00:00:00"/>
        <d v="2020-03-29T00:00:00"/>
        <d v="2020-03-28T00:00:00"/>
        <d v="2020-03-27T00:00:00"/>
        <d v="2020-03-26T00:00:00"/>
        <d v="2020-03-25T00:00:00"/>
        <d v="2020-03-24T00:00:00"/>
        <d v="2020-03-23T00:00:00"/>
        <d v="2020-03-20T00:00:00"/>
        <d v="2020-03-19T00:00:00"/>
        <d v="2020-03-18T00:00:00"/>
        <d v="2020-03-16T00:00:00"/>
        <d v="2020-03-13T00:00:00"/>
        <d v="2020-03-12T00:00:00"/>
        <d v="2020-03-11T00:00:00"/>
      </sharedItems>
    </cacheField>
    <cacheField name="layoff_year" numFmtId="0">
      <sharedItems containsSemiMixedTypes="0" containsString="0" containsNumber="1" containsInteger="1" minValue="2020" maxValue="2026" count="7">
        <n v="2026"/>
        <n v="2025"/>
        <n v="2024"/>
        <n v="2023"/>
        <n v="2022"/>
        <n v="2021"/>
        <n v="2020"/>
      </sharedItems>
    </cacheField>
    <cacheField name="layoff_month" numFmtId="0">
      <sharedItems containsSemiMixedTypes="0" containsString="0" containsNumber="1" containsInteger="1" minValue="1" maxValue="12" count="12">
        <n v="7"/>
        <n v="6"/>
        <n v="5"/>
        <n v="4"/>
        <n v="3"/>
        <n v="2"/>
        <n v="1"/>
        <n v="12"/>
        <n v="11"/>
        <n v="10"/>
        <n v="9"/>
        <n v="8"/>
      </sharedItems>
    </cacheField>
    <cacheField name="funding_tier" numFmtId="0">
      <sharedItems count="5">
        <s v="Under $10M"/>
        <s v="Unknown"/>
        <s v="Over $1B"/>
        <s v="$10M-$100M"/>
        <s v="$100M-$1B"/>
      </sharedItems>
    </cacheField>
    <cacheField name="is_full_shutdown" numFmtId="0">
      <sharedItems containsMixedTypes="1" containsNumber="1" containsInteger="1" minValue="0" maxValue="1"/>
    </cacheField>
    <cacheField name="has_confirmed_size"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104314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4">
  <r>
    <x v="0"/>
    <x v="0"/>
    <s v="United States"/>
    <x v="0"/>
    <n v="5500"/>
    <n v="0.03"/>
    <n v="1"/>
    <x v="0"/>
    <x v="0"/>
    <x v="0"/>
    <x v="0"/>
    <n v="0"/>
    <x v="0"/>
  </r>
  <r>
    <x v="1"/>
    <x v="1"/>
    <s v="Ireland"/>
    <x v="1"/>
    <n v="300"/>
    <s v="NULL"/>
    <s v="NULL"/>
    <x v="0"/>
    <x v="0"/>
    <x v="0"/>
    <x v="1"/>
    <s v="NULL"/>
    <x v="0"/>
  </r>
  <r>
    <x v="2"/>
    <x v="2"/>
    <s v="Indonesia"/>
    <x v="1"/>
    <s v="NULL"/>
    <n v="0.9"/>
    <n v="2800"/>
    <x v="0"/>
    <x v="0"/>
    <x v="0"/>
    <x v="2"/>
    <n v="0"/>
    <x v="0"/>
  </r>
  <r>
    <x v="3"/>
    <x v="3"/>
    <s v="Israel"/>
    <x v="1"/>
    <n v="80"/>
    <s v="NULL"/>
    <n v="25"/>
    <x v="1"/>
    <x v="0"/>
    <x v="1"/>
    <x v="3"/>
    <s v="NULL"/>
    <x v="0"/>
  </r>
  <r>
    <x v="4"/>
    <x v="4"/>
    <s v="Israel"/>
    <x v="2"/>
    <n v="100"/>
    <n v="0.3"/>
    <n v="65"/>
    <x v="2"/>
    <x v="0"/>
    <x v="1"/>
    <x v="3"/>
    <n v="0"/>
    <x v="0"/>
  </r>
  <r>
    <x v="5"/>
    <x v="5"/>
    <s v="United States"/>
    <x v="3"/>
    <s v="NULL"/>
    <n v="0.04"/>
    <n v="164"/>
    <x v="2"/>
    <x v="0"/>
    <x v="1"/>
    <x v="4"/>
    <n v="0"/>
    <x v="0"/>
  </r>
  <r>
    <x v="6"/>
    <x v="6"/>
    <s v="United States"/>
    <x v="3"/>
    <n v="300"/>
    <s v="NULL"/>
    <s v="NULL"/>
    <x v="3"/>
    <x v="0"/>
    <x v="1"/>
    <x v="1"/>
    <s v="NULL"/>
    <x v="0"/>
  </r>
  <r>
    <x v="7"/>
    <x v="7"/>
    <s v="United States"/>
    <x v="0"/>
    <n v="76"/>
    <s v="NULL"/>
    <s v="NULL"/>
    <x v="3"/>
    <x v="0"/>
    <x v="1"/>
    <x v="1"/>
    <s v="NULL"/>
    <x v="0"/>
  </r>
  <r>
    <x v="8"/>
    <x v="7"/>
    <s v="Australia"/>
    <x v="4"/>
    <n v="70"/>
    <n v="0.09"/>
    <n v="257"/>
    <x v="3"/>
    <x v="0"/>
    <x v="1"/>
    <x v="4"/>
    <n v="0"/>
    <x v="0"/>
  </r>
  <r>
    <x v="9"/>
    <x v="8"/>
    <s v="United States"/>
    <x v="5"/>
    <s v="NULL"/>
    <s v="NULL"/>
    <n v="38"/>
    <x v="3"/>
    <x v="0"/>
    <x v="1"/>
    <x v="3"/>
    <s v="NULL"/>
    <x v="1"/>
  </r>
  <r>
    <x v="10"/>
    <x v="5"/>
    <s v="India"/>
    <x v="6"/>
    <s v="NULL"/>
    <n v="1"/>
    <s v="NULL"/>
    <x v="3"/>
    <x v="0"/>
    <x v="1"/>
    <x v="1"/>
    <n v="1"/>
    <x v="0"/>
  </r>
  <r>
    <x v="11"/>
    <x v="1"/>
    <s v="United States"/>
    <x v="1"/>
    <n v="292"/>
    <s v="NULL"/>
    <n v="100"/>
    <x v="4"/>
    <x v="0"/>
    <x v="1"/>
    <x v="4"/>
    <s v="NULL"/>
    <x v="0"/>
  </r>
  <r>
    <x v="12"/>
    <x v="9"/>
    <s v="United States"/>
    <x v="3"/>
    <n v="90"/>
    <n v="0.15"/>
    <n v="171"/>
    <x v="4"/>
    <x v="0"/>
    <x v="1"/>
    <x v="4"/>
    <n v="0"/>
    <x v="0"/>
  </r>
  <r>
    <x v="13"/>
    <x v="10"/>
    <s v="United States"/>
    <x v="7"/>
    <s v="NULL"/>
    <s v="NULL"/>
    <n v="187"/>
    <x v="4"/>
    <x v="0"/>
    <x v="1"/>
    <x v="4"/>
    <s v="NULL"/>
    <x v="1"/>
  </r>
  <r>
    <x v="14"/>
    <x v="1"/>
    <s v="United States"/>
    <x v="0"/>
    <s v="NULL"/>
    <n v="0.03"/>
    <n v="455.2"/>
    <x v="4"/>
    <x v="0"/>
    <x v="1"/>
    <x v="4"/>
    <n v="0"/>
    <x v="0"/>
  </r>
  <r>
    <x v="15"/>
    <x v="3"/>
    <s v="Israel"/>
    <x v="3"/>
    <s v="NULL"/>
    <s v="NULL"/>
    <s v="NULL"/>
    <x v="5"/>
    <x v="0"/>
    <x v="1"/>
    <x v="1"/>
    <s v="NULL"/>
    <x v="1"/>
  </r>
  <r>
    <x v="16"/>
    <x v="6"/>
    <s v="United States"/>
    <x v="0"/>
    <s v="NULL"/>
    <n v="7.0000000000000007E-2"/>
    <n v="162"/>
    <x v="5"/>
    <x v="0"/>
    <x v="1"/>
    <x v="4"/>
    <n v="0"/>
    <x v="0"/>
  </r>
  <r>
    <x v="17"/>
    <x v="3"/>
    <s v="United States"/>
    <x v="4"/>
    <s v="NULL"/>
    <s v="NULL"/>
    <n v="849"/>
    <x v="5"/>
    <x v="0"/>
    <x v="1"/>
    <x v="4"/>
    <s v="NULL"/>
    <x v="1"/>
  </r>
  <r>
    <x v="18"/>
    <x v="0"/>
    <s v="United States"/>
    <x v="0"/>
    <n v="21000"/>
    <n v="0.13"/>
    <s v="NULL"/>
    <x v="6"/>
    <x v="0"/>
    <x v="1"/>
    <x v="1"/>
    <n v="0"/>
    <x v="0"/>
  </r>
  <r>
    <x v="19"/>
    <x v="9"/>
    <s v="Switzerland"/>
    <x v="3"/>
    <n v="54"/>
    <n v="0.2"/>
    <n v="18"/>
    <x v="6"/>
    <x v="0"/>
    <x v="1"/>
    <x v="3"/>
    <n v="0"/>
    <x v="0"/>
  </r>
  <r>
    <x v="20"/>
    <x v="2"/>
    <s v="Singapore"/>
    <x v="1"/>
    <s v="NULL"/>
    <n v="0.05"/>
    <n v="7200"/>
    <x v="6"/>
    <x v="0"/>
    <x v="1"/>
    <x v="2"/>
    <n v="0"/>
    <x v="0"/>
  </r>
  <r>
    <x v="21"/>
    <x v="11"/>
    <s v="United States"/>
    <x v="0"/>
    <n v="1500"/>
    <n v="0.18"/>
    <n v="8300"/>
    <x v="7"/>
    <x v="0"/>
    <x v="1"/>
    <x v="2"/>
    <n v="0"/>
    <x v="0"/>
  </r>
  <r>
    <x v="22"/>
    <x v="11"/>
    <s v="India"/>
    <x v="8"/>
    <n v="100"/>
    <n v="0.7"/>
    <n v="5"/>
    <x v="7"/>
    <x v="0"/>
    <x v="1"/>
    <x v="0"/>
    <n v="0"/>
    <x v="0"/>
  </r>
  <r>
    <x v="23"/>
    <x v="12"/>
    <s v="Austria"/>
    <x v="1"/>
    <s v="NULL"/>
    <s v="NULL"/>
    <n v="38"/>
    <x v="7"/>
    <x v="0"/>
    <x v="1"/>
    <x v="3"/>
    <s v="NULL"/>
    <x v="1"/>
  </r>
  <r>
    <x v="24"/>
    <x v="13"/>
    <s v="Netherlands"/>
    <x v="0"/>
    <n v="400"/>
    <n v="0.25"/>
    <s v="NULL"/>
    <x v="8"/>
    <x v="0"/>
    <x v="1"/>
    <x v="1"/>
    <n v="0"/>
    <x v="0"/>
  </r>
  <r>
    <x v="25"/>
    <x v="10"/>
    <s v="Israel"/>
    <x v="8"/>
    <s v="NULL"/>
    <n v="0.1"/>
    <n v="20"/>
    <x v="8"/>
    <x v="0"/>
    <x v="1"/>
    <x v="3"/>
    <n v="0"/>
    <x v="0"/>
  </r>
  <r>
    <x v="26"/>
    <x v="14"/>
    <s v="United States"/>
    <x v="0"/>
    <n v="290"/>
    <n v="0.1"/>
    <n v="6200"/>
    <x v="9"/>
    <x v="0"/>
    <x v="1"/>
    <x v="2"/>
    <n v="0"/>
    <x v="0"/>
  </r>
  <r>
    <x v="27"/>
    <x v="4"/>
    <s v="Israel"/>
    <x v="3"/>
    <n v="200"/>
    <n v="0.4"/>
    <n v="48"/>
    <x v="9"/>
    <x v="0"/>
    <x v="1"/>
    <x v="3"/>
    <n v="0"/>
    <x v="0"/>
  </r>
  <r>
    <x v="28"/>
    <x v="14"/>
    <s v="United Kingdom"/>
    <x v="9"/>
    <s v="NULL"/>
    <s v="NULL"/>
    <n v="3500"/>
    <x v="9"/>
    <x v="0"/>
    <x v="1"/>
    <x v="2"/>
    <s v="NULL"/>
    <x v="1"/>
  </r>
  <r>
    <x v="29"/>
    <x v="9"/>
    <s v="Germany"/>
    <x v="3"/>
    <s v="NULL"/>
    <s v="NULL"/>
    <n v="308"/>
    <x v="9"/>
    <x v="0"/>
    <x v="1"/>
    <x v="4"/>
    <s v="NULL"/>
    <x v="1"/>
  </r>
  <r>
    <x v="30"/>
    <x v="6"/>
    <s v="United States"/>
    <x v="1"/>
    <s v="NULL"/>
    <n v="0.15"/>
    <n v="17"/>
    <x v="9"/>
    <x v="0"/>
    <x v="1"/>
    <x v="3"/>
    <n v="0"/>
    <x v="0"/>
  </r>
  <r>
    <x v="31"/>
    <x v="11"/>
    <s v="United States"/>
    <x v="0"/>
    <s v="NULL"/>
    <n v="0.02"/>
    <n v="10700"/>
    <x v="9"/>
    <x v="0"/>
    <x v="1"/>
    <x v="2"/>
    <n v="0"/>
    <x v="0"/>
  </r>
  <r>
    <x v="32"/>
    <x v="14"/>
    <s v="Denmark"/>
    <x v="5"/>
    <n v="50"/>
    <s v="NULL"/>
    <n v="428"/>
    <x v="10"/>
    <x v="0"/>
    <x v="1"/>
    <x v="4"/>
    <s v="NULL"/>
    <x v="0"/>
  </r>
  <r>
    <x v="33"/>
    <x v="15"/>
    <s v="United States"/>
    <x v="0"/>
    <n v="54"/>
    <s v="NULL"/>
    <n v="84"/>
    <x v="11"/>
    <x v="0"/>
    <x v="1"/>
    <x v="3"/>
    <s v="NULL"/>
    <x v="0"/>
  </r>
  <r>
    <x v="34"/>
    <x v="16"/>
    <s v="India"/>
    <x v="0"/>
    <n v="250"/>
    <s v="NULL"/>
    <n v="1900"/>
    <x v="12"/>
    <x v="0"/>
    <x v="1"/>
    <x v="2"/>
    <s v="NULL"/>
    <x v="0"/>
  </r>
  <r>
    <x v="35"/>
    <x v="17"/>
    <s v="United States"/>
    <x v="0"/>
    <n v="111"/>
    <n v="0.25"/>
    <n v="514"/>
    <x v="12"/>
    <x v="0"/>
    <x v="1"/>
    <x v="4"/>
    <n v="0"/>
    <x v="0"/>
  </r>
  <r>
    <x v="36"/>
    <x v="18"/>
    <s v="Singapore"/>
    <x v="3"/>
    <s v="NULL"/>
    <n v="0.08"/>
    <s v="NULL"/>
    <x v="12"/>
    <x v="0"/>
    <x v="1"/>
    <x v="1"/>
    <n v="0"/>
    <x v="0"/>
  </r>
  <r>
    <x v="37"/>
    <x v="14"/>
    <s v="India"/>
    <x v="10"/>
    <n v="400"/>
    <n v="0.01"/>
    <s v="NULL"/>
    <x v="13"/>
    <x v="0"/>
    <x v="1"/>
    <x v="1"/>
    <n v="0"/>
    <x v="0"/>
  </r>
  <r>
    <x v="38"/>
    <x v="19"/>
    <s v="United States"/>
    <x v="0"/>
    <n v="86"/>
    <s v="NULL"/>
    <n v="65"/>
    <x v="13"/>
    <x v="0"/>
    <x v="1"/>
    <x v="3"/>
    <s v="NULL"/>
    <x v="0"/>
  </r>
  <r>
    <x v="39"/>
    <x v="5"/>
    <s v="United States"/>
    <x v="10"/>
    <n v="58"/>
    <s v="NULL"/>
    <n v="3500"/>
    <x v="13"/>
    <x v="0"/>
    <x v="1"/>
    <x v="2"/>
    <s v="NULL"/>
    <x v="0"/>
  </r>
  <r>
    <x v="40"/>
    <x v="20"/>
    <s v="Israel"/>
    <x v="5"/>
    <n v="110"/>
    <n v="0.5"/>
    <n v="344"/>
    <x v="14"/>
    <x v="0"/>
    <x v="1"/>
    <x v="4"/>
    <n v="0"/>
    <x v="0"/>
  </r>
  <r>
    <x v="41"/>
    <x v="17"/>
    <s v="United States"/>
    <x v="5"/>
    <s v="NULL"/>
    <s v="NULL"/>
    <n v="244"/>
    <x v="14"/>
    <x v="0"/>
    <x v="1"/>
    <x v="4"/>
    <s v="NULL"/>
    <x v="1"/>
  </r>
  <r>
    <x v="42"/>
    <x v="0"/>
    <s v="Israel"/>
    <x v="3"/>
    <n v="15"/>
    <s v="NULL"/>
    <n v="51"/>
    <x v="15"/>
    <x v="0"/>
    <x v="1"/>
    <x v="3"/>
    <s v="NULL"/>
    <x v="0"/>
  </r>
  <r>
    <x v="43"/>
    <x v="21"/>
    <s v="United States"/>
    <x v="5"/>
    <n v="79"/>
    <s v="NULL"/>
    <n v="62"/>
    <x v="16"/>
    <x v="0"/>
    <x v="1"/>
    <x v="3"/>
    <s v="NULL"/>
    <x v="0"/>
  </r>
  <r>
    <x v="44"/>
    <x v="1"/>
    <s v="United States"/>
    <x v="1"/>
    <s v="NULL"/>
    <s v="NULL"/>
    <n v="416"/>
    <x v="16"/>
    <x v="0"/>
    <x v="1"/>
    <x v="4"/>
    <s v="NULL"/>
    <x v="1"/>
  </r>
  <r>
    <x v="45"/>
    <x v="1"/>
    <s v="United States"/>
    <x v="0"/>
    <s v="NULL"/>
    <s v="NULL"/>
    <n v="26"/>
    <x v="17"/>
    <x v="0"/>
    <x v="1"/>
    <x v="3"/>
    <s v="NULL"/>
    <x v="1"/>
  </r>
  <r>
    <x v="46"/>
    <x v="5"/>
    <s v="United States"/>
    <x v="7"/>
    <n v="160"/>
    <s v="NULL"/>
    <n v="172"/>
    <x v="18"/>
    <x v="0"/>
    <x v="1"/>
    <x v="4"/>
    <s v="NULL"/>
    <x v="0"/>
  </r>
  <r>
    <x v="47"/>
    <x v="10"/>
    <s v="Israel"/>
    <x v="11"/>
    <n v="100"/>
    <n v="0.2"/>
    <n v="60"/>
    <x v="18"/>
    <x v="0"/>
    <x v="1"/>
    <x v="3"/>
    <n v="0"/>
    <x v="0"/>
  </r>
  <r>
    <x v="48"/>
    <x v="11"/>
    <s v="United States"/>
    <x v="0"/>
    <s v="NULL"/>
    <n v="0.01"/>
    <n v="25200"/>
    <x v="18"/>
    <x v="0"/>
    <x v="1"/>
    <x v="2"/>
    <n v="0"/>
    <x v="0"/>
  </r>
  <r>
    <x v="49"/>
    <x v="22"/>
    <s v="United States"/>
    <x v="0"/>
    <n v="350"/>
    <n v="0.14000000000000001"/>
    <n v="413"/>
    <x v="19"/>
    <x v="0"/>
    <x v="1"/>
    <x v="4"/>
    <n v="0"/>
    <x v="0"/>
  </r>
  <r>
    <x v="50"/>
    <x v="18"/>
    <s v="Israel"/>
    <x v="3"/>
    <n v="10"/>
    <s v="NULL"/>
    <n v="119"/>
    <x v="19"/>
    <x v="0"/>
    <x v="1"/>
    <x v="4"/>
    <s v="NULL"/>
    <x v="0"/>
  </r>
  <r>
    <x v="51"/>
    <x v="23"/>
    <s v="United States"/>
    <x v="0"/>
    <s v="NULL"/>
    <n v="0.06"/>
    <s v="NULL"/>
    <x v="19"/>
    <x v="0"/>
    <x v="1"/>
    <x v="1"/>
    <n v="0"/>
    <x v="0"/>
  </r>
  <r>
    <x v="52"/>
    <x v="1"/>
    <s v="Israel"/>
    <x v="7"/>
    <n v="75"/>
    <n v="0.17"/>
    <n v="335"/>
    <x v="20"/>
    <x v="0"/>
    <x v="1"/>
    <x v="4"/>
    <n v="0"/>
    <x v="0"/>
  </r>
  <r>
    <x v="53"/>
    <x v="14"/>
    <s v="United States"/>
    <x v="1"/>
    <n v="117"/>
    <s v="NULL"/>
    <n v="868"/>
    <x v="21"/>
    <x v="0"/>
    <x v="2"/>
    <x v="4"/>
    <s v="NULL"/>
    <x v="0"/>
  </r>
  <r>
    <x v="54"/>
    <x v="3"/>
    <s v="United States"/>
    <x v="0"/>
    <n v="230"/>
    <n v="0.08"/>
    <n v="696"/>
    <x v="22"/>
    <x v="0"/>
    <x v="2"/>
    <x v="4"/>
    <n v="0"/>
    <x v="0"/>
  </r>
  <r>
    <x v="55"/>
    <x v="21"/>
    <s v="United States"/>
    <x v="3"/>
    <n v="50"/>
    <s v="NULL"/>
    <n v="10"/>
    <x v="22"/>
    <x v="0"/>
    <x v="2"/>
    <x v="3"/>
    <s v="NULL"/>
    <x v="0"/>
  </r>
  <r>
    <x v="56"/>
    <x v="15"/>
    <s v="United States"/>
    <x v="0"/>
    <s v="NULL"/>
    <n v="7.0000000000000007E-2"/>
    <s v="NULL"/>
    <x v="23"/>
    <x v="0"/>
    <x v="2"/>
    <x v="1"/>
    <n v="0"/>
    <x v="0"/>
  </r>
  <r>
    <x v="57"/>
    <x v="14"/>
    <s v="Israel"/>
    <x v="3"/>
    <s v="NULL"/>
    <s v="NULL"/>
    <n v="770"/>
    <x v="23"/>
    <x v="0"/>
    <x v="2"/>
    <x v="4"/>
    <s v="NULL"/>
    <x v="1"/>
  </r>
  <r>
    <x v="58"/>
    <x v="6"/>
    <s v="United States"/>
    <x v="0"/>
    <n v="77"/>
    <s v="NULL"/>
    <s v="NULL"/>
    <x v="24"/>
    <x v="0"/>
    <x v="2"/>
    <x v="1"/>
    <s v="NULL"/>
    <x v="0"/>
  </r>
  <r>
    <x v="59"/>
    <x v="10"/>
    <s v="United States"/>
    <x v="5"/>
    <s v="NULL"/>
    <s v="NULL"/>
    <n v="335"/>
    <x v="24"/>
    <x v="0"/>
    <x v="2"/>
    <x v="4"/>
    <s v="NULL"/>
    <x v="1"/>
  </r>
  <r>
    <x v="60"/>
    <x v="2"/>
    <s v="United States"/>
    <x v="0"/>
    <n v="400"/>
    <n v="0.25"/>
    <n v="1400"/>
    <x v="25"/>
    <x v="0"/>
    <x v="2"/>
    <x v="2"/>
    <n v="0"/>
    <x v="0"/>
  </r>
  <r>
    <x v="61"/>
    <x v="3"/>
    <s v="United States"/>
    <x v="11"/>
    <s v="NULL"/>
    <n v="0.2"/>
    <n v="306"/>
    <x v="25"/>
    <x v="0"/>
    <x v="2"/>
    <x v="4"/>
    <n v="0"/>
    <x v="0"/>
  </r>
  <r>
    <x v="62"/>
    <x v="18"/>
    <s v="United States"/>
    <x v="3"/>
    <s v="NULL"/>
    <n v="1"/>
    <n v="52"/>
    <x v="25"/>
    <x v="0"/>
    <x v="2"/>
    <x v="3"/>
    <n v="1"/>
    <x v="0"/>
  </r>
  <r>
    <x v="63"/>
    <x v="10"/>
    <s v="Israel"/>
    <x v="0"/>
    <n v="1000"/>
    <n v="0.2"/>
    <n v="58"/>
    <x v="26"/>
    <x v="0"/>
    <x v="2"/>
    <x v="3"/>
    <n v="0"/>
    <x v="0"/>
  </r>
  <r>
    <x v="64"/>
    <x v="0"/>
    <s v="United States"/>
    <x v="5"/>
    <s v="NULL"/>
    <n v="0.22"/>
    <n v="537"/>
    <x v="27"/>
    <x v="0"/>
    <x v="2"/>
    <x v="4"/>
    <n v="0"/>
    <x v="0"/>
  </r>
  <r>
    <x v="65"/>
    <x v="1"/>
    <s v="United States"/>
    <x v="0"/>
    <n v="8000"/>
    <n v="0.1"/>
    <n v="26000"/>
    <x v="28"/>
    <x v="0"/>
    <x v="2"/>
    <x v="2"/>
    <n v="0"/>
    <x v="0"/>
  </r>
  <r>
    <x v="66"/>
    <x v="14"/>
    <s v="United States"/>
    <x v="0"/>
    <n v="3000"/>
    <n v="0.17"/>
    <n v="18"/>
    <x v="28"/>
    <x v="0"/>
    <x v="2"/>
    <x v="3"/>
    <n v="0"/>
    <x v="0"/>
  </r>
  <r>
    <x v="67"/>
    <x v="17"/>
    <s v="Israel"/>
    <x v="7"/>
    <n v="110"/>
    <n v="0.61"/>
    <n v="626"/>
    <x v="29"/>
    <x v="0"/>
    <x v="2"/>
    <x v="4"/>
    <n v="0"/>
    <x v="0"/>
  </r>
  <r>
    <x v="68"/>
    <x v="9"/>
    <s v="United States"/>
    <x v="3"/>
    <n v="150"/>
    <s v="NULL"/>
    <n v="134"/>
    <x v="30"/>
    <x v="0"/>
    <x v="2"/>
    <x v="4"/>
    <s v="NULL"/>
    <x v="0"/>
  </r>
  <r>
    <x v="69"/>
    <x v="5"/>
    <s v="United States"/>
    <x v="11"/>
    <n v="340"/>
    <s v="NULL"/>
    <n v="379"/>
    <x v="31"/>
    <x v="0"/>
    <x v="2"/>
    <x v="4"/>
    <s v="NULL"/>
    <x v="0"/>
  </r>
  <r>
    <x v="70"/>
    <x v="9"/>
    <s v="Norway"/>
    <x v="2"/>
    <s v="NULL"/>
    <n v="0.25"/>
    <n v="79"/>
    <x v="31"/>
    <x v="0"/>
    <x v="2"/>
    <x v="3"/>
    <n v="0"/>
    <x v="0"/>
  </r>
  <r>
    <x v="71"/>
    <x v="0"/>
    <s v="Ireland"/>
    <x v="0"/>
    <s v="NULL"/>
    <s v="NULL"/>
    <n v="276"/>
    <x v="31"/>
    <x v="0"/>
    <x v="2"/>
    <x v="4"/>
    <s v="NULL"/>
    <x v="1"/>
  </r>
  <r>
    <x v="72"/>
    <x v="24"/>
    <s v="United States"/>
    <x v="0"/>
    <n v="4000"/>
    <n v="0.05"/>
    <n v="2"/>
    <x v="32"/>
    <x v="0"/>
    <x v="2"/>
    <x v="0"/>
    <n v="0"/>
    <x v="0"/>
  </r>
  <r>
    <x v="73"/>
    <x v="8"/>
    <s v="United States"/>
    <x v="1"/>
    <n v="875"/>
    <n v="0.05"/>
    <n v="154"/>
    <x v="32"/>
    <x v="0"/>
    <x v="2"/>
    <x v="4"/>
    <n v="0"/>
    <x v="0"/>
  </r>
  <r>
    <x v="74"/>
    <x v="2"/>
    <s v="Nigeria"/>
    <x v="0"/>
    <n v="200"/>
    <s v="NULL"/>
    <n v="1200"/>
    <x v="32"/>
    <x v="0"/>
    <x v="2"/>
    <x v="2"/>
    <s v="NULL"/>
    <x v="0"/>
  </r>
  <r>
    <x v="75"/>
    <x v="13"/>
    <s v="Israel"/>
    <x v="4"/>
    <n v="20"/>
    <n v="0.02"/>
    <n v="411"/>
    <x v="32"/>
    <x v="0"/>
    <x v="2"/>
    <x v="4"/>
    <n v="0"/>
    <x v="0"/>
  </r>
  <r>
    <x v="76"/>
    <x v="18"/>
    <s v="Egypt"/>
    <x v="5"/>
    <n v="58"/>
    <s v="NULL"/>
    <n v="89"/>
    <x v="33"/>
    <x v="0"/>
    <x v="2"/>
    <x v="3"/>
    <s v="NULL"/>
    <x v="0"/>
  </r>
  <r>
    <x v="77"/>
    <x v="3"/>
    <s v="Australia"/>
    <x v="0"/>
    <n v="45"/>
    <s v="NULL"/>
    <s v="NULL"/>
    <x v="33"/>
    <x v="0"/>
    <x v="2"/>
    <x v="1"/>
    <s v="NULL"/>
    <x v="0"/>
  </r>
  <r>
    <x v="78"/>
    <x v="16"/>
    <s v="United States"/>
    <x v="1"/>
    <n v="200"/>
    <s v="NULL"/>
    <n v="16"/>
    <x v="34"/>
    <x v="0"/>
    <x v="2"/>
    <x v="3"/>
    <s v="NULL"/>
    <x v="0"/>
  </r>
  <r>
    <x v="79"/>
    <x v="3"/>
    <s v="Germany"/>
    <x v="3"/>
    <n v="41"/>
    <s v="NULL"/>
    <s v="NULL"/>
    <x v="34"/>
    <x v="0"/>
    <x v="2"/>
    <x v="1"/>
    <s v="NULL"/>
    <x v="0"/>
  </r>
  <r>
    <x v="80"/>
    <x v="0"/>
    <s v="Netherlands"/>
    <x v="5"/>
    <s v="NULL"/>
    <n v="0.2"/>
    <n v="1100"/>
    <x v="34"/>
    <x v="0"/>
    <x v="2"/>
    <x v="2"/>
    <n v="0"/>
    <x v="0"/>
  </r>
  <r>
    <x v="81"/>
    <x v="19"/>
    <s v="United States"/>
    <x v="0"/>
    <n v="600"/>
    <n v="0.2"/>
    <n v="7"/>
    <x v="35"/>
    <x v="0"/>
    <x v="2"/>
    <x v="0"/>
    <n v="0"/>
    <x v="0"/>
  </r>
  <r>
    <x v="82"/>
    <x v="21"/>
    <s v="India"/>
    <x v="2"/>
    <n v="200"/>
    <n v="0.2"/>
    <n v="61"/>
    <x v="35"/>
    <x v="0"/>
    <x v="2"/>
    <x v="3"/>
    <n v="0"/>
    <x v="0"/>
  </r>
  <r>
    <x v="83"/>
    <x v="14"/>
    <s v="United States"/>
    <x v="2"/>
    <s v="NULL"/>
    <n v="1"/>
    <n v="57"/>
    <x v="36"/>
    <x v="0"/>
    <x v="2"/>
    <x v="3"/>
    <n v="1"/>
    <x v="0"/>
  </r>
  <r>
    <x v="84"/>
    <x v="0"/>
    <s v="Germany"/>
    <x v="11"/>
    <n v="176"/>
    <n v="0.22"/>
    <n v="306"/>
    <x v="37"/>
    <x v="0"/>
    <x v="2"/>
    <x v="4"/>
    <n v="0"/>
    <x v="0"/>
  </r>
  <r>
    <x v="85"/>
    <x v="3"/>
    <s v="United States"/>
    <x v="0"/>
    <n v="1100"/>
    <n v="0.2"/>
    <n v="332"/>
    <x v="38"/>
    <x v="0"/>
    <x v="2"/>
    <x v="4"/>
    <n v="0"/>
    <x v="0"/>
  </r>
  <r>
    <x v="86"/>
    <x v="14"/>
    <s v="United States"/>
    <x v="0"/>
    <n v="709"/>
    <n v="0.3"/>
    <n v="280"/>
    <x v="38"/>
    <x v="0"/>
    <x v="2"/>
    <x v="4"/>
    <n v="0"/>
    <x v="0"/>
  </r>
  <r>
    <x v="87"/>
    <x v="1"/>
    <s v="United States"/>
    <x v="1"/>
    <n v="350"/>
    <n v="0.08"/>
    <s v="NULL"/>
    <x v="38"/>
    <x v="0"/>
    <x v="2"/>
    <x v="1"/>
    <n v="0"/>
    <x v="0"/>
  </r>
  <r>
    <x v="88"/>
    <x v="17"/>
    <s v="Germany"/>
    <x v="3"/>
    <n v="250"/>
    <n v="0.21"/>
    <n v="400"/>
    <x v="38"/>
    <x v="0"/>
    <x v="2"/>
    <x v="4"/>
    <n v="0"/>
    <x v="0"/>
  </r>
  <r>
    <x v="89"/>
    <x v="0"/>
    <s v="United States"/>
    <x v="0"/>
    <n v="151"/>
    <n v="0.24"/>
    <n v="168"/>
    <x v="38"/>
    <x v="0"/>
    <x v="2"/>
    <x v="4"/>
    <n v="0"/>
    <x v="0"/>
  </r>
  <r>
    <x v="90"/>
    <x v="1"/>
    <s v="Sweden"/>
    <x v="0"/>
    <n v="70"/>
    <s v="NULL"/>
    <n v="101"/>
    <x v="38"/>
    <x v="0"/>
    <x v="2"/>
    <x v="4"/>
    <s v="NULL"/>
    <x v="0"/>
  </r>
  <r>
    <x v="91"/>
    <x v="3"/>
    <s v="United States"/>
    <x v="3"/>
    <n v="250"/>
    <n v="0.1"/>
    <n v="899"/>
    <x v="39"/>
    <x v="0"/>
    <x v="2"/>
    <x v="4"/>
    <n v="0"/>
    <x v="0"/>
  </r>
  <r>
    <x v="92"/>
    <x v="4"/>
    <s v="India"/>
    <x v="7"/>
    <n v="100"/>
    <n v="0.1"/>
    <n v="212"/>
    <x v="39"/>
    <x v="0"/>
    <x v="2"/>
    <x v="4"/>
    <n v="0"/>
    <x v="0"/>
  </r>
  <r>
    <x v="93"/>
    <x v="6"/>
    <s v="Israel"/>
    <x v="3"/>
    <n v="40"/>
    <n v="0.2"/>
    <s v="NULL"/>
    <x v="39"/>
    <x v="0"/>
    <x v="2"/>
    <x v="1"/>
    <n v="0"/>
    <x v="0"/>
  </r>
  <r>
    <x v="94"/>
    <x v="18"/>
    <s v="India"/>
    <x v="2"/>
    <n v="35"/>
    <n v="0.1"/>
    <n v="40"/>
    <x v="39"/>
    <x v="0"/>
    <x v="2"/>
    <x v="3"/>
    <n v="0"/>
    <x v="0"/>
  </r>
  <r>
    <x v="95"/>
    <x v="16"/>
    <s v="United States"/>
    <x v="0"/>
    <s v="NULL"/>
    <n v="0.25"/>
    <n v="229"/>
    <x v="39"/>
    <x v="0"/>
    <x v="2"/>
    <x v="4"/>
    <n v="0"/>
    <x v="0"/>
  </r>
  <r>
    <x v="96"/>
    <x v="14"/>
    <s v="United States"/>
    <x v="0"/>
    <n v="4760"/>
    <n v="0.2"/>
    <n v="216"/>
    <x v="40"/>
    <x v="0"/>
    <x v="2"/>
    <x v="4"/>
    <n v="0"/>
    <x v="0"/>
  </r>
  <r>
    <x v="97"/>
    <x v="9"/>
    <s v="United States"/>
    <x v="0"/>
    <n v="700"/>
    <n v="0.14000000000000001"/>
    <n v="549"/>
    <x v="40"/>
    <x v="0"/>
    <x v="2"/>
    <x v="4"/>
    <n v="0"/>
    <x v="0"/>
  </r>
  <r>
    <x v="98"/>
    <x v="15"/>
    <s v="United States"/>
    <x v="0"/>
    <n v="500"/>
    <n v="0.11"/>
    <n v="484"/>
    <x v="40"/>
    <x v="0"/>
    <x v="2"/>
    <x v="4"/>
    <n v="0"/>
    <x v="0"/>
  </r>
  <r>
    <x v="99"/>
    <x v="9"/>
    <s v="United States"/>
    <x v="3"/>
    <s v="NULL"/>
    <n v="0.25"/>
    <s v="NULL"/>
    <x v="40"/>
    <x v="0"/>
    <x v="2"/>
    <x v="1"/>
    <n v="0"/>
    <x v="0"/>
  </r>
  <r>
    <x v="100"/>
    <x v="11"/>
    <s v="United Arab Emirates"/>
    <x v="1"/>
    <s v="NULL"/>
    <s v="NULL"/>
    <n v="771"/>
    <x v="40"/>
    <x v="0"/>
    <x v="2"/>
    <x v="4"/>
    <s v="NULL"/>
    <x v="1"/>
  </r>
  <r>
    <x v="101"/>
    <x v="2"/>
    <s v="Canada"/>
    <x v="0"/>
    <n v="30"/>
    <s v="NULL"/>
    <n v="122"/>
    <x v="41"/>
    <x v="0"/>
    <x v="2"/>
    <x v="4"/>
    <s v="NULL"/>
    <x v="0"/>
  </r>
  <r>
    <x v="102"/>
    <x v="3"/>
    <s v="United States"/>
    <x v="7"/>
    <n v="40"/>
    <n v="0.08"/>
    <n v="249"/>
    <x v="42"/>
    <x v="0"/>
    <x v="3"/>
    <x v="4"/>
    <n v="0"/>
    <x v="0"/>
  </r>
  <r>
    <x v="103"/>
    <x v="0"/>
    <s v="India"/>
    <x v="5"/>
    <n v="60"/>
    <n v="0.3"/>
    <n v="54"/>
    <x v="43"/>
    <x v="0"/>
    <x v="3"/>
    <x v="3"/>
    <n v="0"/>
    <x v="0"/>
  </r>
  <r>
    <x v="104"/>
    <x v="12"/>
    <s v="Norway"/>
    <x v="3"/>
    <n v="200"/>
    <s v="NULL"/>
    <n v="104"/>
    <x v="44"/>
    <x v="0"/>
    <x v="3"/>
    <x v="4"/>
    <s v="NULL"/>
    <x v="0"/>
  </r>
  <r>
    <x v="105"/>
    <x v="0"/>
    <s v="United States"/>
    <x v="3"/>
    <n v="69"/>
    <s v="NULL"/>
    <s v="NULL"/>
    <x v="44"/>
    <x v="0"/>
    <x v="3"/>
    <x v="1"/>
    <s v="NULL"/>
    <x v="0"/>
  </r>
  <r>
    <x v="106"/>
    <x v="4"/>
    <s v="Sweden"/>
    <x v="9"/>
    <n v="150"/>
    <n v="0.33"/>
    <n v="509"/>
    <x v="45"/>
    <x v="0"/>
    <x v="3"/>
    <x v="4"/>
    <n v="0"/>
    <x v="0"/>
  </r>
  <r>
    <x v="107"/>
    <x v="3"/>
    <s v="United States"/>
    <x v="9"/>
    <n v="68"/>
    <n v="0.15"/>
    <s v="NULL"/>
    <x v="45"/>
    <x v="0"/>
    <x v="3"/>
    <x v="1"/>
    <n v="0"/>
    <x v="0"/>
  </r>
  <r>
    <x v="108"/>
    <x v="22"/>
    <s v="Norway"/>
    <x v="2"/>
    <n v="200"/>
    <s v="NULL"/>
    <n v="7"/>
    <x v="46"/>
    <x v="0"/>
    <x v="3"/>
    <x v="0"/>
    <s v="NULL"/>
    <x v="0"/>
  </r>
  <r>
    <x v="109"/>
    <x v="14"/>
    <s v="India"/>
    <x v="3"/>
    <n v="60"/>
    <n v="0.05"/>
    <n v="143"/>
    <x v="46"/>
    <x v="0"/>
    <x v="3"/>
    <x v="4"/>
    <n v="0"/>
    <x v="0"/>
  </r>
  <r>
    <x v="110"/>
    <x v="17"/>
    <s v="Kenya"/>
    <x v="2"/>
    <n v="1108"/>
    <s v="NULL"/>
    <n v="85"/>
    <x v="47"/>
    <x v="0"/>
    <x v="3"/>
    <x v="3"/>
    <s v="NULL"/>
    <x v="0"/>
  </r>
  <r>
    <x v="111"/>
    <x v="20"/>
    <s v="United States"/>
    <x v="0"/>
    <n v="80"/>
    <s v="NULL"/>
    <n v="50"/>
    <x v="47"/>
    <x v="0"/>
    <x v="3"/>
    <x v="3"/>
    <s v="NULL"/>
    <x v="0"/>
  </r>
  <r>
    <x v="112"/>
    <x v="1"/>
    <s v="United States"/>
    <x v="7"/>
    <s v="NULL"/>
    <s v="NULL"/>
    <n v="226"/>
    <x v="47"/>
    <x v="0"/>
    <x v="3"/>
    <x v="4"/>
    <s v="NULL"/>
    <x v="1"/>
  </r>
  <r>
    <x v="113"/>
    <x v="1"/>
    <s v="United States"/>
    <x v="0"/>
    <n v="1000"/>
    <n v="0.16"/>
    <n v="4900"/>
    <x v="48"/>
    <x v="0"/>
    <x v="3"/>
    <x v="2"/>
    <n v="0"/>
    <x v="0"/>
  </r>
  <r>
    <x v="114"/>
    <x v="7"/>
    <s v="United States"/>
    <x v="3"/>
    <n v="950"/>
    <s v="NULL"/>
    <s v="NULL"/>
    <x v="48"/>
    <x v="0"/>
    <x v="3"/>
    <x v="1"/>
    <s v="NULL"/>
    <x v="0"/>
  </r>
  <r>
    <x v="115"/>
    <x v="10"/>
    <s v="United States"/>
    <x v="0"/>
    <n v="100"/>
    <n v="0.05"/>
    <n v="445"/>
    <x v="48"/>
    <x v="0"/>
    <x v="3"/>
    <x v="4"/>
    <n v="0"/>
    <x v="0"/>
  </r>
  <r>
    <x v="116"/>
    <x v="9"/>
    <s v="Australia"/>
    <x v="3"/>
    <n v="37"/>
    <n v="0.15"/>
    <s v="NULL"/>
    <x v="48"/>
    <x v="0"/>
    <x v="3"/>
    <x v="1"/>
    <n v="0"/>
    <x v="0"/>
  </r>
  <r>
    <x v="117"/>
    <x v="14"/>
    <s v="Israel"/>
    <x v="0"/>
    <n v="32"/>
    <n v="0.03"/>
    <n v="245"/>
    <x v="48"/>
    <x v="0"/>
    <x v="3"/>
    <x v="4"/>
    <n v="0"/>
    <x v="0"/>
  </r>
  <r>
    <x v="118"/>
    <x v="22"/>
    <s v="United States"/>
    <x v="7"/>
    <s v="NULL"/>
    <n v="0.3"/>
    <s v="NULL"/>
    <x v="48"/>
    <x v="0"/>
    <x v="3"/>
    <x v="1"/>
    <n v="0"/>
    <x v="0"/>
  </r>
  <r>
    <x v="119"/>
    <x v="14"/>
    <s v="United Kingdom"/>
    <x v="12"/>
    <n v="90"/>
    <s v="NULL"/>
    <n v="529"/>
    <x v="49"/>
    <x v="0"/>
    <x v="3"/>
    <x v="4"/>
    <s v="NULL"/>
    <x v="0"/>
  </r>
  <r>
    <x v="120"/>
    <x v="1"/>
    <s v="United States"/>
    <x v="1"/>
    <s v="NULL"/>
    <s v="NULL"/>
    <n v="290"/>
    <x v="50"/>
    <x v="0"/>
    <x v="3"/>
    <x v="4"/>
    <s v="NULL"/>
    <x v="1"/>
  </r>
  <r>
    <x v="121"/>
    <x v="9"/>
    <s v="Israel"/>
    <x v="7"/>
    <s v="NULL"/>
    <s v="NULL"/>
    <n v="273"/>
    <x v="50"/>
    <x v="0"/>
    <x v="3"/>
    <x v="4"/>
    <s v="NULL"/>
    <x v="1"/>
  </r>
  <r>
    <x v="122"/>
    <x v="14"/>
    <s v="Israel"/>
    <x v="1"/>
    <s v="NULL"/>
    <s v="NULL"/>
    <s v="NULL"/>
    <x v="51"/>
    <x v="0"/>
    <x v="3"/>
    <x v="1"/>
    <s v="NULL"/>
    <x v="1"/>
  </r>
  <r>
    <x v="123"/>
    <x v="1"/>
    <s v="United States"/>
    <x v="0"/>
    <s v="NULL"/>
    <s v="NULL"/>
    <n v="158"/>
    <x v="52"/>
    <x v="0"/>
    <x v="3"/>
    <x v="4"/>
    <s v="NULL"/>
    <x v="1"/>
  </r>
  <r>
    <x v="124"/>
    <x v="12"/>
    <s v="United States"/>
    <x v="0"/>
    <n v="104"/>
    <s v="NULL"/>
    <s v="NULL"/>
    <x v="53"/>
    <x v="0"/>
    <x v="3"/>
    <x v="1"/>
    <s v="NULL"/>
    <x v="0"/>
  </r>
  <r>
    <x v="125"/>
    <x v="11"/>
    <s v="United States"/>
    <x v="1"/>
    <s v="NULL"/>
    <n v="0.11"/>
    <s v="NULL"/>
    <x v="53"/>
    <x v="0"/>
    <x v="3"/>
    <x v="1"/>
    <n v="0"/>
    <x v="0"/>
  </r>
  <r>
    <x v="126"/>
    <x v="14"/>
    <s v="United States"/>
    <x v="3"/>
    <s v="NULL"/>
    <n v="1"/>
    <s v="NULL"/>
    <x v="53"/>
    <x v="0"/>
    <x v="3"/>
    <x v="1"/>
    <n v="1"/>
    <x v="0"/>
  </r>
  <r>
    <x v="127"/>
    <x v="1"/>
    <s v="United States"/>
    <x v="0"/>
    <n v="77"/>
    <n v="0.02"/>
    <s v="NULL"/>
    <x v="54"/>
    <x v="0"/>
    <x v="3"/>
    <x v="1"/>
    <n v="0"/>
    <x v="0"/>
  </r>
  <r>
    <x v="128"/>
    <x v="1"/>
    <s v="United States"/>
    <x v="0"/>
    <n v="145"/>
    <n v="0.23"/>
    <n v="288"/>
    <x v="55"/>
    <x v="0"/>
    <x v="3"/>
    <x v="4"/>
    <n v="0"/>
    <x v="0"/>
  </r>
  <r>
    <x v="129"/>
    <x v="22"/>
    <s v="United States"/>
    <x v="4"/>
    <n v="90"/>
    <n v="0.1"/>
    <n v="469"/>
    <x v="55"/>
    <x v="0"/>
    <x v="3"/>
    <x v="4"/>
    <n v="0"/>
    <x v="0"/>
  </r>
  <r>
    <x v="130"/>
    <x v="14"/>
    <s v="United States"/>
    <x v="11"/>
    <s v="NULL"/>
    <n v="0.33"/>
    <n v="1300"/>
    <x v="56"/>
    <x v="0"/>
    <x v="3"/>
    <x v="2"/>
    <n v="0"/>
    <x v="0"/>
  </r>
  <r>
    <x v="131"/>
    <x v="25"/>
    <s v="Cyprus"/>
    <x v="3"/>
    <n v="225"/>
    <n v="0.3"/>
    <s v="NULL"/>
    <x v="57"/>
    <x v="0"/>
    <x v="3"/>
    <x v="1"/>
    <n v="0"/>
    <x v="0"/>
  </r>
  <r>
    <x v="132"/>
    <x v="2"/>
    <s v="India"/>
    <x v="6"/>
    <s v="NULL"/>
    <n v="1"/>
    <n v="1"/>
    <x v="57"/>
    <x v="0"/>
    <x v="3"/>
    <x v="0"/>
    <n v="1"/>
    <x v="0"/>
  </r>
  <r>
    <x v="133"/>
    <x v="1"/>
    <s v="United States"/>
    <x v="0"/>
    <s v="NULL"/>
    <s v="NULL"/>
    <n v="450"/>
    <x v="57"/>
    <x v="0"/>
    <x v="3"/>
    <x v="4"/>
    <s v="NULL"/>
    <x v="1"/>
  </r>
  <r>
    <x v="65"/>
    <x v="1"/>
    <s v="United States"/>
    <x v="0"/>
    <n v="200"/>
    <s v="NULL"/>
    <n v="26000"/>
    <x v="58"/>
    <x v="0"/>
    <x v="3"/>
    <x v="2"/>
    <s v="NULL"/>
    <x v="0"/>
  </r>
  <r>
    <x v="134"/>
    <x v="9"/>
    <s v="United States"/>
    <x v="0"/>
    <s v="NULL"/>
    <n v="0.15"/>
    <n v="4100"/>
    <x v="58"/>
    <x v="0"/>
    <x v="3"/>
    <x v="2"/>
    <n v="0"/>
    <x v="0"/>
  </r>
  <r>
    <x v="14"/>
    <x v="1"/>
    <s v="United States"/>
    <x v="0"/>
    <s v="NULL"/>
    <s v="NULL"/>
    <n v="455.2"/>
    <x v="59"/>
    <x v="0"/>
    <x v="3"/>
    <x v="4"/>
    <s v="NULL"/>
    <x v="1"/>
  </r>
  <r>
    <x v="135"/>
    <x v="14"/>
    <s v="United Kingdom"/>
    <x v="4"/>
    <n v="50"/>
    <s v="NULL"/>
    <n v="324"/>
    <x v="60"/>
    <x v="0"/>
    <x v="4"/>
    <x v="4"/>
    <s v="NULL"/>
    <x v="0"/>
  </r>
  <r>
    <x v="136"/>
    <x v="14"/>
    <s v="India"/>
    <x v="6"/>
    <s v="NULL"/>
    <n v="1"/>
    <s v="NULL"/>
    <x v="60"/>
    <x v="0"/>
    <x v="4"/>
    <x v="1"/>
    <n v="1"/>
    <x v="0"/>
  </r>
  <r>
    <x v="137"/>
    <x v="1"/>
    <s v="United States"/>
    <x v="4"/>
    <s v="NULL"/>
    <n v="1"/>
    <n v="294"/>
    <x v="60"/>
    <x v="0"/>
    <x v="4"/>
    <x v="4"/>
    <n v="1"/>
    <x v="0"/>
  </r>
  <r>
    <x v="138"/>
    <x v="17"/>
    <s v="United States"/>
    <x v="6"/>
    <s v="NULL"/>
    <n v="1"/>
    <n v="33"/>
    <x v="60"/>
    <x v="0"/>
    <x v="4"/>
    <x v="3"/>
    <n v="1"/>
    <x v="0"/>
  </r>
  <r>
    <x v="139"/>
    <x v="26"/>
    <s v="Germany"/>
    <x v="11"/>
    <n v="100"/>
    <s v="NULL"/>
    <n v="3500"/>
    <x v="61"/>
    <x v="0"/>
    <x v="4"/>
    <x v="2"/>
    <s v="NULL"/>
    <x v="0"/>
  </r>
  <r>
    <x v="140"/>
    <x v="6"/>
    <s v="United States"/>
    <x v="7"/>
    <s v="NULL"/>
    <n v="0.3"/>
    <n v="236"/>
    <x v="62"/>
    <x v="0"/>
    <x v="4"/>
    <x v="4"/>
    <n v="0"/>
    <x v="0"/>
  </r>
  <r>
    <x v="141"/>
    <x v="18"/>
    <s v="Germany"/>
    <x v="1"/>
    <s v="NULL"/>
    <n v="1"/>
    <n v="39"/>
    <x v="62"/>
    <x v="0"/>
    <x v="4"/>
    <x v="3"/>
    <n v="1"/>
    <x v="0"/>
  </r>
  <r>
    <x v="65"/>
    <x v="1"/>
    <s v="United States"/>
    <x v="0"/>
    <n v="700"/>
    <n v="0.01"/>
    <n v="26000"/>
    <x v="63"/>
    <x v="0"/>
    <x v="4"/>
    <x v="2"/>
    <n v="0"/>
    <x v="0"/>
  </r>
  <r>
    <x v="142"/>
    <x v="1"/>
    <s v="United States"/>
    <x v="3"/>
    <n v="1000"/>
    <s v="NULL"/>
    <n v="6400"/>
    <x v="64"/>
    <x v="0"/>
    <x v="4"/>
    <x v="2"/>
    <s v="NULL"/>
    <x v="0"/>
  </r>
  <r>
    <x v="143"/>
    <x v="15"/>
    <s v="United States"/>
    <x v="1"/>
    <n v="100"/>
    <s v="NULL"/>
    <n v="85"/>
    <x v="64"/>
    <x v="0"/>
    <x v="4"/>
    <x v="3"/>
    <s v="NULL"/>
    <x v="0"/>
  </r>
  <r>
    <x v="144"/>
    <x v="6"/>
    <s v="Canada"/>
    <x v="0"/>
    <s v="NULL"/>
    <s v="NULL"/>
    <n v="1100"/>
    <x v="64"/>
    <x v="0"/>
    <x v="4"/>
    <x v="2"/>
    <s v="NULL"/>
    <x v="1"/>
  </r>
  <r>
    <x v="145"/>
    <x v="4"/>
    <s v="Sweden"/>
    <x v="0"/>
    <n v="15"/>
    <s v="NULL"/>
    <n v="2100"/>
    <x v="65"/>
    <x v="0"/>
    <x v="4"/>
    <x v="2"/>
    <s v="NULL"/>
    <x v="0"/>
  </r>
  <r>
    <x v="146"/>
    <x v="9"/>
    <s v="United States"/>
    <x v="3"/>
    <s v="NULL"/>
    <n v="0.3"/>
    <n v="423"/>
    <x v="66"/>
    <x v="0"/>
    <x v="4"/>
    <x v="4"/>
    <n v="0"/>
    <x v="0"/>
  </r>
  <r>
    <x v="147"/>
    <x v="6"/>
    <s v="United States"/>
    <x v="0"/>
    <n v="70"/>
    <s v="NULL"/>
    <n v="2900"/>
    <x v="67"/>
    <x v="0"/>
    <x v="4"/>
    <x v="2"/>
    <s v="NULL"/>
    <x v="0"/>
  </r>
  <r>
    <x v="148"/>
    <x v="9"/>
    <s v="Singapore"/>
    <x v="3"/>
    <s v="NULL"/>
    <n v="0.12"/>
    <s v="NULL"/>
    <x v="67"/>
    <x v="0"/>
    <x v="4"/>
    <x v="1"/>
    <n v="0"/>
    <x v="0"/>
  </r>
  <r>
    <x v="149"/>
    <x v="14"/>
    <s v="United States"/>
    <x v="6"/>
    <s v="NULL"/>
    <n v="1"/>
    <n v="6"/>
    <x v="68"/>
    <x v="0"/>
    <x v="4"/>
    <x v="0"/>
    <n v="1"/>
    <x v="0"/>
  </r>
  <r>
    <x v="150"/>
    <x v="12"/>
    <s v="United States"/>
    <x v="0"/>
    <n v="11000"/>
    <n v="0.1"/>
    <s v="NULL"/>
    <x v="69"/>
    <x v="0"/>
    <x v="4"/>
    <x v="1"/>
    <n v="0"/>
    <x v="0"/>
  </r>
  <r>
    <x v="151"/>
    <x v="14"/>
    <s v="Brazil"/>
    <x v="0"/>
    <n v="400"/>
    <n v="0.03"/>
    <n v="521"/>
    <x v="70"/>
    <x v="0"/>
    <x v="4"/>
    <x v="4"/>
    <n v="0"/>
    <x v="0"/>
  </r>
  <r>
    <x v="152"/>
    <x v="19"/>
    <s v="Canada"/>
    <x v="9"/>
    <n v="36"/>
    <n v="0.12"/>
    <n v="263"/>
    <x v="70"/>
    <x v="0"/>
    <x v="4"/>
    <x v="4"/>
    <n v="0"/>
    <x v="0"/>
  </r>
  <r>
    <x v="153"/>
    <x v="1"/>
    <s v="United States"/>
    <x v="1"/>
    <s v="NULL"/>
    <s v="NULL"/>
    <n v="49"/>
    <x v="70"/>
    <x v="0"/>
    <x v="4"/>
    <x v="3"/>
    <s v="NULL"/>
    <x v="1"/>
  </r>
  <r>
    <x v="154"/>
    <x v="0"/>
    <s v="Australia"/>
    <x v="0"/>
    <n v="1600"/>
    <n v="0.1"/>
    <n v="210"/>
    <x v="71"/>
    <x v="0"/>
    <x v="4"/>
    <x v="4"/>
    <n v="0"/>
    <x v="0"/>
  </r>
  <r>
    <x v="155"/>
    <x v="14"/>
    <s v="United States"/>
    <x v="9"/>
    <n v="150"/>
    <s v="NULL"/>
    <n v="54"/>
    <x v="72"/>
    <x v="0"/>
    <x v="4"/>
    <x v="3"/>
    <s v="NULL"/>
    <x v="0"/>
  </r>
  <r>
    <x v="156"/>
    <x v="2"/>
    <s v="India"/>
    <x v="1"/>
    <n v="500"/>
    <s v="NULL"/>
    <n v="12900"/>
    <x v="73"/>
    <x v="0"/>
    <x v="4"/>
    <x v="2"/>
    <s v="NULL"/>
    <x v="0"/>
  </r>
  <r>
    <x v="157"/>
    <x v="2"/>
    <s v="Canada"/>
    <x v="8"/>
    <n v="215"/>
    <s v="NULL"/>
    <s v="NULL"/>
    <x v="74"/>
    <x v="0"/>
    <x v="4"/>
    <x v="1"/>
    <s v="NULL"/>
    <x v="0"/>
  </r>
  <r>
    <x v="158"/>
    <x v="19"/>
    <s v="United States"/>
    <x v="3"/>
    <n v="57"/>
    <n v="0.11"/>
    <s v="NULL"/>
    <x v="74"/>
    <x v="0"/>
    <x v="4"/>
    <x v="1"/>
    <n v="0"/>
    <x v="0"/>
  </r>
  <r>
    <x v="159"/>
    <x v="11"/>
    <s v="United States"/>
    <x v="3"/>
    <n v="296"/>
    <n v="0.8"/>
    <s v="NULL"/>
    <x v="75"/>
    <x v="0"/>
    <x v="4"/>
    <x v="1"/>
    <n v="0"/>
    <x v="0"/>
  </r>
  <r>
    <x v="160"/>
    <x v="10"/>
    <s v="Australia"/>
    <x v="3"/>
    <n v="200"/>
    <n v="0.3"/>
    <s v="NULL"/>
    <x v="75"/>
    <x v="0"/>
    <x v="4"/>
    <x v="1"/>
    <n v="0"/>
    <x v="0"/>
  </r>
  <r>
    <x v="161"/>
    <x v="2"/>
    <s v="United States"/>
    <x v="0"/>
    <n v="100"/>
    <s v="NULL"/>
    <n v="8100"/>
    <x v="75"/>
    <x v="0"/>
    <x v="4"/>
    <x v="2"/>
    <s v="NULL"/>
    <x v="0"/>
  </r>
  <r>
    <x v="162"/>
    <x v="3"/>
    <s v="United States"/>
    <x v="3"/>
    <n v="25"/>
    <s v="NULL"/>
    <n v="296"/>
    <x v="75"/>
    <x v="0"/>
    <x v="4"/>
    <x v="4"/>
    <s v="NULL"/>
    <x v="0"/>
  </r>
  <r>
    <x v="163"/>
    <x v="0"/>
    <s v="United States"/>
    <x v="0"/>
    <n v="49"/>
    <s v="NULL"/>
    <n v="415"/>
    <x v="76"/>
    <x v="0"/>
    <x v="4"/>
    <x v="4"/>
    <s v="NULL"/>
    <x v="0"/>
  </r>
  <r>
    <x v="164"/>
    <x v="3"/>
    <s v="United States"/>
    <x v="1"/>
    <s v="NULL"/>
    <s v="NULL"/>
    <n v="213"/>
    <x v="77"/>
    <x v="0"/>
    <x v="4"/>
    <x v="4"/>
    <s v="NULL"/>
    <x v="1"/>
  </r>
  <r>
    <x v="165"/>
    <x v="14"/>
    <s v="Nigeria"/>
    <x v="6"/>
    <s v="NULL"/>
    <n v="0.44"/>
    <s v="NULL"/>
    <x v="78"/>
    <x v="0"/>
    <x v="5"/>
    <x v="1"/>
    <n v="0"/>
    <x v="0"/>
  </r>
  <r>
    <x v="166"/>
    <x v="14"/>
    <s v="United States"/>
    <x v="0"/>
    <n v="4000"/>
    <n v="0.4"/>
    <n v="150"/>
    <x v="79"/>
    <x v="0"/>
    <x v="5"/>
    <x v="4"/>
    <n v="0"/>
    <x v="0"/>
  </r>
  <r>
    <x v="167"/>
    <x v="18"/>
    <s v="United Kingdom"/>
    <x v="0"/>
    <n v="1000"/>
    <n v="0.05"/>
    <n v="2000"/>
    <x v="79"/>
    <x v="0"/>
    <x v="5"/>
    <x v="2"/>
    <n v="0"/>
    <x v="0"/>
  </r>
  <r>
    <x v="168"/>
    <x v="2"/>
    <s v="Israel"/>
    <x v="0"/>
    <n v="800"/>
    <n v="0.06"/>
    <n v="1200"/>
    <x v="79"/>
    <x v="0"/>
    <x v="5"/>
    <x v="2"/>
    <n v="0"/>
    <x v="0"/>
  </r>
  <r>
    <x v="169"/>
    <x v="17"/>
    <s v="United States"/>
    <x v="4"/>
    <n v="280"/>
    <n v="0.26"/>
    <n v="228"/>
    <x v="80"/>
    <x v="0"/>
    <x v="5"/>
    <x v="4"/>
    <n v="0"/>
    <x v="0"/>
  </r>
  <r>
    <x v="170"/>
    <x v="18"/>
    <s v="United Kingdom"/>
    <x v="0"/>
    <n v="187"/>
    <s v="NULL"/>
    <n v="1700"/>
    <x v="80"/>
    <x v="0"/>
    <x v="5"/>
    <x v="2"/>
    <s v="NULL"/>
    <x v="0"/>
  </r>
  <r>
    <x v="171"/>
    <x v="23"/>
    <s v="Australia"/>
    <x v="0"/>
    <n v="2000"/>
    <n v="0.3"/>
    <n v="3000"/>
    <x v="81"/>
    <x v="0"/>
    <x v="5"/>
    <x v="2"/>
    <n v="0"/>
    <x v="0"/>
  </r>
  <r>
    <x v="172"/>
    <x v="11"/>
    <s v="United States"/>
    <x v="0"/>
    <n v="100"/>
    <n v="0.3"/>
    <n v="340"/>
    <x v="81"/>
    <x v="0"/>
    <x v="5"/>
    <x v="4"/>
    <n v="0"/>
    <x v="0"/>
  </r>
  <r>
    <x v="173"/>
    <x v="1"/>
    <s v="United States"/>
    <x v="0"/>
    <s v="NULL"/>
    <s v="NULL"/>
    <n v="719"/>
    <x v="81"/>
    <x v="0"/>
    <x v="5"/>
    <x v="4"/>
    <s v="NULL"/>
    <x v="1"/>
  </r>
  <r>
    <x v="174"/>
    <x v="1"/>
    <s v="India"/>
    <x v="4"/>
    <n v="1000"/>
    <n v="0.12"/>
    <n v="482"/>
    <x v="82"/>
    <x v="0"/>
    <x v="5"/>
    <x v="4"/>
    <n v="0"/>
    <x v="0"/>
  </r>
  <r>
    <x v="21"/>
    <x v="11"/>
    <s v="United States"/>
    <x v="0"/>
    <s v="NULL"/>
    <n v="0.12"/>
    <n v="8300"/>
    <x v="82"/>
    <x v="0"/>
    <x v="5"/>
    <x v="2"/>
    <n v="0"/>
    <x v="0"/>
  </r>
  <r>
    <x v="175"/>
    <x v="21"/>
    <s v="United States"/>
    <x v="1"/>
    <s v="NULL"/>
    <s v="NULL"/>
    <n v="87"/>
    <x v="83"/>
    <x v="0"/>
    <x v="5"/>
    <x v="3"/>
    <s v="NULL"/>
    <x v="1"/>
  </r>
  <r>
    <x v="176"/>
    <x v="14"/>
    <s v="New Zealand"/>
    <x v="0"/>
    <n v="250"/>
    <s v="NULL"/>
    <n v="681"/>
    <x v="84"/>
    <x v="0"/>
    <x v="5"/>
    <x v="4"/>
    <s v="NULL"/>
    <x v="0"/>
  </r>
  <r>
    <x v="177"/>
    <x v="3"/>
    <s v="United States"/>
    <x v="1"/>
    <n v="500"/>
    <n v="0.12"/>
    <n v="1700"/>
    <x v="85"/>
    <x v="0"/>
    <x v="5"/>
    <x v="2"/>
    <n v="0"/>
    <x v="0"/>
  </r>
  <r>
    <x v="178"/>
    <x v="12"/>
    <s v="Israel"/>
    <x v="3"/>
    <n v="50"/>
    <s v="NULL"/>
    <s v="NULL"/>
    <x v="86"/>
    <x v="0"/>
    <x v="5"/>
    <x v="1"/>
    <s v="NULL"/>
    <x v="0"/>
  </r>
  <r>
    <x v="179"/>
    <x v="3"/>
    <s v="United States"/>
    <x v="11"/>
    <n v="40"/>
    <n v="0.04"/>
    <n v="865"/>
    <x v="86"/>
    <x v="0"/>
    <x v="5"/>
    <x v="4"/>
    <n v="0"/>
    <x v="0"/>
  </r>
  <r>
    <x v="180"/>
    <x v="6"/>
    <s v="Israel"/>
    <x v="5"/>
    <s v="NULL"/>
    <s v="NULL"/>
    <n v="264"/>
    <x v="86"/>
    <x v="0"/>
    <x v="5"/>
    <x v="4"/>
    <s v="NULL"/>
    <x v="1"/>
  </r>
  <r>
    <x v="181"/>
    <x v="19"/>
    <s v="United States"/>
    <x v="1"/>
    <n v="76"/>
    <s v="NULL"/>
    <n v="496"/>
    <x v="87"/>
    <x v="0"/>
    <x v="5"/>
    <x v="4"/>
    <s v="NULL"/>
    <x v="0"/>
  </r>
  <r>
    <x v="182"/>
    <x v="2"/>
    <s v="United States"/>
    <x v="11"/>
    <n v="50"/>
    <n v="0.33"/>
    <n v="266"/>
    <x v="88"/>
    <x v="0"/>
    <x v="5"/>
    <x v="4"/>
    <n v="0"/>
    <x v="0"/>
  </r>
  <r>
    <x v="183"/>
    <x v="7"/>
    <s v="Canada"/>
    <x v="0"/>
    <s v="NULL"/>
    <n v="0.05"/>
    <n v="40"/>
    <x v="88"/>
    <x v="0"/>
    <x v="5"/>
    <x v="3"/>
    <n v="0"/>
    <x v="0"/>
  </r>
  <r>
    <x v="184"/>
    <x v="14"/>
    <s v="India"/>
    <x v="5"/>
    <s v="NULL"/>
    <n v="0.4"/>
    <s v="NULL"/>
    <x v="89"/>
    <x v="0"/>
    <x v="5"/>
    <x v="1"/>
    <n v="0"/>
    <x v="0"/>
  </r>
  <r>
    <x v="38"/>
    <x v="19"/>
    <s v="United States"/>
    <x v="0"/>
    <s v="NULL"/>
    <s v="NULL"/>
    <n v="65"/>
    <x v="90"/>
    <x v="0"/>
    <x v="5"/>
    <x v="3"/>
    <s v="NULL"/>
    <x v="1"/>
  </r>
  <r>
    <x v="185"/>
    <x v="7"/>
    <s v="United States"/>
    <x v="0"/>
    <n v="400"/>
    <n v="0.02"/>
    <n v="230"/>
    <x v="91"/>
    <x v="0"/>
    <x v="5"/>
    <x v="4"/>
    <n v="0"/>
    <x v="0"/>
  </r>
  <r>
    <x v="186"/>
    <x v="14"/>
    <s v="Israel"/>
    <x v="1"/>
    <n v="110"/>
    <s v="NULL"/>
    <n v="57"/>
    <x v="91"/>
    <x v="0"/>
    <x v="5"/>
    <x v="3"/>
    <s v="NULL"/>
    <x v="0"/>
  </r>
  <r>
    <x v="187"/>
    <x v="0"/>
    <s v="United States"/>
    <x v="0"/>
    <s v="NULL"/>
    <s v="NULL"/>
    <n v="152"/>
    <x v="91"/>
    <x v="0"/>
    <x v="5"/>
    <x v="4"/>
    <s v="NULL"/>
    <x v="1"/>
  </r>
  <r>
    <x v="188"/>
    <x v="16"/>
    <s v="United States"/>
    <x v="0"/>
    <n v="200"/>
    <s v="NULL"/>
    <n v="97"/>
    <x v="92"/>
    <x v="0"/>
    <x v="5"/>
    <x v="3"/>
    <s v="NULL"/>
    <x v="0"/>
  </r>
  <r>
    <x v="189"/>
    <x v="11"/>
    <s v="United States"/>
    <x v="1"/>
    <n v="126"/>
    <s v="NULL"/>
    <n v="107"/>
    <x v="92"/>
    <x v="0"/>
    <x v="5"/>
    <x v="4"/>
    <s v="NULL"/>
    <x v="0"/>
  </r>
  <r>
    <x v="190"/>
    <x v="13"/>
    <s v="United States"/>
    <x v="0"/>
    <n v="100"/>
    <s v="NULL"/>
    <n v="3300"/>
    <x v="93"/>
    <x v="0"/>
    <x v="5"/>
    <x v="2"/>
    <s v="NULL"/>
    <x v="0"/>
  </r>
  <r>
    <x v="191"/>
    <x v="1"/>
    <s v="India"/>
    <x v="2"/>
    <n v="200"/>
    <s v="NULL"/>
    <n v="121"/>
    <x v="94"/>
    <x v="0"/>
    <x v="6"/>
    <x v="4"/>
    <s v="NULL"/>
    <x v="0"/>
  </r>
  <r>
    <x v="192"/>
    <x v="25"/>
    <s v="United States"/>
    <x v="0"/>
    <s v="NULL"/>
    <n v="0.11"/>
    <n v="1900"/>
    <x v="94"/>
    <x v="0"/>
    <x v="6"/>
    <x v="2"/>
    <n v="0"/>
    <x v="0"/>
  </r>
  <r>
    <x v="193"/>
    <x v="13"/>
    <s v="Czech Republic"/>
    <x v="3"/>
    <n v="250"/>
    <n v="0.36"/>
    <n v="107"/>
    <x v="95"/>
    <x v="0"/>
    <x v="6"/>
    <x v="4"/>
    <n v="0"/>
    <x v="0"/>
  </r>
  <r>
    <x v="194"/>
    <x v="1"/>
    <s v="United States"/>
    <x v="0"/>
    <s v="NULL"/>
    <s v="NULL"/>
    <n v="152"/>
    <x v="95"/>
    <x v="0"/>
    <x v="6"/>
    <x v="4"/>
    <s v="NULL"/>
    <x v="1"/>
  </r>
  <r>
    <x v="161"/>
    <x v="2"/>
    <s v="United States"/>
    <x v="0"/>
    <n v="16000"/>
    <s v="NULL"/>
    <n v="8100"/>
    <x v="96"/>
    <x v="0"/>
    <x v="6"/>
    <x v="2"/>
    <s v="NULL"/>
    <x v="0"/>
  </r>
  <r>
    <x v="195"/>
    <x v="12"/>
    <s v="Netherlands"/>
    <x v="0"/>
    <n v="1700"/>
    <s v="NULL"/>
    <s v="NULL"/>
    <x v="96"/>
    <x v="0"/>
    <x v="6"/>
    <x v="1"/>
    <s v="NULL"/>
    <x v="0"/>
  </r>
  <r>
    <x v="196"/>
    <x v="1"/>
    <s v="United States"/>
    <x v="0"/>
    <n v="700"/>
    <n v="0.15"/>
    <n v="1500"/>
    <x v="97"/>
    <x v="0"/>
    <x v="6"/>
    <x v="2"/>
    <n v="0"/>
    <x v="0"/>
  </r>
  <r>
    <x v="197"/>
    <x v="1"/>
    <s v="Israel"/>
    <x v="3"/>
    <n v="110"/>
    <n v="0.05"/>
    <n v="425"/>
    <x v="97"/>
    <x v="0"/>
    <x v="6"/>
    <x v="4"/>
    <n v="0"/>
    <x v="0"/>
  </r>
  <r>
    <x v="190"/>
    <x v="13"/>
    <s v="United States"/>
    <x v="0"/>
    <s v="NULL"/>
    <s v="NULL"/>
    <n v="3300"/>
    <x v="98"/>
    <x v="0"/>
    <x v="6"/>
    <x v="2"/>
    <s v="NULL"/>
    <x v="1"/>
  </r>
  <r>
    <x v="198"/>
    <x v="9"/>
    <s v="United States"/>
    <x v="6"/>
    <s v="NULL"/>
    <n v="1"/>
    <n v="27"/>
    <x v="99"/>
    <x v="0"/>
    <x v="6"/>
    <x v="3"/>
    <n v="1"/>
    <x v="0"/>
  </r>
  <r>
    <x v="199"/>
    <x v="1"/>
    <s v="Turkey"/>
    <x v="6"/>
    <n v="220"/>
    <s v="NULL"/>
    <n v="1"/>
    <x v="100"/>
    <x v="0"/>
    <x v="6"/>
    <x v="0"/>
    <s v="NULL"/>
    <x v="0"/>
  </r>
  <r>
    <x v="200"/>
    <x v="0"/>
    <s v="United States"/>
    <x v="0"/>
    <n v="1000"/>
    <n v="7.0000000000000007E-2"/>
    <s v="NULL"/>
    <x v="101"/>
    <x v="0"/>
    <x v="6"/>
    <x v="1"/>
    <n v="0"/>
    <x v="0"/>
  </r>
  <r>
    <x v="101"/>
    <x v="2"/>
    <s v="Canada"/>
    <x v="0"/>
    <s v="NULL"/>
    <s v="NULL"/>
    <n v="122"/>
    <x v="101"/>
    <x v="0"/>
    <x v="6"/>
    <x v="4"/>
    <s v="NULL"/>
    <x v="1"/>
  </r>
  <r>
    <x v="133"/>
    <x v="1"/>
    <s v="United States"/>
    <x v="0"/>
    <s v="NULL"/>
    <s v="NULL"/>
    <n v="450"/>
    <x v="102"/>
    <x v="0"/>
    <x v="6"/>
    <x v="4"/>
    <s v="NULL"/>
    <x v="1"/>
  </r>
  <r>
    <x v="133"/>
    <x v="1"/>
    <s v="United States"/>
    <x v="0"/>
    <s v="NULL"/>
    <s v="NULL"/>
    <n v="450"/>
    <x v="103"/>
    <x v="0"/>
    <x v="6"/>
    <x v="4"/>
    <s v="NULL"/>
    <x v="1"/>
  </r>
  <r>
    <x v="201"/>
    <x v="9"/>
    <s v="Cayman Islands"/>
    <x v="3"/>
    <n v="60"/>
    <s v="NULL"/>
    <n v="451"/>
    <x v="104"/>
    <x v="0"/>
    <x v="6"/>
    <x v="4"/>
    <s v="NULL"/>
    <x v="0"/>
  </r>
  <r>
    <x v="202"/>
    <x v="0"/>
    <s v="Sweden"/>
    <x v="0"/>
    <n v="1600"/>
    <s v="NULL"/>
    <n v="663"/>
    <x v="105"/>
    <x v="0"/>
    <x v="6"/>
    <x v="4"/>
    <s v="NULL"/>
    <x v="0"/>
  </r>
  <r>
    <x v="203"/>
    <x v="14"/>
    <s v="United States"/>
    <x v="4"/>
    <n v="100"/>
    <s v="NULL"/>
    <n v="565"/>
    <x v="105"/>
    <x v="0"/>
    <x v="6"/>
    <x v="4"/>
    <s v="NULL"/>
    <x v="0"/>
  </r>
  <r>
    <x v="204"/>
    <x v="6"/>
    <s v="United States"/>
    <x v="0"/>
    <n v="35"/>
    <s v="NULL"/>
    <s v="NULL"/>
    <x v="105"/>
    <x v="0"/>
    <x v="6"/>
    <x v="1"/>
    <s v="NULL"/>
    <x v="0"/>
  </r>
  <r>
    <x v="205"/>
    <x v="1"/>
    <s v="Israel"/>
    <x v="0"/>
    <n v="500"/>
    <n v="0.15"/>
    <s v="NULL"/>
    <x v="106"/>
    <x v="0"/>
    <x v="6"/>
    <x v="1"/>
    <n v="0"/>
    <x v="0"/>
  </r>
  <r>
    <x v="206"/>
    <x v="17"/>
    <s v="Germany"/>
    <x v="2"/>
    <n v="50"/>
    <n v="0.16"/>
    <n v="534"/>
    <x v="106"/>
    <x v="0"/>
    <x v="6"/>
    <x v="4"/>
    <n v="0"/>
    <x v="0"/>
  </r>
  <r>
    <x v="65"/>
    <x v="1"/>
    <s v="United States"/>
    <x v="0"/>
    <n v="1500"/>
    <n v="0.02"/>
    <n v="26000"/>
    <x v="107"/>
    <x v="0"/>
    <x v="6"/>
    <x v="2"/>
    <n v="0"/>
    <x v="0"/>
  </r>
  <r>
    <x v="207"/>
    <x v="14"/>
    <s v="Israel"/>
    <x v="3"/>
    <n v="105"/>
    <n v="7.0000000000000007E-2"/>
    <n v="322"/>
    <x v="107"/>
    <x v="0"/>
    <x v="6"/>
    <x v="4"/>
    <n v="0"/>
    <x v="0"/>
  </r>
  <r>
    <x v="208"/>
    <x v="2"/>
    <s v="India"/>
    <x v="6"/>
    <s v="NULL"/>
    <n v="1"/>
    <n v="3"/>
    <x v="107"/>
    <x v="0"/>
    <x v="6"/>
    <x v="0"/>
    <n v="1"/>
    <x v="0"/>
  </r>
  <r>
    <x v="209"/>
    <x v="0"/>
    <s v="Israel"/>
    <x v="7"/>
    <s v="NULL"/>
    <s v="NULL"/>
    <n v="184"/>
    <x v="107"/>
    <x v="0"/>
    <x v="6"/>
    <x v="4"/>
    <s v="NULL"/>
    <x v="1"/>
  </r>
  <r>
    <x v="210"/>
    <x v="2"/>
    <s v="Brazil"/>
    <x v="0"/>
    <n v="116"/>
    <s v="NULL"/>
    <n v="5100"/>
    <x v="108"/>
    <x v="0"/>
    <x v="6"/>
    <x v="2"/>
    <s v="NULL"/>
    <x v="0"/>
  </r>
  <r>
    <x v="211"/>
    <x v="20"/>
    <s v="United States"/>
    <x v="0"/>
    <n v="220"/>
    <n v="0.11"/>
    <n v="15"/>
    <x v="109"/>
    <x v="0"/>
    <x v="6"/>
    <x v="3"/>
    <n v="0"/>
    <x v="0"/>
  </r>
  <r>
    <x v="212"/>
    <x v="3"/>
    <s v="United States"/>
    <x v="9"/>
    <n v="250"/>
    <n v="0.05"/>
    <n v="547"/>
    <x v="110"/>
    <x v="0"/>
    <x v="6"/>
    <x v="4"/>
    <n v="0"/>
    <x v="0"/>
  </r>
  <r>
    <x v="40"/>
    <x v="20"/>
    <s v="Israel"/>
    <x v="5"/>
    <n v="30"/>
    <n v="0.1"/>
    <n v="344"/>
    <x v="110"/>
    <x v="0"/>
    <x v="6"/>
    <x v="4"/>
    <n v="0"/>
    <x v="0"/>
  </r>
  <r>
    <x v="213"/>
    <x v="11"/>
    <s v="Israel"/>
    <x v="5"/>
    <n v="29"/>
    <n v="0.18"/>
    <n v="132"/>
    <x v="110"/>
    <x v="0"/>
    <x v="6"/>
    <x v="4"/>
    <n v="0"/>
    <x v="0"/>
  </r>
  <r>
    <x v="214"/>
    <x v="22"/>
    <s v="United States"/>
    <x v="3"/>
    <n v="3"/>
    <s v="NULL"/>
    <s v="NULL"/>
    <x v="110"/>
    <x v="0"/>
    <x v="6"/>
    <x v="1"/>
    <s v="NULL"/>
    <x v="0"/>
  </r>
  <r>
    <x v="215"/>
    <x v="1"/>
    <s v="United States"/>
    <x v="0"/>
    <n v="350"/>
    <s v="NULL"/>
    <n v="180"/>
    <x v="111"/>
    <x v="0"/>
    <x v="6"/>
    <x v="4"/>
    <s v="NULL"/>
    <x v="0"/>
  </r>
  <r>
    <x v="216"/>
    <x v="21"/>
    <s v="United Kingdom"/>
    <x v="7"/>
    <n v="55"/>
    <s v="NULL"/>
    <n v="414"/>
    <x v="112"/>
    <x v="0"/>
    <x v="6"/>
    <x v="4"/>
    <s v="NULL"/>
    <x v="0"/>
  </r>
  <r>
    <x v="217"/>
    <x v="14"/>
    <s v="Israel"/>
    <x v="1"/>
    <n v="700"/>
    <n v="0.15"/>
    <n v="88"/>
    <x v="113"/>
    <x v="1"/>
    <x v="7"/>
    <x v="3"/>
    <n v="0"/>
    <x v="0"/>
  </r>
  <r>
    <x v="218"/>
    <x v="15"/>
    <s v="United States"/>
    <x v="5"/>
    <n v="100"/>
    <n v="0.3"/>
    <n v="102"/>
    <x v="114"/>
    <x v="1"/>
    <x v="7"/>
    <x v="4"/>
    <n v="0"/>
    <x v="0"/>
  </r>
  <r>
    <x v="219"/>
    <x v="10"/>
    <s v="United States"/>
    <x v="0"/>
    <s v="NULL"/>
    <s v="NULL"/>
    <n v="257"/>
    <x v="115"/>
    <x v="1"/>
    <x v="7"/>
    <x v="4"/>
    <s v="NULL"/>
    <x v="1"/>
  </r>
  <r>
    <x v="161"/>
    <x v="2"/>
    <s v="United States"/>
    <x v="0"/>
    <n v="84"/>
    <s v="NULL"/>
    <n v="8100"/>
    <x v="116"/>
    <x v="1"/>
    <x v="7"/>
    <x v="2"/>
    <s v="NULL"/>
    <x v="0"/>
  </r>
  <r>
    <x v="220"/>
    <x v="21"/>
    <s v="United States"/>
    <x v="1"/>
    <s v="NULL"/>
    <s v="NULL"/>
    <n v="31"/>
    <x v="117"/>
    <x v="1"/>
    <x v="7"/>
    <x v="3"/>
    <s v="NULL"/>
    <x v="1"/>
  </r>
  <r>
    <x v="221"/>
    <x v="20"/>
    <s v="United States"/>
    <x v="0"/>
    <s v="NULL"/>
    <s v="NULL"/>
    <n v="2000"/>
    <x v="117"/>
    <x v="1"/>
    <x v="7"/>
    <x v="2"/>
    <s v="NULL"/>
    <x v="1"/>
  </r>
  <r>
    <x v="222"/>
    <x v="18"/>
    <s v="Israel"/>
    <x v="2"/>
    <s v="NULL"/>
    <s v="NULL"/>
    <n v="389"/>
    <x v="118"/>
    <x v="1"/>
    <x v="7"/>
    <x v="4"/>
    <s v="NULL"/>
    <x v="1"/>
  </r>
  <r>
    <x v="223"/>
    <x v="0"/>
    <s v="Germany"/>
    <x v="1"/>
    <s v="NULL"/>
    <n v="1"/>
    <n v="24"/>
    <x v="118"/>
    <x v="1"/>
    <x v="7"/>
    <x v="3"/>
    <n v="1"/>
    <x v="0"/>
  </r>
  <r>
    <x v="224"/>
    <x v="19"/>
    <s v="United States"/>
    <x v="2"/>
    <n v="24"/>
    <n v="0.08"/>
    <n v="245"/>
    <x v="119"/>
    <x v="1"/>
    <x v="7"/>
    <x v="4"/>
    <n v="0"/>
    <x v="0"/>
  </r>
  <r>
    <x v="225"/>
    <x v="12"/>
    <s v="Canada"/>
    <x v="7"/>
    <n v="80"/>
    <n v="7.0000000000000007E-2"/>
    <n v="1000"/>
    <x v="120"/>
    <x v="1"/>
    <x v="7"/>
    <x v="2"/>
    <n v="0"/>
    <x v="0"/>
  </r>
  <r>
    <x v="226"/>
    <x v="17"/>
    <s v="India"/>
    <x v="11"/>
    <n v="60"/>
    <n v="0.06"/>
    <n v="265"/>
    <x v="120"/>
    <x v="1"/>
    <x v="7"/>
    <x v="4"/>
    <n v="0"/>
    <x v="0"/>
  </r>
  <r>
    <x v="227"/>
    <x v="1"/>
    <s v="United States"/>
    <x v="2"/>
    <n v="24"/>
    <s v="NULL"/>
    <n v="90"/>
    <x v="120"/>
    <x v="1"/>
    <x v="7"/>
    <x v="3"/>
    <s v="NULL"/>
    <x v="0"/>
  </r>
  <r>
    <x v="228"/>
    <x v="0"/>
    <s v="India"/>
    <x v="6"/>
    <s v="NULL"/>
    <n v="1"/>
    <n v="3"/>
    <x v="120"/>
    <x v="1"/>
    <x v="7"/>
    <x v="0"/>
    <n v="1"/>
    <x v="0"/>
  </r>
  <r>
    <x v="229"/>
    <x v="11"/>
    <s v="Israel"/>
    <x v="0"/>
    <n v="200"/>
    <n v="0.04"/>
    <n v="2100"/>
    <x v="121"/>
    <x v="1"/>
    <x v="7"/>
    <x v="2"/>
    <n v="0"/>
    <x v="0"/>
  </r>
  <r>
    <x v="230"/>
    <x v="14"/>
    <s v="United States"/>
    <x v="0"/>
    <n v="60"/>
    <n v="0.06"/>
    <s v="NULL"/>
    <x v="121"/>
    <x v="1"/>
    <x v="7"/>
    <x v="1"/>
    <n v="0"/>
    <x v="0"/>
  </r>
  <r>
    <x v="231"/>
    <x v="10"/>
    <s v="United States"/>
    <x v="3"/>
    <n v="180"/>
    <n v="0.1"/>
    <n v="123"/>
    <x v="122"/>
    <x v="1"/>
    <x v="7"/>
    <x v="4"/>
    <n v="0"/>
    <x v="0"/>
  </r>
  <r>
    <x v="232"/>
    <x v="0"/>
    <s v="Israel"/>
    <x v="0"/>
    <n v="20"/>
    <n v="0.01"/>
    <n v="410"/>
    <x v="123"/>
    <x v="1"/>
    <x v="7"/>
    <x v="4"/>
    <n v="0"/>
    <x v="0"/>
  </r>
  <r>
    <x v="233"/>
    <x v="26"/>
    <s v="United States"/>
    <x v="2"/>
    <s v="NULL"/>
    <s v="NULL"/>
    <n v="99"/>
    <x v="123"/>
    <x v="1"/>
    <x v="7"/>
    <x v="3"/>
    <s v="NULL"/>
    <x v="1"/>
  </r>
  <r>
    <x v="234"/>
    <x v="3"/>
    <s v="United States"/>
    <x v="11"/>
    <n v="20"/>
    <s v="NULL"/>
    <n v="325"/>
    <x v="124"/>
    <x v="1"/>
    <x v="7"/>
    <x v="4"/>
    <s v="NULL"/>
    <x v="0"/>
  </r>
  <r>
    <x v="235"/>
    <x v="5"/>
    <s v="United States"/>
    <x v="2"/>
    <s v="NULL"/>
    <n v="1"/>
    <n v="50"/>
    <x v="124"/>
    <x v="1"/>
    <x v="7"/>
    <x v="3"/>
    <n v="1"/>
    <x v="0"/>
  </r>
  <r>
    <x v="236"/>
    <x v="1"/>
    <s v="India"/>
    <x v="6"/>
    <n v="350"/>
    <s v="NULL"/>
    <n v="3"/>
    <x v="125"/>
    <x v="1"/>
    <x v="8"/>
    <x v="0"/>
    <s v="NULL"/>
    <x v="0"/>
  </r>
  <r>
    <x v="101"/>
    <x v="2"/>
    <s v="Canada"/>
    <x v="0"/>
    <s v="NULL"/>
    <s v="NULL"/>
    <n v="122"/>
    <x v="125"/>
    <x v="1"/>
    <x v="8"/>
    <x v="4"/>
    <s v="NULL"/>
    <x v="1"/>
  </r>
  <r>
    <x v="237"/>
    <x v="12"/>
    <s v="United States"/>
    <x v="0"/>
    <n v="4000"/>
    <s v="NULL"/>
    <s v="NULL"/>
    <x v="126"/>
    <x v="1"/>
    <x v="8"/>
    <x v="1"/>
    <s v="NULL"/>
    <x v="0"/>
  </r>
  <r>
    <x v="238"/>
    <x v="18"/>
    <s v="United States"/>
    <x v="7"/>
    <n v="40"/>
    <n v="0.04"/>
    <n v="319"/>
    <x v="127"/>
    <x v="1"/>
    <x v="8"/>
    <x v="4"/>
    <n v="0"/>
    <x v="0"/>
  </r>
  <r>
    <x v="239"/>
    <x v="0"/>
    <s v="United States"/>
    <x v="3"/>
    <n v="102"/>
    <s v="NULL"/>
    <n v="214"/>
    <x v="128"/>
    <x v="1"/>
    <x v="8"/>
    <x v="4"/>
    <s v="NULL"/>
    <x v="0"/>
  </r>
  <r>
    <x v="32"/>
    <x v="14"/>
    <s v="Denmark"/>
    <x v="5"/>
    <n v="100"/>
    <n v="0.12"/>
    <n v="428"/>
    <x v="128"/>
    <x v="1"/>
    <x v="8"/>
    <x v="4"/>
    <n v="0"/>
    <x v="0"/>
  </r>
  <r>
    <x v="114"/>
    <x v="7"/>
    <s v="Uruguay"/>
    <x v="3"/>
    <n v="300"/>
    <s v="NULL"/>
    <s v="NULL"/>
    <x v="129"/>
    <x v="1"/>
    <x v="8"/>
    <x v="1"/>
    <s v="NULL"/>
    <x v="0"/>
  </r>
  <r>
    <x v="8"/>
    <x v="7"/>
    <s v="Australia"/>
    <x v="4"/>
    <n v="60"/>
    <n v="0.06"/>
    <n v="257"/>
    <x v="129"/>
    <x v="1"/>
    <x v="8"/>
    <x v="4"/>
    <n v="0"/>
    <x v="0"/>
  </r>
  <r>
    <x v="240"/>
    <x v="0"/>
    <s v="United States"/>
    <x v="9"/>
    <s v="NULL"/>
    <n v="0.2"/>
    <s v="NULL"/>
    <x v="129"/>
    <x v="1"/>
    <x v="8"/>
    <x v="1"/>
    <n v="0"/>
    <x v="0"/>
  </r>
  <r>
    <x v="205"/>
    <x v="1"/>
    <s v="Israel"/>
    <x v="0"/>
    <n v="700"/>
    <n v="0.2"/>
    <s v="NULL"/>
    <x v="130"/>
    <x v="1"/>
    <x v="8"/>
    <x v="1"/>
    <n v="0"/>
    <x v="0"/>
  </r>
  <r>
    <x v="241"/>
    <x v="14"/>
    <s v="United States"/>
    <x v="7"/>
    <n v="200"/>
    <n v="0.5"/>
    <n v="453"/>
    <x v="131"/>
    <x v="1"/>
    <x v="8"/>
    <x v="4"/>
    <n v="0"/>
    <x v="0"/>
  </r>
  <r>
    <x v="156"/>
    <x v="2"/>
    <s v="India"/>
    <x v="1"/>
    <n v="40"/>
    <s v="NULL"/>
    <n v="12900"/>
    <x v="131"/>
    <x v="1"/>
    <x v="8"/>
    <x v="2"/>
    <s v="NULL"/>
    <x v="0"/>
  </r>
  <r>
    <x v="242"/>
    <x v="18"/>
    <s v="India"/>
    <x v="8"/>
    <n v="37"/>
    <n v="1"/>
    <n v="21"/>
    <x v="132"/>
    <x v="1"/>
    <x v="8"/>
    <x v="3"/>
    <n v="1"/>
    <x v="0"/>
  </r>
  <r>
    <x v="243"/>
    <x v="11"/>
    <s v="United States"/>
    <x v="2"/>
    <s v="NULL"/>
    <s v="NULL"/>
    <n v="56"/>
    <x v="132"/>
    <x v="1"/>
    <x v="8"/>
    <x v="3"/>
    <s v="NULL"/>
    <x v="1"/>
  </r>
  <r>
    <x v="244"/>
    <x v="0"/>
    <s v="United States"/>
    <x v="0"/>
    <n v="2000"/>
    <n v="0.1"/>
    <s v="NULL"/>
    <x v="133"/>
    <x v="1"/>
    <x v="8"/>
    <x v="1"/>
    <n v="0"/>
    <x v="0"/>
  </r>
  <r>
    <x v="245"/>
    <x v="3"/>
    <s v="United States"/>
    <x v="5"/>
    <n v="80"/>
    <n v="0.32"/>
    <n v="256"/>
    <x v="133"/>
    <x v="1"/>
    <x v="8"/>
    <x v="4"/>
    <n v="0"/>
    <x v="0"/>
  </r>
  <r>
    <x v="246"/>
    <x v="1"/>
    <s v="India"/>
    <x v="3"/>
    <n v="280"/>
    <s v="NULL"/>
    <s v="NULL"/>
    <x v="134"/>
    <x v="1"/>
    <x v="8"/>
    <x v="1"/>
    <s v="NULL"/>
    <x v="0"/>
  </r>
  <r>
    <x v="28"/>
    <x v="14"/>
    <s v="United Kingdom"/>
    <x v="9"/>
    <s v="NULL"/>
    <n v="0.03"/>
    <n v="3500"/>
    <x v="134"/>
    <x v="1"/>
    <x v="8"/>
    <x v="2"/>
    <n v="0"/>
    <x v="0"/>
  </r>
  <r>
    <x v="247"/>
    <x v="13"/>
    <s v="United States"/>
    <x v="0"/>
    <s v="NULL"/>
    <n v="1"/>
    <n v="839"/>
    <x v="134"/>
    <x v="1"/>
    <x v="8"/>
    <x v="4"/>
    <n v="1"/>
    <x v="0"/>
  </r>
  <r>
    <x v="179"/>
    <x v="3"/>
    <s v="United States"/>
    <x v="11"/>
    <n v="100"/>
    <n v="0.11"/>
    <n v="865"/>
    <x v="135"/>
    <x v="1"/>
    <x v="8"/>
    <x v="4"/>
    <n v="0"/>
    <x v="0"/>
  </r>
  <r>
    <x v="248"/>
    <x v="14"/>
    <s v="United States"/>
    <x v="3"/>
    <n v="141"/>
    <n v="1"/>
    <n v="15"/>
    <x v="136"/>
    <x v="1"/>
    <x v="8"/>
    <x v="3"/>
    <n v="1"/>
    <x v="0"/>
  </r>
  <r>
    <x v="249"/>
    <x v="12"/>
    <s v="United States"/>
    <x v="0"/>
    <n v="52"/>
    <s v="NULL"/>
    <n v="1400"/>
    <x v="136"/>
    <x v="1"/>
    <x v="8"/>
    <x v="2"/>
    <s v="NULL"/>
    <x v="0"/>
  </r>
  <r>
    <x v="250"/>
    <x v="7"/>
    <s v="United States"/>
    <x v="1"/>
    <s v="NULL"/>
    <s v="NULL"/>
    <n v="5"/>
    <x v="136"/>
    <x v="1"/>
    <x v="8"/>
    <x v="0"/>
    <s v="NULL"/>
    <x v="1"/>
  </r>
  <r>
    <x v="251"/>
    <x v="13"/>
    <s v="United States"/>
    <x v="0"/>
    <s v="NULL"/>
    <n v="0.2"/>
    <n v="3"/>
    <x v="136"/>
    <x v="1"/>
    <x v="8"/>
    <x v="0"/>
    <n v="0"/>
    <x v="0"/>
  </r>
  <r>
    <x v="252"/>
    <x v="23"/>
    <s v="India"/>
    <x v="4"/>
    <n v="350"/>
    <n v="0.18"/>
    <n v="357"/>
    <x v="137"/>
    <x v="1"/>
    <x v="8"/>
    <x v="4"/>
    <n v="0"/>
    <x v="0"/>
  </r>
  <r>
    <x v="253"/>
    <x v="7"/>
    <s v="Germany"/>
    <x v="11"/>
    <n v="165"/>
    <n v="0.1"/>
    <n v="724"/>
    <x v="138"/>
    <x v="1"/>
    <x v="9"/>
    <x v="4"/>
    <n v="0"/>
    <x v="0"/>
  </r>
  <r>
    <x v="161"/>
    <x v="2"/>
    <s v="United States"/>
    <x v="0"/>
    <n v="14000"/>
    <n v="0.01"/>
    <n v="8100"/>
    <x v="139"/>
    <x v="1"/>
    <x v="9"/>
    <x v="2"/>
    <n v="0"/>
    <x v="0"/>
  </r>
  <r>
    <x v="254"/>
    <x v="21"/>
    <s v="United States"/>
    <x v="0"/>
    <n v="388"/>
    <n v="0.45"/>
    <n v="227"/>
    <x v="139"/>
    <x v="1"/>
    <x v="9"/>
    <x v="4"/>
    <n v="0"/>
    <x v="0"/>
  </r>
  <r>
    <x v="52"/>
    <x v="1"/>
    <s v="Israel"/>
    <x v="7"/>
    <n v="85"/>
    <n v="0.15"/>
    <n v="335"/>
    <x v="139"/>
    <x v="1"/>
    <x v="9"/>
    <x v="4"/>
    <n v="0"/>
    <x v="0"/>
  </r>
  <r>
    <x v="255"/>
    <x v="5"/>
    <s v="United States"/>
    <x v="0"/>
    <n v="60"/>
    <s v="NULL"/>
    <n v="5900"/>
    <x v="139"/>
    <x v="1"/>
    <x v="9"/>
    <x v="2"/>
    <s v="NULL"/>
    <x v="0"/>
  </r>
  <r>
    <x v="256"/>
    <x v="10"/>
    <s v="Canada"/>
    <x v="5"/>
    <s v="NULL"/>
    <n v="0.2"/>
    <n v="300"/>
    <x v="139"/>
    <x v="1"/>
    <x v="9"/>
    <x v="4"/>
    <n v="0"/>
    <x v="0"/>
  </r>
  <r>
    <x v="257"/>
    <x v="27"/>
    <s v="United Kingdom"/>
    <x v="2"/>
    <s v="NULL"/>
    <n v="0.33"/>
    <n v="68"/>
    <x v="140"/>
    <x v="1"/>
    <x v="9"/>
    <x v="3"/>
    <n v="0"/>
    <x v="0"/>
  </r>
  <r>
    <x v="258"/>
    <x v="20"/>
    <s v="United States"/>
    <x v="0"/>
    <n v="1400"/>
    <n v="0.04"/>
    <n v="2100"/>
    <x v="141"/>
    <x v="1"/>
    <x v="9"/>
    <x v="2"/>
    <n v="0"/>
    <x v="0"/>
  </r>
  <r>
    <x v="31"/>
    <x v="11"/>
    <s v="United States"/>
    <x v="0"/>
    <n v="600"/>
    <n v="0.04"/>
    <n v="10700"/>
    <x v="141"/>
    <x v="1"/>
    <x v="9"/>
    <x v="2"/>
    <n v="0"/>
    <x v="0"/>
  </r>
  <r>
    <x v="212"/>
    <x v="3"/>
    <s v="United States"/>
    <x v="9"/>
    <n v="200"/>
    <s v="NULL"/>
    <n v="547"/>
    <x v="141"/>
    <x v="1"/>
    <x v="9"/>
    <x v="4"/>
    <s v="NULL"/>
    <x v="0"/>
  </r>
  <r>
    <x v="259"/>
    <x v="14"/>
    <s v="United States"/>
    <x v="11"/>
    <n v="50"/>
    <n v="0.15"/>
    <n v="449"/>
    <x v="141"/>
    <x v="1"/>
    <x v="9"/>
    <x v="4"/>
    <n v="0"/>
    <x v="0"/>
  </r>
  <r>
    <x v="65"/>
    <x v="1"/>
    <s v="United States"/>
    <x v="0"/>
    <n v="600"/>
    <s v="NULL"/>
    <n v="26000"/>
    <x v="142"/>
    <x v="1"/>
    <x v="9"/>
    <x v="2"/>
    <s v="NULL"/>
    <x v="0"/>
  </r>
  <r>
    <x v="260"/>
    <x v="1"/>
    <s v="United States"/>
    <x v="8"/>
    <n v="25"/>
    <n v="0.5"/>
    <n v="42"/>
    <x v="143"/>
    <x v="1"/>
    <x v="9"/>
    <x v="3"/>
    <n v="0"/>
    <x v="0"/>
  </r>
  <r>
    <x v="261"/>
    <x v="2"/>
    <s v="India"/>
    <x v="13"/>
    <n v="300"/>
    <n v="0.05"/>
    <n v="2600"/>
    <x v="144"/>
    <x v="1"/>
    <x v="9"/>
    <x v="2"/>
    <n v="0"/>
    <x v="0"/>
  </r>
  <r>
    <x v="262"/>
    <x v="12"/>
    <s v="United States"/>
    <x v="0"/>
    <n v="247"/>
    <s v="NULL"/>
    <s v="NULL"/>
    <x v="145"/>
    <x v="1"/>
    <x v="9"/>
    <x v="1"/>
    <s v="NULL"/>
    <x v="0"/>
  </r>
  <r>
    <x v="263"/>
    <x v="5"/>
    <s v="United States"/>
    <x v="2"/>
    <s v="NULL"/>
    <n v="0.23"/>
    <n v="133"/>
    <x v="145"/>
    <x v="1"/>
    <x v="9"/>
    <x v="4"/>
    <n v="0"/>
    <x v="0"/>
  </r>
  <r>
    <x v="86"/>
    <x v="14"/>
    <s v="United States"/>
    <x v="0"/>
    <s v="NULL"/>
    <n v="0.06"/>
    <n v="280"/>
    <x v="146"/>
    <x v="1"/>
    <x v="9"/>
    <x v="4"/>
    <n v="0"/>
    <x v="0"/>
  </r>
  <r>
    <x v="264"/>
    <x v="2"/>
    <s v="United States"/>
    <x v="3"/>
    <s v="NULL"/>
    <s v="NULL"/>
    <n v="381"/>
    <x v="146"/>
    <x v="1"/>
    <x v="9"/>
    <x v="4"/>
    <s v="NULL"/>
    <x v="1"/>
  </r>
  <r>
    <x v="265"/>
    <x v="8"/>
    <s v="United States"/>
    <x v="4"/>
    <n v="100"/>
    <n v="0.15"/>
    <n v="434"/>
    <x v="147"/>
    <x v="1"/>
    <x v="9"/>
    <x v="4"/>
    <n v="0"/>
    <x v="0"/>
  </r>
  <r>
    <x v="187"/>
    <x v="0"/>
    <s v="United States"/>
    <x v="0"/>
    <n v="120"/>
    <s v="NULL"/>
    <n v="152"/>
    <x v="148"/>
    <x v="1"/>
    <x v="9"/>
    <x v="4"/>
    <s v="NULL"/>
    <x v="0"/>
  </r>
  <r>
    <x v="45"/>
    <x v="1"/>
    <s v="United States"/>
    <x v="0"/>
    <n v="50"/>
    <s v="NULL"/>
    <n v="26"/>
    <x v="148"/>
    <x v="1"/>
    <x v="9"/>
    <x v="3"/>
    <s v="NULL"/>
    <x v="0"/>
  </r>
  <r>
    <x v="266"/>
    <x v="7"/>
    <s v="United States"/>
    <x v="0"/>
    <n v="500"/>
    <s v="NULL"/>
    <s v="NULL"/>
    <x v="149"/>
    <x v="1"/>
    <x v="9"/>
    <x v="1"/>
    <s v="NULL"/>
    <x v="0"/>
  </r>
  <r>
    <x v="45"/>
    <x v="1"/>
    <s v="United States"/>
    <x v="0"/>
    <n v="100"/>
    <s v="NULL"/>
    <n v="26"/>
    <x v="149"/>
    <x v="1"/>
    <x v="9"/>
    <x v="3"/>
    <s v="NULL"/>
    <x v="0"/>
  </r>
  <r>
    <x v="267"/>
    <x v="14"/>
    <s v="India"/>
    <x v="2"/>
    <n v="80"/>
    <s v="NULL"/>
    <n v="72"/>
    <x v="149"/>
    <x v="1"/>
    <x v="9"/>
    <x v="3"/>
    <s v="NULL"/>
    <x v="0"/>
  </r>
  <r>
    <x v="268"/>
    <x v="18"/>
    <s v="Netherlands"/>
    <x v="1"/>
    <n v="450"/>
    <n v="0.05"/>
    <n v="129"/>
    <x v="150"/>
    <x v="1"/>
    <x v="10"/>
    <x v="4"/>
    <n v="0"/>
    <x v="0"/>
  </r>
  <r>
    <x v="269"/>
    <x v="14"/>
    <s v="Estonia"/>
    <x v="3"/>
    <n v="280"/>
    <s v="NULL"/>
    <s v="NULL"/>
    <x v="151"/>
    <x v="1"/>
    <x v="10"/>
    <x v="1"/>
    <s v="NULL"/>
    <x v="0"/>
  </r>
  <r>
    <x v="246"/>
    <x v="1"/>
    <s v="India"/>
    <x v="3"/>
    <n v="120"/>
    <s v="NULL"/>
    <s v="NULL"/>
    <x v="152"/>
    <x v="1"/>
    <x v="10"/>
    <x v="1"/>
    <s v="NULL"/>
    <x v="0"/>
  </r>
  <r>
    <x v="270"/>
    <x v="8"/>
    <s v="United States"/>
    <x v="0"/>
    <n v="80"/>
    <s v="NULL"/>
    <n v="769"/>
    <x v="153"/>
    <x v="1"/>
    <x v="10"/>
    <x v="4"/>
    <s v="NULL"/>
    <x v="0"/>
  </r>
  <r>
    <x v="271"/>
    <x v="0"/>
    <s v="Israel"/>
    <x v="0"/>
    <n v="250"/>
    <n v="0.3"/>
    <n v="111"/>
    <x v="154"/>
    <x v="1"/>
    <x v="10"/>
    <x v="4"/>
    <n v="0"/>
    <x v="0"/>
  </r>
  <r>
    <x v="272"/>
    <x v="14"/>
    <s v="Israel"/>
    <x v="8"/>
    <s v="NULL"/>
    <s v="NULL"/>
    <n v="58"/>
    <x v="155"/>
    <x v="1"/>
    <x v="10"/>
    <x v="3"/>
    <s v="NULL"/>
    <x v="1"/>
  </r>
  <r>
    <x v="273"/>
    <x v="1"/>
    <s v="India"/>
    <x v="3"/>
    <s v="NULL"/>
    <n v="1"/>
    <n v="261"/>
    <x v="156"/>
    <x v="1"/>
    <x v="10"/>
    <x v="4"/>
    <n v="1"/>
    <x v="0"/>
  </r>
  <r>
    <x v="274"/>
    <x v="17"/>
    <s v="United States"/>
    <x v="3"/>
    <n v="500"/>
    <s v="NULL"/>
    <n v="22700"/>
    <x v="157"/>
    <x v="1"/>
    <x v="10"/>
    <x v="2"/>
    <s v="NULL"/>
    <x v="0"/>
  </r>
  <r>
    <x v="191"/>
    <x v="1"/>
    <s v="India"/>
    <x v="2"/>
    <n v="170"/>
    <n v="0.3"/>
    <n v="121"/>
    <x v="158"/>
    <x v="1"/>
    <x v="10"/>
    <x v="4"/>
    <n v="0"/>
    <x v="0"/>
  </r>
  <r>
    <x v="154"/>
    <x v="0"/>
    <s v="Australia"/>
    <x v="0"/>
    <n v="200"/>
    <s v="NULL"/>
    <n v="210"/>
    <x v="159"/>
    <x v="1"/>
    <x v="10"/>
    <x v="4"/>
    <s v="NULL"/>
    <x v="0"/>
  </r>
  <r>
    <x v="275"/>
    <x v="6"/>
    <s v="United States"/>
    <x v="11"/>
    <n v="22"/>
    <s v="NULL"/>
    <n v="569"/>
    <x v="159"/>
    <x v="1"/>
    <x v="10"/>
    <x v="4"/>
    <s v="NULL"/>
    <x v="0"/>
  </r>
  <r>
    <x v="0"/>
    <x v="0"/>
    <s v="United States"/>
    <x v="0"/>
    <n v="42"/>
    <s v="NULL"/>
    <n v="1"/>
    <x v="160"/>
    <x v="1"/>
    <x v="10"/>
    <x v="0"/>
    <s v="NULL"/>
    <x v="0"/>
  </r>
  <r>
    <x v="31"/>
    <x v="11"/>
    <s v="United States"/>
    <x v="0"/>
    <n v="200"/>
    <n v="0.01"/>
    <n v="10700"/>
    <x v="161"/>
    <x v="1"/>
    <x v="10"/>
    <x v="2"/>
    <n v="0"/>
    <x v="0"/>
  </r>
  <r>
    <x v="276"/>
    <x v="26"/>
    <s v="United States"/>
    <x v="2"/>
    <s v="NULL"/>
    <s v="NULL"/>
    <n v="45"/>
    <x v="161"/>
    <x v="1"/>
    <x v="10"/>
    <x v="3"/>
    <s v="NULL"/>
    <x v="1"/>
  </r>
  <r>
    <x v="277"/>
    <x v="1"/>
    <s v="India"/>
    <x v="9"/>
    <n v="500"/>
    <s v="NULL"/>
    <n v="74"/>
    <x v="162"/>
    <x v="1"/>
    <x v="10"/>
    <x v="3"/>
    <s v="NULL"/>
    <x v="0"/>
  </r>
  <r>
    <x v="38"/>
    <x v="19"/>
    <s v="United States"/>
    <x v="0"/>
    <n v="262"/>
    <s v="NULL"/>
    <n v="65"/>
    <x v="162"/>
    <x v="1"/>
    <x v="10"/>
    <x v="3"/>
    <s v="NULL"/>
    <x v="0"/>
  </r>
  <r>
    <x v="18"/>
    <x v="0"/>
    <s v="United States"/>
    <x v="0"/>
    <n v="254"/>
    <s v="NULL"/>
    <s v="NULL"/>
    <x v="162"/>
    <x v="1"/>
    <x v="10"/>
    <x v="1"/>
    <s v="NULL"/>
    <x v="0"/>
  </r>
  <r>
    <x v="278"/>
    <x v="0"/>
    <s v="India"/>
    <x v="4"/>
    <n v="100"/>
    <s v="NULL"/>
    <n v="484"/>
    <x v="162"/>
    <x v="1"/>
    <x v="10"/>
    <x v="4"/>
    <s v="NULL"/>
    <x v="0"/>
  </r>
  <r>
    <x v="279"/>
    <x v="1"/>
    <s v="India"/>
    <x v="3"/>
    <n v="50"/>
    <s v="NULL"/>
    <n v="59"/>
    <x v="162"/>
    <x v="1"/>
    <x v="10"/>
    <x v="3"/>
    <s v="NULL"/>
    <x v="0"/>
  </r>
  <r>
    <x v="18"/>
    <x v="0"/>
    <s v="United States"/>
    <x v="0"/>
    <n v="101"/>
    <s v="NULL"/>
    <s v="NULL"/>
    <x v="163"/>
    <x v="1"/>
    <x v="10"/>
    <x v="1"/>
    <s v="NULL"/>
    <x v="0"/>
  </r>
  <r>
    <x v="38"/>
    <x v="19"/>
    <s v="United States"/>
    <x v="0"/>
    <n v="93"/>
    <s v="NULL"/>
    <n v="65"/>
    <x v="163"/>
    <x v="1"/>
    <x v="10"/>
    <x v="3"/>
    <s v="NULL"/>
    <x v="0"/>
  </r>
  <r>
    <x v="38"/>
    <x v="19"/>
    <s v="United States"/>
    <x v="0"/>
    <n v="30"/>
    <s v="NULL"/>
    <n v="65"/>
    <x v="163"/>
    <x v="1"/>
    <x v="10"/>
    <x v="3"/>
    <s v="NULL"/>
    <x v="0"/>
  </r>
  <r>
    <x v="280"/>
    <x v="0"/>
    <s v="Israel"/>
    <x v="6"/>
    <s v="NULL"/>
    <n v="1"/>
    <n v="7"/>
    <x v="163"/>
    <x v="1"/>
    <x v="10"/>
    <x v="0"/>
    <n v="1"/>
    <x v="0"/>
  </r>
  <r>
    <x v="281"/>
    <x v="0"/>
    <s v="Israel"/>
    <x v="6"/>
    <s v="NULL"/>
    <n v="1"/>
    <n v="7"/>
    <x v="163"/>
    <x v="1"/>
    <x v="10"/>
    <x v="0"/>
    <n v="1"/>
    <x v="0"/>
  </r>
  <r>
    <x v="133"/>
    <x v="1"/>
    <s v="United States"/>
    <x v="0"/>
    <s v="NULL"/>
    <n v="0.1"/>
    <n v="450"/>
    <x v="163"/>
    <x v="1"/>
    <x v="10"/>
    <x v="4"/>
    <n v="0"/>
    <x v="0"/>
  </r>
  <r>
    <x v="18"/>
    <x v="0"/>
    <s v="United States"/>
    <x v="0"/>
    <s v="NULL"/>
    <s v="NULL"/>
    <s v="NULL"/>
    <x v="164"/>
    <x v="1"/>
    <x v="10"/>
    <x v="1"/>
    <s v="NULL"/>
    <x v="1"/>
  </r>
  <r>
    <x v="282"/>
    <x v="1"/>
    <s v="India"/>
    <x v="3"/>
    <n v="400"/>
    <s v="NULL"/>
    <n v="75"/>
    <x v="165"/>
    <x v="1"/>
    <x v="10"/>
    <x v="3"/>
    <s v="NULL"/>
    <x v="0"/>
  </r>
  <r>
    <x v="283"/>
    <x v="1"/>
    <s v="India"/>
    <x v="11"/>
    <n v="300"/>
    <s v="NULL"/>
    <n v="375"/>
    <x v="165"/>
    <x v="1"/>
    <x v="10"/>
    <x v="4"/>
    <s v="NULL"/>
    <x v="0"/>
  </r>
  <r>
    <x v="284"/>
    <x v="17"/>
    <s v="India"/>
    <x v="3"/>
    <n v="50"/>
    <s v="NULL"/>
    <n v="304"/>
    <x v="165"/>
    <x v="1"/>
    <x v="10"/>
    <x v="4"/>
    <s v="NULL"/>
    <x v="0"/>
  </r>
  <r>
    <x v="38"/>
    <x v="19"/>
    <s v="United States"/>
    <x v="0"/>
    <n v="4000"/>
    <s v="NULL"/>
    <n v="65"/>
    <x v="166"/>
    <x v="1"/>
    <x v="11"/>
    <x v="3"/>
    <s v="NULL"/>
    <x v="0"/>
  </r>
  <r>
    <x v="285"/>
    <x v="1"/>
    <s v="United States"/>
    <x v="5"/>
    <s v="NULL"/>
    <n v="1"/>
    <n v="294"/>
    <x v="167"/>
    <x v="1"/>
    <x v="11"/>
    <x v="4"/>
    <n v="1"/>
    <x v="0"/>
  </r>
  <r>
    <x v="137"/>
    <x v="1"/>
    <s v="United States"/>
    <x v="4"/>
    <n v="141"/>
    <s v="NULL"/>
    <n v="294"/>
    <x v="168"/>
    <x v="1"/>
    <x v="11"/>
    <x v="4"/>
    <s v="NULL"/>
    <x v="0"/>
  </r>
  <r>
    <x v="39"/>
    <x v="5"/>
    <s v="United States"/>
    <x v="10"/>
    <s v="NULL"/>
    <s v="NULL"/>
    <n v="3500"/>
    <x v="169"/>
    <x v="1"/>
    <x v="11"/>
    <x v="2"/>
    <s v="NULL"/>
    <x v="1"/>
  </r>
  <r>
    <x v="286"/>
    <x v="10"/>
    <s v="United States"/>
    <x v="3"/>
    <s v="NULL"/>
    <s v="NULL"/>
    <n v="778"/>
    <x v="170"/>
    <x v="1"/>
    <x v="11"/>
    <x v="4"/>
    <s v="NULL"/>
    <x v="1"/>
  </r>
  <r>
    <x v="287"/>
    <x v="2"/>
    <s v="India"/>
    <x v="8"/>
    <n v="150"/>
    <n v="1"/>
    <n v="19"/>
    <x v="171"/>
    <x v="1"/>
    <x v="11"/>
    <x v="3"/>
    <n v="1"/>
    <x v="0"/>
  </r>
  <r>
    <x v="1"/>
    <x v="1"/>
    <s v="United Kingdom"/>
    <x v="1"/>
    <s v="NULL"/>
    <s v="NULL"/>
    <s v="NULL"/>
    <x v="172"/>
    <x v="1"/>
    <x v="11"/>
    <x v="1"/>
    <s v="NULL"/>
    <x v="1"/>
  </r>
  <r>
    <x v="72"/>
    <x v="24"/>
    <s v="United States"/>
    <x v="0"/>
    <n v="221"/>
    <s v="NULL"/>
    <n v="2"/>
    <x v="173"/>
    <x v="1"/>
    <x v="11"/>
    <x v="0"/>
    <s v="NULL"/>
    <x v="0"/>
  </r>
  <r>
    <x v="18"/>
    <x v="0"/>
    <s v="United States"/>
    <x v="0"/>
    <n v="101"/>
    <s v="NULL"/>
    <s v="NULL"/>
    <x v="173"/>
    <x v="1"/>
    <x v="11"/>
    <x v="1"/>
    <s v="NULL"/>
    <x v="0"/>
  </r>
  <r>
    <x v="288"/>
    <x v="11"/>
    <s v="United States"/>
    <x v="3"/>
    <s v="NULL"/>
    <n v="1"/>
    <n v="548"/>
    <x v="174"/>
    <x v="1"/>
    <x v="11"/>
    <x v="4"/>
    <n v="1"/>
    <x v="0"/>
  </r>
  <r>
    <x v="289"/>
    <x v="18"/>
    <s v="United States"/>
    <x v="5"/>
    <n v="100"/>
    <n v="0.09"/>
    <n v="127"/>
    <x v="175"/>
    <x v="1"/>
    <x v="11"/>
    <x v="4"/>
    <n v="0"/>
    <x v="0"/>
  </r>
  <r>
    <x v="18"/>
    <x v="0"/>
    <s v="United States"/>
    <x v="0"/>
    <n v="289"/>
    <s v="NULL"/>
    <s v="NULL"/>
    <x v="176"/>
    <x v="1"/>
    <x v="11"/>
    <x v="1"/>
    <s v="NULL"/>
    <x v="0"/>
  </r>
  <r>
    <x v="18"/>
    <x v="0"/>
    <s v="United States"/>
    <x v="0"/>
    <n v="188"/>
    <s v="NULL"/>
    <s v="NULL"/>
    <x v="176"/>
    <x v="1"/>
    <x v="11"/>
    <x v="1"/>
    <s v="NULL"/>
    <x v="0"/>
  </r>
  <r>
    <x v="18"/>
    <x v="0"/>
    <s v="United States"/>
    <x v="0"/>
    <n v="161"/>
    <s v="NULL"/>
    <s v="NULL"/>
    <x v="176"/>
    <x v="1"/>
    <x v="11"/>
    <x v="1"/>
    <s v="NULL"/>
    <x v="0"/>
  </r>
  <r>
    <x v="290"/>
    <x v="3"/>
    <s v="United States"/>
    <x v="0"/>
    <n v="106"/>
    <n v="0.02"/>
    <s v="NULL"/>
    <x v="176"/>
    <x v="1"/>
    <x v="11"/>
    <x v="1"/>
    <n v="0"/>
    <x v="0"/>
  </r>
  <r>
    <x v="291"/>
    <x v="12"/>
    <s v="United States"/>
    <x v="0"/>
    <n v="300"/>
    <s v="NULL"/>
    <n v="50"/>
    <x v="177"/>
    <x v="1"/>
    <x v="11"/>
    <x v="3"/>
    <s v="NULL"/>
    <x v="0"/>
  </r>
  <r>
    <x v="292"/>
    <x v="5"/>
    <s v="Canada"/>
    <x v="7"/>
    <n v="83"/>
    <n v="0.23"/>
    <n v="164"/>
    <x v="177"/>
    <x v="1"/>
    <x v="11"/>
    <x v="4"/>
    <n v="0"/>
    <x v="0"/>
  </r>
  <r>
    <x v="56"/>
    <x v="15"/>
    <s v="United States"/>
    <x v="0"/>
    <s v="NULL"/>
    <s v="NULL"/>
    <s v="NULL"/>
    <x v="177"/>
    <x v="1"/>
    <x v="11"/>
    <x v="1"/>
    <s v="NULL"/>
    <x v="1"/>
  </r>
  <r>
    <x v="293"/>
    <x v="4"/>
    <s v="Japan"/>
    <x v="1"/>
    <s v="NULL"/>
    <s v="NULL"/>
    <n v="26"/>
    <x v="177"/>
    <x v="1"/>
    <x v="11"/>
    <x v="3"/>
    <s v="NULL"/>
    <x v="1"/>
  </r>
  <r>
    <x v="294"/>
    <x v="4"/>
    <s v="United States"/>
    <x v="0"/>
    <n v="70"/>
    <n v="0.1"/>
    <n v="166"/>
    <x v="178"/>
    <x v="1"/>
    <x v="11"/>
    <x v="4"/>
    <n v="0"/>
    <x v="0"/>
  </r>
  <r>
    <x v="295"/>
    <x v="1"/>
    <s v="United States"/>
    <x v="0"/>
    <n v="67"/>
    <n v="0.12"/>
    <n v="736"/>
    <x v="178"/>
    <x v="1"/>
    <x v="11"/>
    <x v="4"/>
    <n v="0"/>
    <x v="0"/>
  </r>
  <r>
    <x v="192"/>
    <x v="25"/>
    <s v="United States"/>
    <x v="0"/>
    <s v="NULL"/>
    <n v="0.06"/>
    <n v="1900"/>
    <x v="178"/>
    <x v="1"/>
    <x v="11"/>
    <x v="2"/>
    <n v="0"/>
    <x v="0"/>
  </r>
  <r>
    <x v="296"/>
    <x v="10"/>
    <s v="United States"/>
    <x v="3"/>
    <n v="200"/>
    <n v="0.34"/>
    <n v="436"/>
    <x v="179"/>
    <x v="1"/>
    <x v="11"/>
    <x v="4"/>
    <n v="0"/>
    <x v="0"/>
  </r>
  <r>
    <x v="297"/>
    <x v="17"/>
    <s v="United States"/>
    <x v="1"/>
    <n v="30"/>
    <s v="NULL"/>
    <n v="243"/>
    <x v="179"/>
    <x v="1"/>
    <x v="11"/>
    <x v="4"/>
    <s v="NULL"/>
    <x v="0"/>
  </r>
  <r>
    <x v="298"/>
    <x v="4"/>
    <s v="United States"/>
    <x v="1"/>
    <n v="100"/>
    <s v="NULL"/>
    <n v="15"/>
    <x v="180"/>
    <x v="1"/>
    <x v="11"/>
    <x v="3"/>
    <s v="NULL"/>
    <x v="0"/>
  </r>
  <r>
    <x v="299"/>
    <x v="14"/>
    <s v="India"/>
    <x v="5"/>
    <n v="145"/>
    <n v="0.16"/>
    <n v="140"/>
    <x v="181"/>
    <x v="1"/>
    <x v="11"/>
    <x v="4"/>
    <n v="0"/>
    <x v="0"/>
  </r>
  <r>
    <x v="154"/>
    <x v="0"/>
    <s v="Australia"/>
    <x v="0"/>
    <n v="150"/>
    <s v="NULL"/>
    <n v="210"/>
    <x v="182"/>
    <x v="1"/>
    <x v="0"/>
    <x v="4"/>
    <s v="NULL"/>
    <x v="0"/>
  </r>
  <r>
    <x v="300"/>
    <x v="19"/>
    <s v="India"/>
    <x v="3"/>
    <n v="106"/>
    <n v="1"/>
    <s v="NULL"/>
    <x v="183"/>
    <x v="1"/>
    <x v="0"/>
    <x v="1"/>
    <n v="1"/>
    <x v="0"/>
  </r>
  <r>
    <x v="284"/>
    <x v="17"/>
    <s v="India"/>
    <x v="3"/>
    <n v="100"/>
    <s v="NULL"/>
    <n v="304"/>
    <x v="183"/>
    <x v="1"/>
    <x v="0"/>
    <x v="4"/>
    <s v="NULL"/>
    <x v="0"/>
  </r>
  <r>
    <x v="301"/>
    <x v="28"/>
    <s v="Germany"/>
    <x v="3"/>
    <s v="NULL"/>
    <n v="0.4"/>
    <s v="NULL"/>
    <x v="183"/>
    <x v="1"/>
    <x v="0"/>
    <x v="1"/>
    <n v="0"/>
    <x v="0"/>
  </r>
  <r>
    <x v="302"/>
    <x v="11"/>
    <s v="India"/>
    <x v="6"/>
    <s v="NULL"/>
    <n v="1"/>
    <s v="NULL"/>
    <x v="184"/>
    <x v="1"/>
    <x v="0"/>
    <x v="1"/>
    <n v="1"/>
    <x v="0"/>
  </r>
  <r>
    <x v="203"/>
    <x v="14"/>
    <s v="United States"/>
    <x v="4"/>
    <s v="NULL"/>
    <s v="NULL"/>
    <n v="565"/>
    <x v="184"/>
    <x v="1"/>
    <x v="0"/>
    <x v="4"/>
    <s v="NULL"/>
    <x v="1"/>
  </r>
  <r>
    <x v="3"/>
    <x v="3"/>
    <s v="Israel"/>
    <x v="1"/>
    <n v="65"/>
    <n v="0.36"/>
    <n v="25"/>
    <x v="185"/>
    <x v="1"/>
    <x v="0"/>
    <x v="3"/>
    <n v="0"/>
    <x v="0"/>
  </r>
  <r>
    <x v="171"/>
    <x v="23"/>
    <s v="Australia"/>
    <x v="0"/>
    <s v="NULL"/>
    <s v="NULL"/>
    <n v="3000"/>
    <x v="185"/>
    <x v="1"/>
    <x v="0"/>
    <x v="2"/>
    <s v="NULL"/>
    <x v="1"/>
  </r>
  <r>
    <x v="303"/>
    <x v="9"/>
    <s v="United States"/>
    <x v="7"/>
    <n v="47"/>
    <n v="7.0000000000000007E-2"/>
    <n v="726"/>
    <x v="186"/>
    <x v="1"/>
    <x v="0"/>
    <x v="4"/>
    <n v="0"/>
    <x v="0"/>
  </r>
  <r>
    <x v="304"/>
    <x v="1"/>
    <s v="United States"/>
    <x v="3"/>
    <s v="NULL"/>
    <n v="1"/>
    <n v="9"/>
    <x v="187"/>
    <x v="1"/>
    <x v="0"/>
    <x v="0"/>
    <n v="1"/>
    <x v="0"/>
  </r>
  <r>
    <x v="305"/>
    <x v="16"/>
    <s v="United States"/>
    <x v="0"/>
    <s v="NULL"/>
    <n v="0.02"/>
    <n v="5200"/>
    <x v="188"/>
    <x v="1"/>
    <x v="0"/>
    <x v="2"/>
    <n v="0"/>
    <x v="0"/>
  </r>
  <r>
    <x v="306"/>
    <x v="5"/>
    <s v="United States"/>
    <x v="11"/>
    <n v="35"/>
    <n v="0.22"/>
    <n v="206"/>
    <x v="189"/>
    <x v="1"/>
    <x v="0"/>
    <x v="4"/>
    <n v="0"/>
    <x v="0"/>
  </r>
  <r>
    <x v="161"/>
    <x v="2"/>
    <s v="United States"/>
    <x v="0"/>
    <s v="NULL"/>
    <s v="NULL"/>
    <n v="8100"/>
    <x v="189"/>
    <x v="1"/>
    <x v="0"/>
    <x v="2"/>
    <s v="NULL"/>
    <x v="1"/>
  </r>
  <r>
    <x v="307"/>
    <x v="2"/>
    <s v="United States"/>
    <x v="6"/>
    <s v="NULL"/>
    <n v="1"/>
    <n v="5"/>
    <x v="189"/>
    <x v="1"/>
    <x v="0"/>
    <x v="0"/>
    <n v="1"/>
    <x v="0"/>
  </r>
  <r>
    <x v="308"/>
    <x v="22"/>
    <s v="India"/>
    <x v="6"/>
    <s v="NULL"/>
    <n v="1"/>
    <s v="NULL"/>
    <x v="189"/>
    <x v="1"/>
    <x v="0"/>
    <x v="1"/>
    <n v="1"/>
    <x v="0"/>
  </r>
  <r>
    <x v="309"/>
    <x v="6"/>
    <s v="United States"/>
    <x v="11"/>
    <n v="200"/>
    <n v="0.14000000000000001"/>
    <n v="602"/>
    <x v="190"/>
    <x v="1"/>
    <x v="0"/>
    <x v="4"/>
    <n v="0"/>
    <x v="0"/>
  </r>
  <r>
    <x v="310"/>
    <x v="12"/>
    <s v="United States"/>
    <x v="0"/>
    <n v="100"/>
    <n v="0.03"/>
    <n v="850"/>
    <x v="190"/>
    <x v="1"/>
    <x v="0"/>
    <x v="4"/>
    <n v="0"/>
    <x v="0"/>
  </r>
  <r>
    <x v="311"/>
    <x v="0"/>
    <s v="United States"/>
    <x v="0"/>
    <n v="166"/>
    <n v="0.06"/>
    <n v="332"/>
    <x v="191"/>
    <x v="1"/>
    <x v="0"/>
    <x v="4"/>
    <n v="0"/>
    <x v="0"/>
  </r>
  <r>
    <x v="312"/>
    <x v="1"/>
    <s v="Sweden"/>
    <x v="1"/>
    <n v="200"/>
    <s v="NULL"/>
    <n v="84"/>
    <x v="192"/>
    <x v="1"/>
    <x v="0"/>
    <x v="3"/>
    <s v="NULL"/>
    <x v="0"/>
  </r>
  <r>
    <x v="313"/>
    <x v="2"/>
    <s v="India"/>
    <x v="3"/>
    <s v="NULL"/>
    <n v="1"/>
    <s v="NULL"/>
    <x v="193"/>
    <x v="1"/>
    <x v="0"/>
    <x v="1"/>
    <n v="1"/>
    <x v="0"/>
  </r>
  <r>
    <x v="314"/>
    <x v="12"/>
    <s v="United States"/>
    <x v="0"/>
    <n v="5000"/>
    <s v="NULL"/>
    <n v="12"/>
    <x v="194"/>
    <x v="1"/>
    <x v="0"/>
    <x v="3"/>
    <s v="NULL"/>
    <x v="0"/>
  </r>
  <r>
    <x v="315"/>
    <x v="10"/>
    <s v="United States"/>
    <x v="1"/>
    <s v="NULL"/>
    <s v="NULL"/>
    <n v="16"/>
    <x v="194"/>
    <x v="1"/>
    <x v="0"/>
    <x v="3"/>
    <s v="NULL"/>
    <x v="1"/>
  </r>
  <r>
    <x v="316"/>
    <x v="7"/>
    <s v="United States"/>
    <x v="1"/>
    <n v="1300"/>
    <s v="NULL"/>
    <n v="5"/>
    <x v="195"/>
    <x v="1"/>
    <x v="0"/>
    <x v="0"/>
    <s v="NULL"/>
    <x v="0"/>
  </r>
  <r>
    <x v="317"/>
    <x v="20"/>
    <s v="United States"/>
    <x v="11"/>
    <n v="60"/>
    <n v="0.18"/>
    <n v="274"/>
    <x v="195"/>
    <x v="1"/>
    <x v="0"/>
    <x v="4"/>
    <n v="0"/>
    <x v="0"/>
  </r>
  <r>
    <x v="318"/>
    <x v="9"/>
    <s v="United States"/>
    <x v="3"/>
    <n v="29"/>
    <n v="0.25"/>
    <n v="234"/>
    <x v="196"/>
    <x v="1"/>
    <x v="0"/>
    <x v="4"/>
    <n v="0"/>
    <x v="0"/>
  </r>
  <r>
    <x v="117"/>
    <x v="14"/>
    <s v="Israel"/>
    <x v="0"/>
    <n v="70"/>
    <n v="0.06"/>
    <n v="245"/>
    <x v="197"/>
    <x v="1"/>
    <x v="0"/>
    <x v="4"/>
    <n v="0"/>
    <x v="0"/>
  </r>
  <r>
    <x v="319"/>
    <x v="17"/>
    <s v="India"/>
    <x v="6"/>
    <s v="NULL"/>
    <n v="1"/>
    <s v="NULL"/>
    <x v="198"/>
    <x v="1"/>
    <x v="0"/>
    <x v="1"/>
    <n v="1"/>
    <x v="0"/>
  </r>
  <r>
    <x v="0"/>
    <x v="0"/>
    <s v="United States"/>
    <x v="0"/>
    <n v="9000"/>
    <n v="0.04"/>
    <n v="1"/>
    <x v="199"/>
    <x v="1"/>
    <x v="0"/>
    <x v="0"/>
    <n v="0"/>
    <x v="0"/>
  </r>
  <r>
    <x v="320"/>
    <x v="7"/>
    <s v="Israel"/>
    <x v="3"/>
    <n v="20"/>
    <n v="1"/>
    <n v="34"/>
    <x v="199"/>
    <x v="1"/>
    <x v="0"/>
    <x v="3"/>
    <n v="1"/>
    <x v="0"/>
  </r>
  <r>
    <x v="321"/>
    <x v="14"/>
    <s v="Nigeria"/>
    <x v="8"/>
    <s v="NULL"/>
    <n v="1"/>
    <n v="12"/>
    <x v="199"/>
    <x v="1"/>
    <x v="0"/>
    <x v="3"/>
    <n v="1"/>
    <x v="0"/>
  </r>
  <r>
    <x v="1"/>
    <x v="1"/>
    <s v="Ireland"/>
    <x v="1"/>
    <s v="NULL"/>
    <s v="NULL"/>
    <s v="NULL"/>
    <x v="199"/>
    <x v="1"/>
    <x v="0"/>
    <x v="1"/>
    <s v="NULL"/>
    <x v="1"/>
  </r>
  <r>
    <x v="322"/>
    <x v="0"/>
    <s v="Netherlands"/>
    <x v="0"/>
    <n v="300"/>
    <n v="0.1"/>
    <n v="430"/>
    <x v="200"/>
    <x v="1"/>
    <x v="1"/>
    <x v="4"/>
    <n v="0"/>
    <x v="0"/>
  </r>
  <r>
    <x v="31"/>
    <x v="11"/>
    <s v="United States"/>
    <x v="0"/>
    <n v="140"/>
    <n v="0.01"/>
    <n v="10700"/>
    <x v="201"/>
    <x v="1"/>
    <x v="1"/>
    <x v="2"/>
    <n v="0"/>
    <x v="0"/>
  </r>
  <r>
    <x v="323"/>
    <x v="1"/>
    <s v="United States"/>
    <x v="0"/>
    <n v="240"/>
    <n v="0.3"/>
    <n v="313"/>
    <x v="202"/>
    <x v="1"/>
    <x v="1"/>
    <x v="4"/>
    <n v="0"/>
    <x v="0"/>
  </r>
  <r>
    <x v="324"/>
    <x v="19"/>
    <s v="Canada"/>
    <x v="2"/>
    <n v="85"/>
    <n v="0.4"/>
    <n v="83"/>
    <x v="202"/>
    <x v="1"/>
    <x v="1"/>
    <x v="3"/>
    <n v="0"/>
    <x v="0"/>
  </r>
  <r>
    <x v="45"/>
    <x v="1"/>
    <s v="United States"/>
    <x v="0"/>
    <n v="75"/>
    <s v="NULL"/>
    <n v="26"/>
    <x v="203"/>
    <x v="1"/>
    <x v="1"/>
    <x v="3"/>
    <s v="NULL"/>
    <x v="0"/>
  </r>
  <r>
    <x v="314"/>
    <x v="12"/>
    <s v="United States"/>
    <x v="0"/>
    <s v="NULL"/>
    <s v="NULL"/>
    <n v="12"/>
    <x v="203"/>
    <x v="1"/>
    <x v="1"/>
    <x v="3"/>
    <s v="NULL"/>
    <x v="1"/>
  </r>
  <r>
    <x v="0"/>
    <x v="0"/>
    <s v="United States"/>
    <x v="0"/>
    <s v="NULL"/>
    <s v="NULL"/>
    <n v="1"/>
    <x v="203"/>
    <x v="1"/>
    <x v="1"/>
    <x v="0"/>
    <s v="NULL"/>
    <x v="1"/>
  </r>
  <r>
    <x v="325"/>
    <x v="21"/>
    <s v="United States"/>
    <x v="1"/>
    <s v="NULL"/>
    <n v="0.17"/>
    <n v="192"/>
    <x v="203"/>
    <x v="1"/>
    <x v="1"/>
    <x v="4"/>
    <n v="0"/>
    <x v="0"/>
  </r>
  <r>
    <x v="326"/>
    <x v="19"/>
    <s v="United States"/>
    <x v="9"/>
    <n v="116"/>
    <s v="NULL"/>
    <n v="138"/>
    <x v="204"/>
    <x v="1"/>
    <x v="1"/>
    <x v="4"/>
    <s v="NULL"/>
    <x v="0"/>
  </r>
  <r>
    <x v="327"/>
    <x v="2"/>
    <s v="Nigeria"/>
    <x v="2"/>
    <n v="50"/>
    <n v="0.2"/>
    <n v="66"/>
    <x v="205"/>
    <x v="1"/>
    <x v="1"/>
    <x v="3"/>
    <n v="0"/>
    <x v="0"/>
  </r>
  <r>
    <x v="314"/>
    <x v="12"/>
    <s v="Israel"/>
    <x v="0"/>
    <s v="NULL"/>
    <s v="NULL"/>
    <n v="12"/>
    <x v="206"/>
    <x v="1"/>
    <x v="1"/>
    <x v="3"/>
    <s v="NULL"/>
    <x v="1"/>
  </r>
  <r>
    <x v="328"/>
    <x v="0"/>
    <s v="Israel"/>
    <x v="2"/>
    <n v="30"/>
    <n v="0.5"/>
    <n v="69"/>
    <x v="207"/>
    <x v="1"/>
    <x v="1"/>
    <x v="3"/>
    <n v="0"/>
    <x v="0"/>
  </r>
  <r>
    <x v="81"/>
    <x v="19"/>
    <s v="Canada"/>
    <x v="0"/>
    <n v="150"/>
    <n v="0.04"/>
    <n v="7"/>
    <x v="208"/>
    <x v="1"/>
    <x v="1"/>
    <x v="0"/>
    <n v="0"/>
    <x v="0"/>
  </r>
  <r>
    <x v="205"/>
    <x v="1"/>
    <s v="Israel"/>
    <x v="0"/>
    <n v="90"/>
    <s v="NULL"/>
    <s v="NULL"/>
    <x v="209"/>
    <x v="1"/>
    <x v="1"/>
    <x v="1"/>
    <s v="NULL"/>
    <x v="0"/>
  </r>
  <r>
    <x v="329"/>
    <x v="1"/>
    <s v="United States"/>
    <x v="2"/>
    <n v="25"/>
    <n v="0.43"/>
    <n v="33"/>
    <x v="210"/>
    <x v="1"/>
    <x v="1"/>
    <x v="3"/>
    <n v="0"/>
    <x v="0"/>
  </r>
  <r>
    <x v="0"/>
    <x v="0"/>
    <s v="United States"/>
    <x v="0"/>
    <n v="305"/>
    <n v="0.03"/>
    <n v="1"/>
    <x v="211"/>
    <x v="1"/>
    <x v="1"/>
    <x v="0"/>
    <n v="0"/>
    <x v="0"/>
  </r>
  <r>
    <x v="330"/>
    <x v="5"/>
    <s v="United States"/>
    <x v="0"/>
    <n v="68"/>
    <n v="0.04"/>
    <n v="1200"/>
    <x v="212"/>
    <x v="1"/>
    <x v="2"/>
    <x v="2"/>
    <n v="0"/>
    <x v="0"/>
  </r>
  <r>
    <x v="331"/>
    <x v="4"/>
    <s v="United States"/>
    <x v="1"/>
    <s v="NULL"/>
    <n v="0.2"/>
    <n v="56"/>
    <x v="213"/>
    <x v="1"/>
    <x v="2"/>
    <x v="3"/>
    <n v="0"/>
    <x v="0"/>
  </r>
  <r>
    <x v="168"/>
    <x v="2"/>
    <s v="Israel"/>
    <x v="0"/>
    <n v="200"/>
    <s v="NULL"/>
    <n v="1200"/>
    <x v="214"/>
    <x v="1"/>
    <x v="2"/>
    <x v="2"/>
    <s v="NULL"/>
    <x v="0"/>
  </r>
  <r>
    <x v="332"/>
    <x v="11"/>
    <s v="India"/>
    <x v="12"/>
    <n v="120"/>
    <s v="NULL"/>
    <n v="1300"/>
    <x v="215"/>
    <x v="1"/>
    <x v="2"/>
    <x v="2"/>
    <s v="NULL"/>
    <x v="0"/>
  </r>
  <r>
    <x v="333"/>
    <x v="14"/>
    <s v="United States"/>
    <x v="0"/>
    <s v="NULL"/>
    <n v="7.0000000000000007E-2"/>
    <n v="1100"/>
    <x v="215"/>
    <x v="1"/>
    <x v="2"/>
    <x v="2"/>
    <n v="0"/>
    <x v="0"/>
  </r>
  <r>
    <x v="334"/>
    <x v="18"/>
    <s v="India"/>
    <x v="2"/>
    <n v="300"/>
    <n v="1"/>
    <n v="44"/>
    <x v="216"/>
    <x v="1"/>
    <x v="2"/>
    <x v="3"/>
    <n v="1"/>
    <x v="0"/>
  </r>
  <r>
    <x v="335"/>
    <x v="11"/>
    <s v="Canada"/>
    <x v="0"/>
    <n v="138"/>
    <n v="0.95"/>
    <n v="402"/>
    <x v="217"/>
    <x v="1"/>
    <x v="2"/>
    <x v="4"/>
    <n v="0"/>
    <x v="0"/>
  </r>
  <r>
    <x v="336"/>
    <x v="26"/>
    <s v="Switzerland"/>
    <x v="9"/>
    <n v="106"/>
    <n v="0.22"/>
    <n v="734"/>
    <x v="218"/>
    <x v="1"/>
    <x v="2"/>
    <x v="4"/>
    <n v="0"/>
    <x v="0"/>
  </r>
  <r>
    <x v="337"/>
    <x v="17"/>
    <s v="United Kingdom"/>
    <x v="7"/>
    <s v="NULL"/>
    <n v="1"/>
    <n v="445"/>
    <x v="219"/>
    <x v="1"/>
    <x v="2"/>
    <x v="4"/>
    <n v="1"/>
    <x v="0"/>
  </r>
  <r>
    <x v="338"/>
    <x v="11"/>
    <s v="United States"/>
    <x v="0"/>
    <s v="NULL"/>
    <s v="NULL"/>
    <n v="780"/>
    <x v="219"/>
    <x v="1"/>
    <x v="2"/>
    <x v="4"/>
    <s v="NULL"/>
    <x v="1"/>
  </r>
  <r>
    <x v="339"/>
    <x v="0"/>
    <s v="United States"/>
    <x v="0"/>
    <s v="NULL"/>
    <n v="0.2"/>
    <n v="110"/>
    <x v="220"/>
    <x v="1"/>
    <x v="2"/>
    <x v="4"/>
    <n v="0"/>
    <x v="0"/>
  </r>
  <r>
    <x v="340"/>
    <x v="4"/>
    <s v="India"/>
    <x v="14"/>
    <n v="350"/>
    <s v="NULL"/>
    <n v="1700"/>
    <x v="221"/>
    <x v="1"/>
    <x v="2"/>
    <x v="2"/>
    <s v="NULL"/>
    <x v="0"/>
  </r>
  <r>
    <x v="341"/>
    <x v="5"/>
    <s v="United States"/>
    <x v="8"/>
    <n v="97"/>
    <s v="NULL"/>
    <n v="17"/>
    <x v="222"/>
    <x v="1"/>
    <x v="2"/>
    <x v="3"/>
    <s v="NULL"/>
    <x v="0"/>
  </r>
  <r>
    <x v="342"/>
    <x v="17"/>
    <s v="Israel"/>
    <x v="8"/>
    <n v="10"/>
    <n v="1"/>
    <n v="28"/>
    <x v="222"/>
    <x v="1"/>
    <x v="2"/>
    <x v="3"/>
    <n v="1"/>
    <x v="0"/>
  </r>
  <r>
    <x v="161"/>
    <x v="2"/>
    <s v="United States"/>
    <x v="0"/>
    <n v="100"/>
    <s v="NULL"/>
    <n v="8100"/>
    <x v="223"/>
    <x v="1"/>
    <x v="2"/>
    <x v="2"/>
    <s v="NULL"/>
    <x v="0"/>
  </r>
  <r>
    <x v="0"/>
    <x v="0"/>
    <s v="United States"/>
    <x v="0"/>
    <n v="6000"/>
    <n v="0.03"/>
    <n v="1"/>
    <x v="224"/>
    <x v="1"/>
    <x v="2"/>
    <x v="0"/>
    <n v="0"/>
    <x v="0"/>
  </r>
  <r>
    <x v="254"/>
    <x v="21"/>
    <s v="United States"/>
    <x v="0"/>
    <n v="248"/>
    <n v="0.22"/>
    <n v="227"/>
    <x v="225"/>
    <x v="1"/>
    <x v="2"/>
    <x v="4"/>
    <n v="0"/>
    <x v="0"/>
  </r>
  <r>
    <x v="343"/>
    <x v="1"/>
    <s v="United States"/>
    <x v="0"/>
    <n v="325"/>
    <n v="0.13"/>
    <s v="NULL"/>
    <x v="226"/>
    <x v="1"/>
    <x v="2"/>
    <x v="1"/>
    <n v="0"/>
    <x v="0"/>
  </r>
  <r>
    <x v="344"/>
    <x v="3"/>
    <s v="United States"/>
    <x v="0"/>
    <n v="500"/>
    <n v="0.05"/>
    <n v="1200"/>
    <x v="227"/>
    <x v="1"/>
    <x v="2"/>
    <x v="2"/>
    <n v="0"/>
    <x v="0"/>
  </r>
  <r>
    <x v="282"/>
    <x v="1"/>
    <s v="India"/>
    <x v="3"/>
    <n v="180"/>
    <s v="NULL"/>
    <n v="75"/>
    <x v="227"/>
    <x v="1"/>
    <x v="2"/>
    <x v="3"/>
    <s v="NULL"/>
    <x v="0"/>
  </r>
  <r>
    <x v="144"/>
    <x v="6"/>
    <s v="Canada"/>
    <x v="0"/>
    <n v="1600"/>
    <s v="NULL"/>
    <n v="1100"/>
    <x v="228"/>
    <x v="1"/>
    <x v="2"/>
    <x v="2"/>
    <s v="NULL"/>
    <x v="0"/>
  </r>
  <r>
    <x v="228"/>
    <x v="0"/>
    <s v="India"/>
    <x v="6"/>
    <n v="15"/>
    <n v="0.2"/>
    <n v="3"/>
    <x v="229"/>
    <x v="1"/>
    <x v="2"/>
    <x v="0"/>
    <n v="0"/>
    <x v="0"/>
  </r>
  <r>
    <x v="345"/>
    <x v="26"/>
    <s v="Canada"/>
    <x v="3"/>
    <s v="NULL"/>
    <n v="0.25"/>
    <n v="370"/>
    <x v="229"/>
    <x v="1"/>
    <x v="2"/>
    <x v="4"/>
    <n v="0"/>
    <x v="0"/>
  </r>
  <r>
    <x v="346"/>
    <x v="3"/>
    <s v="Israel"/>
    <x v="3"/>
    <n v="20"/>
    <n v="0.1"/>
    <n v="322"/>
    <x v="230"/>
    <x v="1"/>
    <x v="2"/>
    <x v="4"/>
    <n v="0"/>
    <x v="0"/>
  </r>
  <r>
    <x v="347"/>
    <x v="20"/>
    <s v="India"/>
    <x v="2"/>
    <s v="NULL"/>
    <n v="1"/>
    <n v="32"/>
    <x v="231"/>
    <x v="1"/>
    <x v="2"/>
    <x v="3"/>
    <n v="1"/>
    <x v="0"/>
  </r>
  <r>
    <x v="348"/>
    <x v="0"/>
    <s v="United Kingdom"/>
    <x v="3"/>
    <n v="200"/>
    <n v="1"/>
    <s v="NULL"/>
    <x v="232"/>
    <x v="1"/>
    <x v="2"/>
    <x v="1"/>
    <n v="1"/>
    <x v="0"/>
  </r>
  <r>
    <x v="349"/>
    <x v="14"/>
    <s v="United States"/>
    <x v="1"/>
    <s v="NULL"/>
    <s v="NULL"/>
    <n v="109"/>
    <x v="232"/>
    <x v="1"/>
    <x v="2"/>
    <x v="4"/>
    <s v="NULL"/>
    <x v="1"/>
  </r>
  <r>
    <x v="58"/>
    <x v="6"/>
    <s v="United States"/>
    <x v="0"/>
    <n v="700"/>
    <n v="0.06"/>
    <s v="NULL"/>
    <x v="233"/>
    <x v="1"/>
    <x v="3"/>
    <x v="1"/>
    <n v="0"/>
    <x v="0"/>
  </r>
  <r>
    <x v="350"/>
    <x v="1"/>
    <s v="United States"/>
    <x v="0"/>
    <n v="300"/>
    <s v="NULL"/>
    <n v="2"/>
    <x v="234"/>
    <x v="1"/>
    <x v="3"/>
    <x v="0"/>
    <s v="NULL"/>
    <x v="0"/>
  </r>
  <r>
    <x v="351"/>
    <x v="26"/>
    <s v="United States"/>
    <x v="0"/>
    <s v="NULL"/>
    <n v="0.27"/>
    <n v="583"/>
    <x v="234"/>
    <x v="1"/>
    <x v="3"/>
    <x v="4"/>
    <n v="0"/>
    <x v="0"/>
  </r>
  <r>
    <x v="190"/>
    <x v="13"/>
    <s v="United States"/>
    <x v="0"/>
    <s v="NULL"/>
    <n v="0.03"/>
    <n v="3300"/>
    <x v="235"/>
    <x v="1"/>
    <x v="3"/>
    <x v="2"/>
    <n v="0"/>
    <x v="0"/>
  </r>
  <r>
    <x v="352"/>
    <x v="0"/>
    <s v="United States"/>
    <x v="3"/>
    <s v="NULL"/>
    <s v="NULL"/>
    <n v="238"/>
    <x v="235"/>
    <x v="1"/>
    <x v="3"/>
    <x v="4"/>
    <s v="NULL"/>
    <x v="1"/>
  </r>
  <r>
    <x v="353"/>
    <x v="12"/>
    <s v="United States"/>
    <x v="3"/>
    <s v="NULL"/>
    <n v="1"/>
    <s v="NULL"/>
    <x v="235"/>
    <x v="1"/>
    <x v="3"/>
    <x v="1"/>
    <n v="1"/>
    <x v="0"/>
  </r>
  <r>
    <x v="332"/>
    <x v="11"/>
    <s v="India"/>
    <x v="12"/>
    <n v="200"/>
    <s v="NULL"/>
    <n v="1300"/>
    <x v="236"/>
    <x v="1"/>
    <x v="3"/>
    <x v="2"/>
    <s v="NULL"/>
    <x v="0"/>
  </r>
  <r>
    <x v="332"/>
    <x v="11"/>
    <s v="India"/>
    <x v="12"/>
    <n v="200"/>
    <s v="NULL"/>
    <n v="1300"/>
    <x v="236"/>
    <x v="1"/>
    <x v="3"/>
    <x v="2"/>
    <s v="NULL"/>
    <x v="0"/>
  </r>
  <r>
    <x v="354"/>
    <x v="17"/>
    <s v="United States"/>
    <x v="7"/>
    <n v="77"/>
    <n v="0.15"/>
    <n v="1100"/>
    <x v="237"/>
    <x v="1"/>
    <x v="3"/>
    <x v="2"/>
    <n v="0"/>
    <x v="0"/>
  </r>
  <r>
    <x v="65"/>
    <x v="1"/>
    <s v="United States"/>
    <x v="0"/>
    <n v="100"/>
    <s v="NULL"/>
    <n v="26000"/>
    <x v="238"/>
    <x v="1"/>
    <x v="3"/>
    <x v="2"/>
    <s v="NULL"/>
    <x v="0"/>
  </r>
  <r>
    <x v="355"/>
    <x v="0"/>
    <s v="Estonia"/>
    <x v="2"/>
    <n v="75"/>
    <s v="NULL"/>
    <n v="67"/>
    <x v="238"/>
    <x v="1"/>
    <x v="3"/>
    <x v="3"/>
    <s v="NULL"/>
    <x v="0"/>
  </r>
  <r>
    <x v="314"/>
    <x v="12"/>
    <s v="United States"/>
    <x v="0"/>
    <n v="22000"/>
    <n v="0.2"/>
    <n v="12"/>
    <x v="239"/>
    <x v="1"/>
    <x v="3"/>
    <x v="3"/>
    <n v="0"/>
    <x v="0"/>
  </r>
  <r>
    <x v="356"/>
    <x v="14"/>
    <s v="India"/>
    <x v="7"/>
    <n v="100"/>
    <s v="NULL"/>
    <n v="125"/>
    <x v="240"/>
    <x v="1"/>
    <x v="3"/>
    <x v="4"/>
    <s v="NULL"/>
    <x v="0"/>
  </r>
  <r>
    <x v="357"/>
    <x v="11"/>
    <s v="United States"/>
    <x v="11"/>
    <n v="150"/>
    <n v="0.17"/>
    <n v="467"/>
    <x v="241"/>
    <x v="1"/>
    <x v="3"/>
    <x v="4"/>
    <n v="0"/>
    <x v="0"/>
  </r>
  <r>
    <x v="358"/>
    <x v="10"/>
    <s v="United States"/>
    <x v="0"/>
    <n v="97"/>
    <s v="NULL"/>
    <n v="1600"/>
    <x v="241"/>
    <x v="1"/>
    <x v="3"/>
    <x v="2"/>
    <s v="NULL"/>
    <x v="0"/>
  </r>
  <r>
    <x v="359"/>
    <x v="1"/>
    <s v="United States"/>
    <x v="6"/>
    <n v="7"/>
    <n v="1"/>
    <n v="3"/>
    <x v="241"/>
    <x v="1"/>
    <x v="3"/>
    <x v="0"/>
    <n v="1"/>
    <x v="0"/>
  </r>
  <r>
    <x v="278"/>
    <x v="0"/>
    <s v="India"/>
    <x v="4"/>
    <n v="200"/>
    <s v="NULL"/>
    <n v="484"/>
    <x v="242"/>
    <x v="1"/>
    <x v="3"/>
    <x v="4"/>
    <s v="NULL"/>
    <x v="0"/>
  </r>
  <r>
    <x v="247"/>
    <x v="13"/>
    <s v="United States"/>
    <x v="0"/>
    <s v="NULL"/>
    <s v="NULL"/>
    <n v="839"/>
    <x v="243"/>
    <x v="1"/>
    <x v="3"/>
    <x v="4"/>
    <s v="NULL"/>
    <x v="1"/>
  </r>
  <r>
    <x v="360"/>
    <x v="23"/>
    <s v="Germany"/>
    <x v="7"/>
    <n v="200"/>
    <s v="NULL"/>
    <n v="593"/>
    <x v="244"/>
    <x v="1"/>
    <x v="3"/>
    <x v="4"/>
    <s v="NULL"/>
    <x v="0"/>
  </r>
  <r>
    <x v="45"/>
    <x v="1"/>
    <s v="United States"/>
    <x v="0"/>
    <s v="NULL"/>
    <s v="NULL"/>
    <n v="26"/>
    <x v="245"/>
    <x v="1"/>
    <x v="3"/>
    <x v="3"/>
    <s v="NULL"/>
    <x v="1"/>
  </r>
  <r>
    <x v="361"/>
    <x v="10"/>
    <s v="United States"/>
    <x v="0"/>
    <s v="NULL"/>
    <n v="1"/>
    <n v="99"/>
    <x v="246"/>
    <x v="1"/>
    <x v="3"/>
    <x v="3"/>
    <n v="1"/>
    <x v="0"/>
  </r>
  <r>
    <x v="362"/>
    <x v="24"/>
    <s v="Israel"/>
    <x v="6"/>
    <s v="NULL"/>
    <n v="1"/>
    <s v="NULL"/>
    <x v="247"/>
    <x v="1"/>
    <x v="3"/>
    <x v="1"/>
    <n v="1"/>
    <x v="0"/>
  </r>
  <r>
    <x v="363"/>
    <x v="19"/>
    <s v="Israel"/>
    <x v="6"/>
    <s v="NULL"/>
    <n v="1"/>
    <n v="8"/>
    <x v="248"/>
    <x v="1"/>
    <x v="3"/>
    <x v="0"/>
    <n v="1"/>
    <x v="0"/>
  </r>
  <r>
    <x v="364"/>
    <x v="15"/>
    <s v="United States"/>
    <x v="0"/>
    <n v="123"/>
    <n v="0.04"/>
    <n v="862"/>
    <x v="249"/>
    <x v="1"/>
    <x v="3"/>
    <x v="4"/>
    <n v="0"/>
    <x v="0"/>
  </r>
  <r>
    <x v="365"/>
    <x v="16"/>
    <s v="United Kingdom"/>
    <x v="3"/>
    <s v="NULL"/>
    <s v="NULL"/>
    <s v="NULL"/>
    <x v="249"/>
    <x v="1"/>
    <x v="3"/>
    <x v="1"/>
    <s v="NULL"/>
    <x v="1"/>
  </r>
  <r>
    <x v="366"/>
    <x v="0"/>
    <s v="United States"/>
    <x v="11"/>
    <n v="281"/>
    <n v="0.16"/>
    <n v="986"/>
    <x v="250"/>
    <x v="1"/>
    <x v="3"/>
    <x v="4"/>
    <n v="0"/>
    <x v="0"/>
  </r>
  <r>
    <x v="367"/>
    <x v="1"/>
    <s v="Australia"/>
    <x v="3"/>
    <n v="10"/>
    <s v="NULL"/>
    <n v="2500"/>
    <x v="250"/>
    <x v="1"/>
    <x v="3"/>
    <x v="2"/>
    <s v="NULL"/>
    <x v="0"/>
  </r>
  <r>
    <x v="368"/>
    <x v="6"/>
    <s v="Australia"/>
    <x v="6"/>
    <s v="NULL"/>
    <n v="1"/>
    <s v="NULL"/>
    <x v="250"/>
    <x v="1"/>
    <x v="3"/>
    <x v="1"/>
    <n v="1"/>
    <x v="0"/>
  </r>
  <r>
    <x v="369"/>
    <x v="18"/>
    <s v="India"/>
    <x v="14"/>
    <n v="600"/>
    <s v="NULL"/>
    <n v="914"/>
    <x v="251"/>
    <x v="1"/>
    <x v="3"/>
    <x v="4"/>
    <s v="NULL"/>
    <x v="0"/>
  </r>
  <r>
    <x v="370"/>
    <x v="26"/>
    <s v="Sweden"/>
    <x v="3"/>
    <n v="2800"/>
    <n v="0.62"/>
    <n v="13800"/>
    <x v="252"/>
    <x v="1"/>
    <x v="4"/>
    <x v="2"/>
    <n v="0"/>
    <x v="0"/>
  </r>
  <r>
    <x v="371"/>
    <x v="21"/>
    <s v="United States"/>
    <x v="0"/>
    <s v="NULL"/>
    <s v="NULL"/>
    <n v="426"/>
    <x v="252"/>
    <x v="1"/>
    <x v="4"/>
    <x v="4"/>
    <s v="NULL"/>
    <x v="1"/>
  </r>
  <r>
    <x v="372"/>
    <x v="6"/>
    <s v="United States"/>
    <x v="0"/>
    <n v="120"/>
    <s v="NULL"/>
    <n v="3000"/>
    <x v="253"/>
    <x v="1"/>
    <x v="4"/>
    <x v="2"/>
    <s v="NULL"/>
    <x v="0"/>
  </r>
  <r>
    <x v="166"/>
    <x v="14"/>
    <s v="United States"/>
    <x v="0"/>
    <n v="931"/>
    <n v="0.08"/>
    <n v="150"/>
    <x v="254"/>
    <x v="1"/>
    <x v="4"/>
    <x v="4"/>
    <n v="0"/>
    <x v="0"/>
  </r>
  <r>
    <x v="373"/>
    <x v="0"/>
    <s v="United States"/>
    <x v="7"/>
    <n v="68"/>
    <s v="NULL"/>
    <n v="770"/>
    <x v="254"/>
    <x v="1"/>
    <x v="4"/>
    <x v="4"/>
    <s v="NULL"/>
    <x v="0"/>
  </r>
  <r>
    <x v="374"/>
    <x v="6"/>
    <s v="United States"/>
    <x v="2"/>
    <n v="20"/>
    <s v="NULL"/>
    <n v="47"/>
    <x v="254"/>
    <x v="1"/>
    <x v="4"/>
    <x v="3"/>
    <s v="NULL"/>
    <x v="0"/>
  </r>
  <r>
    <x v="375"/>
    <x v="10"/>
    <s v="United States"/>
    <x v="1"/>
    <n v="198"/>
    <n v="0.33"/>
    <n v="145"/>
    <x v="255"/>
    <x v="1"/>
    <x v="4"/>
    <x v="4"/>
    <n v="0"/>
    <x v="0"/>
  </r>
  <r>
    <x v="376"/>
    <x v="10"/>
    <s v="United States"/>
    <x v="0"/>
    <n v="130"/>
    <n v="0.03"/>
    <s v="NULL"/>
    <x v="255"/>
    <x v="1"/>
    <x v="4"/>
    <x v="1"/>
    <n v="0"/>
    <x v="0"/>
  </r>
  <r>
    <x v="377"/>
    <x v="18"/>
    <s v="United States"/>
    <x v="0"/>
    <n v="273"/>
    <s v="NULL"/>
    <n v="367"/>
    <x v="256"/>
    <x v="1"/>
    <x v="4"/>
    <x v="4"/>
    <s v="NULL"/>
    <x v="0"/>
  </r>
  <r>
    <x v="378"/>
    <x v="3"/>
    <s v="Israel"/>
    <x v="1"/>
    <n v="45"/>
    <n v="0.56000000000000005"/>
    <s v="NULL"/>
    <x v="256"/>
    <x v="1"/>
    <x v="4"/>
    <x v="1"/>
    <n v="0"/>
    <x v="0"/>
  </r>
  <r>
    <x v="379"/>
    <x v="3"/>
    <s v="United States"/>
    <x v="2"/>
    <n v="22"/>
    <n v="7.0000000000000007E-2"/>
    <n v="100"/>
    <x v="257"/>
    <x v="1"/>
    <x v="4"/>
    <x v="4"/>
    <n v="0"/>
    <x v="0"/>
  </r>
  <r>
    <x v="380"/>
    <x v="17"/>
    <s v="Israel"/>
    <x v="2"/>
    <n v="22"/>
    <n v="0.25"/>
    <n v="48"/>
    <x v="258"/>
    <x v="1"/>
    <x v="4"/>
    <x v="3"/>
    <n v="0"/>
    <x v="0"/>
  </r>
  <r>
    <x v="381"/>
    <x v="11"/>
    <s v="United Kingdom"/>
    <x v="0"/>
    <s v="NULL"/>
    <n v="1"/>
    <n v="629"/>
    <x v="258"/>
    <x v="1"/>
    <x v="4"/>
    <x v="4"/>
    <n v="1"/>
    <x v="0"/>
  </r>
  <r>
    <x v="382"/>
    <x v="23"/>
    <s v="United States"/>
    <x v="1"/>
    <s v="NULL"/>
    <s v="NULL"/>
    <n v="50"/>
    <x v="259"/>
    <x v="1"/>
    <x v="4"/>
    <x v="3"/>
    <s v="NULL"/>
    <x v="1"/>
  </r>
  <r>
    <x v="383"/>
    <x v="2"/>
    <s v="Germany"/>
    <x v="0"/>
    <n v="340"/>
    <s v="NULL"/>
    <n v="1700"/>
    <x v="260"/>
    <x v="1"/>
    <x v="4"/>
    <x v="2"/>
    <s v="NULL"/>
    <x v="0"/>
  </r>
  <r>
    <x v="131"/>
    <x v="25"/>
    <s v="Cyprus"/>
    <x v="3"/>
    <n v="80"/>
    <n v="0.1"/>
    <s v="NULL"/>
    <x v="260"/>
    <x v="1"/>
    <x v="4"/>
    <x v="1"/>
    <n v="0"/>
    <x v="0"/>
  </r>
  <r>
    <x v="249"/>
    <x v="12"/>
    <s v="United States"/>
    <x v="0"/>
    <n v="2500"/>
    <n v="0.05"/>
    <n v="1400"/>
    <x v="261"/>
    <x v="1"/>
    <x v="4"/>
    <x v="2"/>
    <n v="0"/>
    <x v="0"/>
  </r>
  <r>
    <x v="1"/>
    <x v="1"/>
    <s v="Ireland"/>
    <x v="1"/>
    <n v="300"/>
    <s v="NULL"/>
    <s v="NULL"/>
    <x v="261"/>
    <x v="1"/>
    <x v="4"/>
    <x v="1"/>
    <s v="NULL"/>
    <x v="0"/>
  </r>
  <r>
    <x v="384"/>
    <x v="10"/>
    <s v="United States"/>
    <x v="0"/>
    <n v="65"/>
    <n v="0.05"/>
    <n v="16"/>
    <x v="262"/>
    <x v="1"/>
    <x v="4"/>
    <x v="3"/>
    <n v="0"/>
    <x v="0"/>
  </r>
  <r>
    <x v="385"/>
    <x v="11"/>
    <s v="India"/>
    <x v="0"/>
    <n v="1000"/>
    <s v="NULL"/>
    <n v="1700"/>
    <x v="263"/>
    <x v="1"/>
    <x v="4"/>
    <x v="2"/>
    <s v="NULL"/>
    <x v="0"/>
  </r>
  <r>
    <x v="137"/>
    <x v="1"/>
    <s v="United States"/>
    <x v="4"/>
    <s v="NULL"/>
    <n v="0.16"/>
    <n v="294"/>
    <x v="263"/>
    <x v="1"/>
    <x v="4"/>
    <x v="4"/>
    <n v="0"/>
    <x v="0"/>
  </r>
  <r>
    <x v="386"/>
    <x v="2"/>
    <s v="India"/>
    <x v="1"/>
    <s v="NULL"/>
    <n v="1"/>
    <n v="2"/>
    <x v="264"/>
    <x v="1"/>
    <x v="4"/>
    <x v="0"/>
    <n v="1"/>
    <x v="0"/>
  </r>
  <r>
    <x v="237"/>
    <x v="12"/>
    <s v="United States"/>
    <x v="0"/>
    <n v="4000"/>
    <n v="0.1"/>
    <s v="NULL"/>
    <x v="265"/>
    <x v="1"/>
    <x v="5"/>
    <x v="1"/>
    <n v="0"/>
    <x v="0"/>
  </r>
  <r>
    <x v="387"/>
    <x v="18"/>
    <s v="United States"/>
    <x v="1"/>
    <n v="500"/>
    <n v="0.23"/>
    <n v="284"/>
    <x v="265"/>
    <x v="1"/>
    <x v="5"/>
    <x v="4"/>
    <n v="0"/>
    <x v="0"/>
  </r>
  <r>
    <x v="200"/>
    <x v="0"/>
    <s v="United States"/>
    <x v="0"/>
    <n v="1350"/>
    <n v="0.09"/>
    <s v="NULL"/>
    <x v="266"/>
    <x v="1"/>
    <x v="5"/>
    <x v="1"/>
    <n v="0"/>
    <x v="0"/>
  </r>
  <r>
    <x v="388"/>
    <x v="0"/>
    <s v="United States"/>
    <x v="0"/>
    <n v="90"/>
    <n v="0.4"/>
    <n v="105"/>
    <x v="266"/>
    <x v="1"/>
    <x v="5"/>
    <x v="4"/>
    <n v="0"/>
    <x v="0"/>
  </r>
  <r>
    <x v="45"/>
    <x v="1"/>
    <s v="United States"/>
    <x v="0"/>
    <s v="NULL"/>
    <s v="NULL"/>
    <n v="26"/>
    <x v="266"/>
    <x v="1"/>
    <x v="5"/>
    <x v="3"/>
    <s v="NULL"/>
    <x v="1"/>
  </r>
  <r>
    <x v="389"/>
    <x v="14"/>
    <s v="United States"/>
    <x v="11"/>
    <n v="125"/>
    <s v="NULL"/>
    <n v="263"/>
    <x v="267"/>
    <x v="1"/>
    <x v="5"/>
    <x v="4"/>
    <s v="NULL"/>
    <x v="0"/>
  </r>
  <r>
    <x v="168"/>
    <x v="2"/>
    <s v="Israel"/>
    <x v="0"/>
    <n v="20"/>
    <s v="NULL"/>
    <n v="1200"/>
    <x v="267"/>
    <x v="1"/>
    <x v="5"/>
    <x v="2"/>
    <s v="NULL"/>
    <x v="0"/>
  </r>
  <r>
    <x v="390"/>
    <x v="2"/>
    <s v="Germany"/>
    <x v="5"/>
    <s v="NULL"/>
    <n v="0.1"/>
    <n v="119"/>
    <x v="267"/>
    <x v="1"/>
    <x v="5"/>
    <x v="4"/>
    <n v="0"/>
    <x v="0"/>
  </r>
  <r>
    <x v="183"/>
    <x v="7"/>
    <s v="Canada"/>
    <x v="0"/>
    <s v="NULL"/>
    <n v="0.05"/>
    <n v="40"/>
    <x v="267"/>
    <x v="1"/>
    <x v="5"/>
    <x v="3"/>
    <n v="0"/>
    <x v="0"/>
  </r>
  <r>
    <x v="190"/>
    <x v="13"/>
    <s v="United States"/>
    <x v="0"/>
    <s v="NULL"/>
    <s v="NULL"/>
    <n v="3300"/>
    <x v="267"/>
    <x v="1"/>
    <x v="5"/>
    <x v="2"/>
    <s v="NULL"/>
    <x v="1"/>
  </r>
  <r>
    <x v="391"/>
    <x v="3"/>
    <s v="United States"/>
    <x v="9"/>
    <n v="300"/>
    <n v="1"/>
    <n v="335"/>
    <x v="268"/>
    <x v="1"/>
    <x v="5"/>
    <x v="4"/>
    <n v="1"/>
    <x v="0"/>
  </r>
  <r>
    <x v="392"/>
    <x v="5"/>
    <s v="United States"/>
    <x v="8"/>
    <s v="NULL"/>
    <n v="1"/>
    <n v="28"/>
    <x v="268"/>
    <x v="1"/>
    <x v="5"/>
    <x v="3"/>
    <n v="1"/>
    <x v="0"/>
  </r>
  <r>
    <x v="393"/>
    <x v="2"/>
    <s v="United States"/>
    <x v="0"/>
    <n v="70"/>
    <n v="0.08"/>
    <n v="93"/>
    <x v="269"/>
    <x v="1"/>
    <x v="5"/>
    <x v="3"/>
    <n v="0"/>
    <x v="0"/>
  </r>
  <r>
    <x v="394"/>
    <x v="1"/>
    <s v="Japan"/>
    <x v="0"/>
    <s v="NULL"/>
    <s v="NULL"/>
    <s v="NULL"/>
    <x v="269"/>
    <x v="1"/>
    <x v="5"/>
    <x v="1"/>
    <s v="NULL"/>
    <x v="1"/>
  </r>
  <r>
    <x v="143"/>
    <x v="15"/>
    <s v="United States"/>
    <x v="1"/>
    <n v="51"/>
    <s v="NULL"/>
    <n v="85"/>
    <x v="270"/>
    <x v="1"/>
    <x v="5"/>
    <x v="3"/>
    <s v="NULL"/>
    <x v="0"/>
  </r>
  <r>
    <x v="395"/>
    <x v="26"/>
    <s v="Israel"/>
    <x v="3"/>
    <s v="NULL"/>
    <n v="1"/>
    <n v="8"/>
    <x v="270"/>
    <x v="1"/>
    <x v="5"/>
    <x v="0"/>
    <n v="1"/>
    <x v="0"/>
  </r>
  <r>
    <x v="396"/>
    <x v="1"/>
    <s v="United States"/>
    <x v="11"/>
    <n v="150"/>
    <n v="0.15"/>
    <n v="400"/>
    <x v="271"/>
    <x v="1"/>
    <x v="5"/>
    <x v="4"/>
    <n v="0"/>
    <x v="0"/>
  </r>
  <r>
    <x v="397"/>
    <x v="18"/>
    <s v="Nigeria"/>
    <x v="8"/>
    <n v="120"/>
    <n v="0.44"/>
    <n v="43"/>
    <x v="272"/>
    <x v="1"/>
    <x v="5"/>
    <x v="3"/>
    <n v="0"/>
    <x v="0"/>
  </r>
  <r>
    <x v="398"/>
    <x v="2"/>
    <s v="United States"/>
    <x v="0"/>
    <s v="NULL"/>
    <s v="NULL"/>
    <n v="229"/>
    <x v="272"/>
    <x v="1"/>
    <x v="5"/>
    <x v="4"/>
    <s v="NULL"/>
    <x v="1"/>
  </r>
  <r>
    <x v="399"/>
    <x v="17"/>
    <s v="United Kingdom"/>
    <x v="8"/>
    <n v="40"/>
    <n v="0.2"/>
    <n v="37"/>
    <x v="273"/>
    <x v="1"/>
    <x v="5"/>
    <x v="3"/>
    <n v="0"/>
    <x v="0"/>
  </r>
  <r>
    <x v="400"/>
    <x v="29"/>
    <s v="Israel"/>
    <x v="1"/>
    <s v="NULL"/>
    <s v="NULL"/>
    <n v="140"/>
    <x v="274"/>
    <x v="1"/>
    <x v="5"/>
    <x v="4"/>
    <s v="NULL"/>
    <x v="1"/>
  </r>
  <r>
    <x v="401"/>
    <x v="29"/>
    <s v="United States"/>
    <x v="3"/>
    <n v="1000"/>
    <n v="0.1"/>
    <n v="167"/>
    <x v="275"/>
    <x v="1"/>
    <x v="5"/>
    <x v="4"/>
    <n v="0"/>
    <x v="0"/>
  </r>
  <r>
    <x v="402"/>
    <x v="23"/>
    <s v="Nigeria"/>
    <x v="3"/>
    <n v="150"/>
    <s v="NULL"/>
    <n v="64"/>
    <x v="275"/>
    <x v="1"/>
    <x v="5"/>
    <x v="3"/>
    <s v="NULL"/>
    <x v="0"/>
  </r>
  <r>
    <x v="403"/>
    <x v="3"/>
    <s v="United Kingdom"/>
    <x v="1"/>
    <s v="NULL"/>
    <n v="0.06"/>
    <n v="125"/>
    <x v="275"/>
    <x v="1"/>
    <x v="5"/>
    <x v="4"/>
    <n v="0"/>
    <x v="0"/>
  </r>
  <r>
    <x v="404"/>
    <x v="16"/>
    <s v="United States"/>
    <x v="0"/>
    <n v="450"/>
    <s v="NULL"/>
    <n v="320"/>
    <x v="276"/>
    <x v="1"/>
    <x v="5"/>
    <x v="4"/>
    <s v="NULL"/>
    <x v="0"/>
  </r>
  <r>
    <x v="405"/>
    <x v="14"/>
    <s v="United Kingdom"/>
    <x v="11"/>
    <n v="200"/>
    <n v="0.2"/>
    <n v="700"/>
    <x v="276"/>
    <x v="1"/>
    <x v="5"/>
    <x v="4"/>
    <n v="0"/>
    <x v="0"/>
  </r>
  <r>
    <x v="406"/>
    <x v="11"/>
    <s v="United States"/>
    <x v="7"/>
    <s v="NULL"/>
    <s v="NULL"/>
    <n v="403"/>
    <x v="276"/>
    <x v="1"/>
    <x v="5"/>
    <x v="4"/>
    <s v="NULL"/>
    <x v="1"/>
  </r>
  <r>
    <x v="407"/>
    <x v="0"/>
    <s v="United States"/>
    <x v="0"/>
    <s v="NULL"/>
    <s v="NULL"/>
    <n v="1300"/>
    <x v="277"/>
    <x v="1"/>
    <x v="5"/>
    <x v="2"/>
    <s v="NULL"/>
    <x v="1"/>
  </r>
  <r>
    <x v="65"/>
    <x v="1"/>
    <s v="United States"/>
    <x v="0"/>
    <n v="3600"/>
    <n v="0.05"/>
    <n v="26000"/>
    <x v="278"/>
    <x v="1"/>
    <x v="5"/>
    <x v="2"/>
    <n v="0"/>
    <x v="0"/>
  </r>
  <r>
    <x v="408"/>
    <x v="14"/>
    <s v="United States"/>
    <x v="0"/>
    <n v="300"/>
    <s v="NULL"/>
    <n v="300"/>
    <x v="278"/>
    <x v="1"/>
    <x v="5"/>
    <x v="4"/>
    <s v="NULL"/>
    <x v="0"/>
  </r>
  <r>
    <x v="409"/>
    <x v="7"/>
    <s v="United States"/>
    <x v="3"/>
    <n v="200"/>
    <s v="NULL"/>
    <n v="160"/>
    <x v="278"/>
    <x v="1"/>
    <x v="5"/>
    <x v="4"/>
    <s v="NULL"/>
    <x v="0"/>
  </r>
  <r>
    <x v="80"/>
    <x v="0"/>
    <s v="Netherlands"/>
    <x v="5"/>
    <n v="120"/>
    <n v="0.33"/>
    <n v="1100"/>
    <x v="278"/>
    <x v="1"/>
    <x v="5"/>
    <x v="2"/>
    <n v="0"/>
    <x v="0"/>
  </r>
  <r>
    <x v="410"/>
    <x v="15"/>
    <s v="United States"/>
    <x v="0"/>
    <n v="500"/>
    <n v="0.15"/>
    <n v="429"/>
    <x v="279"/>
    <x v="1"/>
    <x v="5"/>
    <x v="4"/>
    <n v="0"/>
    <x v="0"/>
  </r>
  <r>
    <x v="411"/>
    <x v="3"/>
    <s v="Israel"/>
    <x v="2"/>
    <s v="NULL"/>
    <n v="1"/>
    <n v="18"/>
    <x v="279"/>
    <x v="1"/>
    <x v="5"/>
    <x v="3"/>
    <n v="1"/>
    <x v="0"/>
  </r>
  <r>
    <x v="412"/>
    <x v="2"/>
    <s v="Austria"/>
    <x v="5"/>
    <s v="NULL"/>
    <n v="0.2"/>
    <n v="191"/>
    <x v="279"/>
    <x v="1"/>
    <x v="5"/>
    <x v="4"/>
    <n v="0"/>
    <x v="0"/>
  </r>
  <r>
    <x v="185"/>
    <x v="7"/>
    <s v="United States"/>
    <x v="0"/>
    <n v="1750"/>
    <n v="0.08"/>
    <n v="230"/>
    <x v="280"/>
    <x v="1"/>
    <x v="5"/>
    <x v="4"/>
    <n v="0"/>
    <x v="0"/>
  </r>
  <r>
    <x v="146"/>
    <x v="9"/>
    <s v="United States"/>
    <x v="3"/>
    <n v="200"/>
    <s v="NULL"/>
    <n v="423"/>
    <x v="280"/>
    <x v="1"/>
    <x v="5"/>
    <x v="4"/>
    <s v="NULL"/>
    <x v="0"/>
  </r>
  <r>
    <x v="413"/>
    <x v="10"/>
    <s v="United States"/>
    <x v="0"/>
    <n v="200"/>
    <s v="NULL"/>
    <n v="394"/>
    <x v="280"/>
    <x v="1"/>
    <x v="5"/>
    <x v="4"/>
    <s v="NULL"/>
    <x v="0"/>
  </r>
  <r>
    <x v="14"/>
    <x v="1"/>
    <s v="United States"/>
    <x v="0"/>
    <n v="200"/>
    <n v="0.12"/>
    <n v="455.2"/>
    <x v="280"/>
    <x v="1"/>
    <x v="5"/>
    <x v="4"/>
    <n v="0"/>
    <x v="0"/>
  </r>
  <r>
    <x v="414"/>
    <x v="20"/>
    <s v="Canada"/>
    <x v="3"/>
    <n v="140"/>
    <s v="NULL"/>
    <n v="151"/>
    <x v="280"/>
    <x v="1"/>
    <x v="5"/>
    <x v="4"/>
    <s v="NULL"/>
    <x v="0"/>
  </r>
  <r>
    <x v="415"/>
    <x v="17"/>
    <s v="Israel"/>
    <x v="2"/>
    <n v="15"/>
    <n v="0.18"/>
    <n v="57"/>
    <x v="280"/>
    <x v="1"/>
    <x v="5"/>
    <x v="3"/>
    <n v="0"/>
    <x v="0"/>
  </r>
  <r>
    <x v="416"/>
    <x v="17"/>
    <s v="United States"/>
    <x v="7"/>
    <n v="10"/>
    <n v="0.04"/>
    <n v="395"/>
    <x v="280"/>
    <x v="1"/>
    <x v="5"/>
    <x v="4"/>
    <n v="0"/>
    <x v="0"/>
  </r>
  <r>
    <x v="417"/>
    <x v="11"/>
    <s v="United States"/>
    <x v="1"/>
    <n v="1000"/>
    <n v="0.5"/>
    <n v="15000"/>
    <x v="281"/>
    <x v="1"/>
    <x v="5"/>
    <x v="2"/>
    <n v="0"/>
    <x v="0"/>
  </r>
  <r>
    <x v="418"/>
    <x v="3"/>
    <s v="United States"/>
    <x v="0"/>
    <n v="180"/>
    <n v="0.03"/>
    <n v="1200"/>
    <x v="281"/>
    <x v="1"/>
    <x v="5"/>
    <x v="2"/>
    <n v="0"/>
    <x v="0"/>
  </r>
  <r>
    <x v="419"/>
    <x v="6"/>
    <s v="United States"/>
    <x v="3"/>
    <n v="100"/>
    <n v="7.0000000000000007E-2"/>
    <n v="293"/>
    <x v="281"/>
    <x v="1"/>
    <x v="5"/>
    <x v="4"/>
    <n v="0"/>
    <x v="0"/>
  </r>
  <r>
    <x v="420"/>
    <x v="0"/>
    <s v="United States"/>
    <x v="0"/>
    <n v="100"/>
    <s v="NULL"/>
    <n v="453"/>
    <x v="281"/>
    <x v="1"/>
    <x v="5"/>
    <x v="4"/>
    <s v="NULL"/>
    <x v="0"/>
  </r>
  <r>
    <x v="251"/>
    <x v="13"/>
    <s v="United States"/>
    <x v="0"/>
    <n v="75"/>
    <s v="NULL"/>
    <n v="3"/>
    <x v="281"/>
    <x v="1"/>
    <x v="5"/>
    <x v="0"/>
    <s v="NULL"/>
    <x v="0"/>
  </r>
  <r>
    <x v="314"/>
    <x v="12"/>
    <s v="United States"/>
    <x v="0"/>
    <n v="58"/>
    <s v="NULL"/>
    <n v="12"/>
    <x v="281"/>
    <x v="1"/>
    <x v="5"/>
    <x v="3"/>
    <s v="NULL"/>
    <x v="0"/>
  </r>
  <r>
    <x v="421"/>
    <x v="11"/>
    <s v="Israel"/>
    <x v="0"/>
    <n v="40"/>
    <n v="0.09"/>
    <n v="547"/>
    <x v="281"/>
    <x v="1"/>
    <x v="5"/>
    <x v="4"/>
    <n v="0"/>
    <x v="0"/>
  </r>
  <r>
    <x v="38"/>
    <x v="19"/>
    <s v="United States"/>
    <x v="0"/>
    <n v="1000"/>
    <n v="0.01"/>
    <n v="65"/>
    <x v="282"/>
    <x v="1"/>
    <x v="5"/>
    <x v="3"/>
    <n v="0"/>
    <x v="0"/>
  </r>
  <r>
    <x v="422"/>
    <x v="14"/>
    <s v="United States"/>
    <x v="5"/>
    <n v="70"/>
    <s v="NULL"/>
    <n v="123"/>
    <x v="282"/>
    <x v="1"/>
    <x v="5"/>
    <x v="4"/>
    <s v="NULL"/>
    <x v="0"/>
  </r>
  <r>
    <x v="423"/>
    <x v="14"/>
    <s v="United States"/>
    <x v="8"/>
    <s v="NULL"/>
    <n v="1"/>
    <n v="20"/>
    <x v="283"/>
    <x v="1"/>
    <x v="6"/>
    <x v="3"/>
    <n v="1"/>
    <x v="0"/>
  </r>
  <r>
    <x v="424"/>
    <x v="6"/>
    <s v="United States"/>
    <x v="3"/>
    <n v="150"/>
    <n v="0.18"/>
    <n v="267"/>
    <x v="284"/>
    <x v="1"/>
    <x v="6"/>
    <x v="4"/>
    <n v="0"/>
    <x v="0"/>
  </r>
  <r>
    <x v="161"/>
    <x v="2"/>
    <s v="United States"/>
    <x v="0"/>
    <s v="NULL"/>
    <s v="NULL"/>
    <n v="8100"/>
    <x v="284"/>
    <x v="1"/>
    <x v="6"/>
    <x v="2"/>
    <s v="NULL"/>
    <x v="1"/>
  </r>
  <r>
    <x v="425"/>
    <x v="2"/>
    <s v="United States"/>
    <x v="9"/>
    <n v="122"/>
    <s v="NULL"/>
    <n v="50"/>
    <x v="285"/>
    <x v="1"/>
    <x v="6"/>
    <x v="3"/>
    <s v="NULL"/>
    <x v="0"/>
  </r>
  <r>
    <x v="426"/>
    <x v="11"/>
    <s v="Israel"/>
    <x v="5"/>
    <n v="45"/>
    <n v="0.6"/>
    <n v="97"/>
    <x v="286"/>
    <x v="1"/>
    <x v="6"/>
    <x v="3"/>
    <n v="0"/>
    <x v="0"/>
  </r>
  <r>
    <x v="197"/>
    <x v="1"/>
    <s v="Israel"/>
    <x v="3"/>
    <s v="NULL"/>
    <s v="NULL"/>
    <n v="425"/>
    <x v="286"/>
    <x v="1"/>
    <x v="6"/>
    <x v="4"/>
    <s v="NULL"/>
    <x v="1"/>
  </r>
  <r>
    <x v="427"/>
    <x v="14"/>
    <s v="United States"/>
    <x v="15"/>
    <n v="300"/>
    <n v="0.03"/>
    <n v="8700"/>
    <x v="287"/>
    <x v="1"/>
    <x v="6"/>
    <x v="2"/>
    <n v="0"/>
    <x v="0"/>
  </r>
  <r>
    <x v="428"/>
    <x v="22"/>
    <s v="United Kingdom"/>
    <x v="6"/>
    <s v="NULL"/>
    <s v="NULL"/>
    <n v="7"/>
    <x v="287"/>
    <x v="1"/>
    <x v="6"/>
    <x v="0"/>
    <s v="NULL"/>
    <x v="1"/>
  </r>
  <r>
    <x v="429"/>
    <x v="15"/>
    <s v="Portugal"/>
    <x v="5"/>
    <n v="66"/>
    <n v="0.25"/>
    <n v="91"/>
    <x v="288"/>
    <x v="1"/>
    <x v="6"/>
    <x v="3"/>
    <n v="0"/>
    <x v="0"/>
  </r>
  <r>
    <x v="430"/>
    <x v="2"/>
    <s v="Germany"/>
    <x v="5"/>
    <n v="110"/>
    <n v="0.24"/>
    <n v="205"/>
    <x v="289"/>
    <x v="1"/>
    <x v="6"/>
    <x v="4"/>
    <n v="0"/>
    <x v="0"/>
  </r>
  <r>
    <x v="92"/>
    <x v="4"/>
    <s v="India"/>
    <x v="7"/>
    <n v="75"/>
    <s v="NULL"/>
    <n v="212"/>
    <x v="289"/>
    <x v="1"/>
    <x v="6"/>
    <x v="4"/>
    <s v="NULL"/>
    <x v="0"/>
  </r>
  <r>
    <x v="431"/>
    <x v="26"/>
    <s v="United States"/>
    <x v="7"/>
    <n v="58"/>
    <s v="NULL"/>
    <n v="523"/>
    <x v="289"/>
    <x v="1"/>
    <x v="6"/>
    <x v="4"/>
    <s v="NULL"/>
    <x v="0"/>
  </r>
  <r>
    <x v="432"/>
    <x v="8"/>
    <s v="Germany"/>
    <x v="2"/>
    <n v="90"/>
    <s v="NULL"/>
    <n v="62"/>
    <x v="290"/>
    <x v="1"/>
    <x v="6"/>
    <x v="3"/>
    <s v="NULL"/>
    <x v="0"/>
  </r>
  <r>
    <x v="358"/>
    <x v="10"/>
    <s v="United States"/>
    <x v="0"/>
    <n v="89"/>
    <s v="NULL"/>
    <n v="1600"/>
    <x v="290"/>
    <x v="1"/>
    <x v="6"/>
    <x v="2"/>
    <s v="NULL"/>
    <x v="0"/>
  </r>
  <r>
    <x v="433"/>
    <x v="10"/>
    <s v="India"/>
    <x v="7"/>
    <n v="27"/>
    <n v="0.05"/>
    <n v="222"/>
    <x v="290"/>
    <x v="1"/>
    <x v="6"/>
    <x v="4"/>
    <n v="0"/>
    <x v="0"/>
  </r>
  <r>
    <x v="434"/>
    <x v="8"/>
    <s v="United States"/>
    <x v="3"/>
    <n v="15"/>
    <s v="NULL"/>
    <n v="42"/>
    <x v="290"/>
    <x v="1"/>
    <x v="6"/>
    <x v="3"/>
    <s v="NULL"/>
    <x v="0"/>
  </r>
  <r>
    <x v="435"/>
    <x v="14"/>
    <s v="United States"/>
    <x v="3"/>
    <s v="NULL"/>
    <n v="1"/>
    <n v="31"/>
    <x v="291"/>
    <x v="1"/>
    <x v="6"/>
    <x v="3"/>
    <n v="1"/>
    <x v="0"/>
  </r>
  <r>
    <x v="0"/>
    <x v="0"/>
    <s v="United States"/>
    <x v="0"/>
    <s v="NULL"/>
    <s v="NULL"/>
    <n v="1"/>
    <x v="291"/>
    <x v="1"/>
    <x v="6"/>
    <x v="0"/>
    <s v="NULL"/>
    <x v="1"/>
  </r>
  <r>
    <x v="436"/>
    <x v="4"/>
    <s v="United States"/>
    <x v="1"/>
    <s v="NULL"/>
    <s v="NULL"/>
    <s v="NULL"/>
    <x v="291"/>
    <x v="1"/>
    <x v="6"/>
    <x v="1"/>
    <s v="NULL"/>
    <x v="1"/>
  </r>
  <r>
    <x v="437"/>
    <x v="14"/>
    <s v="United States"/>
    <x v="6"/>
    <s v="NULL"/>
    <n v="1"/>
    <n v="7"/>
    <x v="292"/>
    <x v="1"/>
    <x v="6"/>
    <x v="0"/>
    <n v="1"/>
    <x v="0"/>
  </r>
  <r>
    <x v="438"/>
    <x v="2"/>
    <s v="Sweden"/>
    <x v="0"/>
    <s v="NULL"/>
    <n v="0.1"/>
    <n v="56"/>
    <x v="292"/>
    <x v="1"/>
    <x v="6"/>
    <x v="3"/>
    <n v="0"/>
    <x v="0"/>
  </r>
  <r>
    <x v="383"/>
    <x v="2"/>
    <s v="Germany"/>
    <x v="0"/>
    <n v="730"/>
    <n v="0.03"/>
    <n v="1700"/>
    <x v="293"/>
    <x v="1"/>
    <x v="6"/>
    <x v="2"/>
    <n v="0"/>
    <x v="0"/>
  </r>
  <r>
    <x v="439"/>
    <x v="23"/>
    <s v="United States"/>
    <x v="2"/>
    <n v="63"/>
    <n v="1"/>
    <n v="76"/>
    <x v="293"/>
    <x v="1"/>
    <x v="6"/>
    <x v="3"/>
    <n v="1"/>
    <x v="0"/>
  </r>
  <r>
    <x v="188"/>
    <x v="16"/>
    <s v="United States"/>
    <x v="0"/>
    <s v="NULL"/>
    <s v="NULL"/>
    <n v="97"/>
    <x v="293"/>
    <x v="1"/>
    <x v="6"/>
    <x v="3"/>
    <s v="NULL"/>
    <x v="1"/>
  </r>
  <r>
    <x v="440"/>
    <x v="30"/>
    <s v="United States"/>
    <x v="2"/>
    <n v="114"/>
    <s v="NULL"/>
    <n v="451"/>
    <x v="294"/>
    <x v="1"/>
    <x v="6"/>
    <x v="4"/>
    <s v="NULL"/>
    <x v="0"/>
  </r>
  <r>
    <x v="404"/>
    <x v="16"/>
    <s v="United States"/>
    <x v="0"/>
    <n v="46"/>
    <s v="NULL"/>
    <n v="320"/>
    <x v="294"/>
    <x v="1"/>
    <x v="6"/>
    <x v="4"/>
    <s v="NULL"/>
    <x v="0"/>
  </r>
  <r>
    <x v="259"/>
    <x v="14"/>
    <s v="United States"/>
    <x v="11"/>
    <n v="37"/>
    <n v="0.1"/>
    <n v="449"/>
    <x v="295"/>
    <x v="1"/>
    <x v="6"/>
    <x v="4"/>
    <n v="0"/>
    <x v="0"/>
  </r>
  <r>
    <x v="234"/>
    <x v="3"/>
    <s v="United States"/>
    <x v="11"/>
    <s v="NULL"/>
    <s v="NULL"/>
    <n v="325"/>
    <x v="295"/>
    <x v="1"/>
    <x v="6"/>
    <x v="4"/>
    <s v="NULL"/>
    <x v="1"/>
  </r>
  <r>
    <x v="441"/>
    <x v="0"/>
    <s v="United States"/>
    <x v="3"/>
    <s v="NULL"/>
    <s v="NULL"/>
    <s v="NULL"/>
    <x v="295"/>
    <x v="1"/>
    <x v="6"/>
    <x v="1"/>
    <s v="NULL"/>
    <x v="1"/>
  </r>
  <r>
    <x v="0"/>
    <x v="0"/>
    <s v="United States"/>
    <x v="0"/>
    <s v="NULL"/>
    <s v="NULL"/>
    <n v="1"/>
    <x v="295"/>
    <x v="1"/>
    <x v="6"/>
    <x v="0"/>
    <s v="NULL"/>
    <x v="1"/>
  </r>
  <r>
    <x v="442"/>
    <x v="26"/>
    <s v="Israel"/>
    <x v="0"/>
    <n v="400"/>
    <s v="NULL"/>
    <n v="155"/>
    <x v="296"/>
    <x v="1"/>
    <x v="6"/>
    <x v="4"/>
    <s v="NULL"/>
    <x v="0"/>
  </r>
  <r>
    <x v="443"/>
    <x v="14"/>
    <s v="United States"/>
    <x v="2"/>
    <s v="NULL"/>
    <n v="1"/>
    <n v="27"/>
    <x v="297"/>
    <x v="1"/>
    <x v="6"/>
    <x v="3"/>
    <n v="1"/>
    <x v="0"/>
  </r>
  <r>
    <x v="278"/>
    <x v="0"/>
    <s v="India"/>
    <x v="4"/>
    <n v="300"/>
    <s v="NULL"/>
    <n v="484"/>
    <x v="298"/>
    <x v="2"/>
    <x v="7"/>
    <x v="4"/>
    <s v="NULL"/>
    <x v="0"/>
  </r>
  <r>
    <x v="444"/>
    <x v="5"/>
    <s v="United States"/>
    <x v="2"/>
    <s v="NULL"/>
    <n v="1"/>
    <n v="43"/>
    <x v="298"/>
    <x v="2"/>
    <x v="7"/>
    <x v="3"/>
    <n v="1"/>
    <x v="0"/>
  </r>
  <r>
    <x v="445"/>
    <x v="18"/>
    <s v="France"/>
    <x v="1"/>
    <s v="NULL"/>
    <n v="1"/>
    <n v="7"/>
    <x v="298"/>
    <x v="2"/>
    <x v="7"/>
    <x v="0"/>
    <n v="1"/>
    <x v="0"/>
  </r>
  <r>
    <x v="349"/>
    <x v="14"/>
    <s v="Canada"/>
    <x v="5"/>
    <n v="450"/>
    <n v="1"/>
    <n v="109"/>
    <x v="299"/>
    <x v="2"/>
    <x v="7"/>
    <x v="4"/>
    <n v="1"/>
    <x v="0"/>
  </r>
  <r>
    <x v="446"/>
    <x v="29"/>
    <s v="Germany"/>
    <x v="0"/>
    <n v="1000"/>
    <n v="1"/>
    <n v="1400"/>
    <x v="300"/>
    <x v="2"/>
    <x v="7"/>
    <x v="2"/>
    <n v="1"/>
    <x v="0"/>
  </r>
  <r>
    <x v="447"/>
    <x v="12"/>
    <s v="Israel"/>
    <x v="3"/>
    <s v="NULL"/>
    <n v="1"/>
    <s v="NULL"/>
    <x v="301"/>
    <x v="2"/>
    <x v="7"/>
    <x v="1"/>
    <n v="1"/>
    <x v="0"/>
  </r>
  <r>
    <x v="448"/>
    <x v="5"/>
    <s v="United States"/>
    <x v="2"/>
    <s v="NULL"/>
    <s v="NULL"/>
    <n v="42"/>
    <x v="302"/>
    <x v="2"/>
    <x v="7"/>
    <x v="3"/>
    <s v="NULL"/>
    <x v="1"/>
  </r>
  <r>
    <x v="449"/>
    <x v="4"/>
    <s v="United States"/>
    <x v="1"/>
    <s v="NULL"/>
    <s v="NULL"/>
    <n v="134"/>
    <x v="303"/>
    <x v="2"/>
    <x v="7"/>
    <x v="4"/>
    <s v="NULL"/>
    <x v="1"/>
  </r>
  <r>
    <x v="450"/>
    <x v="18"/>
    <s v="India"/>
    <x v="8"/>
    <s v="NULL"/>
    <n v="1"/>
    <s v="NULL"/>
    <x v="304"/>
    <x v="2"/>
    <x v="7"/>
    <x v="1"/>
    <n v="1"/>
    <x v="0"/>
  </r>
  <r>
    <x v="451"/>
    <x v="6"/>
    <s v="Sweden"/>
    <x v="0"/>
    <s v="NULL"/>
    <n v="0.12"/>
    <n v="17"/>
    <x v="305"/>
    <x v="2"/>
    <x v="7"/>
    <x v="3"/>
    <n v="0"/>
    <x v="0"/>
  </r>
  <r>
    <x v="452"/>
    <x v="1"/>
    <s v="United States"/>
    <x v="1"/>
    <s v="NULL"/>
    <s v="NULL"/>
    <n v="6"/>
    <x v="305"/>
    <x v="2"/>
    <x v="7"/>
    <x v="0"/>
    <s v="NULL"/>
    <x v="1"/>
  </r>
  <r>
    <x v="453"/>
    <x v="9"/>
    <s v="United States"/>
    <x v="10"/>
    <n v="74"/>
    <n v="0.27"/>
    <s v="NULL"/>
    <x v="306"/>
    <x v="2"/>
    <x v="7"/>
    <x v="1"/>
    <n v="0"/>
    <x v="0"/>
  </r>
  <r>
    <x v="454"/>
    <x v="0"/>
    <s v="United States"/>
    <x v="2"/>
    <n v="70"/>
    <n v="0.13"/>
    <n v="351"/>
    <x v="306"/>
    <x v="2"/>
    <x v="7"/>
    <x v="4"/>
    <n v="0"/>
    <x v="0"/>
  </r>
  <r>
    <x v="455"/>
    <x v="11"/>
    <s v="United States"/>
    <x v="0"/>
    <n v="20"/>
    <s v="NULL"/>
    <n v="300"/>
    <x v="306"/>
    <x v="2"/>
    <x v="7"/>
    <x v="4"/>
    <s v="NULL"/>
    <x v="0"/>
  </r>
  <r>
    <x v="264"/>
    <x v="2"/>
    <s v="United States"/>
    <x v="3"/>
    <s v="NULL"/>
    <n v="0.22"/>
    <n v="381"/>
    <x v="306"/>
    <x v="2"/>
    <x v="7"/>
    <x v="4"/>
    <n v="0"/>
    <x v="0"/>
  </r>
  <r>
    <x v="352"/>
    <x v="0"/>
    <s v="United States"/>
    <x v="3"/>
    <s v="NULL"/>
    <s v="NULL"/>
    <n v="238"/>
    <x v="306"/>
    <x v="2"/>
    <x v="7"/>
    <x v="4"/>
    <s v="NULL"/>
    <x v="1"/>
  </r>
  <r>
    <x v="456"/>
    <x v="14"/>
    <s v="Israel"/>
    <x v="3"/>
    <n v="100"/>
    <n v="0.18"/>
    <n v="769"/>
    <x v="307"/>
    <x v="2"/>
    <x v="7"/>
    <x v="4"/>
    <n v="0"/>
    <x v="0"/>
  </r>
  <r>
    <x v="457"/>
    <x v="10"/>
    <s v="Germany"/>
    <x v="2"/>
    <s v="NULL"/>
    <s v="NULL"/>
    <n v="11"/>
    <x v="307"/>
    <x v="2"/>
    <x v="7"/>
    <x v="3"/>
    <s v="NULL"/>
    <x v="1"/>
  </r>
  <r>
    <x v="458"/>
    <x v="16"/>
    <s v="United States"/>
    <x v="7"/>
    <s v="NULL"/>
    <n v="1"/>
    <n v="440"/>
    <x v="308"/>
    <x v="2"/>
    <x v="7"/>
    <x v="4"/>
    <n v="1"/>
    <x v="0"/>
  </r>
  <r>
    <x v="459"/>
    <x v="2"/>
    <s v="Singapore"/>
    <x v="3"/>
    <n v="76"/>
    <n v="7.0000000000000007E-2"/>
    <n v="375"/>
    <x v="309"/>
    <x v="2"/>
    <x v="7"/>
    <x v="4"/>
    <n v="0"/>
    <x v="0"/>
  </r>
  <r>
    <x v="460"/>
    <x v="0"/>
    <s v="United States"/>
    <x v="6"/>
    <s v="NULL"/>
    <n v="1"/>
    <n v="2"/>
    <x v="309"/>
    <x v="2"/>
    <x v="7"/>
    <x v="0"/>
    <n v="1"/>
    <x v="0"/>
  </r>
  <r>
    <x v="461"/>
    <x v="9"/>
    <s v="United States"/>
    <x v="9"/>
    <n v="50"/>
    <n v="0.06"/>
    <n v="1100"/>
    <x v="310"/>
    <x v="2"/>
    <x v="7"/>
    <x v="2"/>
    <n v="0"/>
    <x v="0"/>
  </r>
  <r>
    <x v="462"/>
    <x v="4"/>
    <s v="United States"/>
    <x v="4"/>
    <s v="NULL"/>
    <s v="NULL"/>
    <n v="307"/>
    <x v="310"/>
    <x v="2"/>
    <x v="7"/>
    <x v="4"/>
    <s v="NULL"/>
    <x v="1"/>
  </r>
  <r>
    <x v="463"/>
    <x v="14"/>
    <s v="United States"/>
    <x v="3"/>
    <n v="88"/>
    <n v="0.4"/>
    <n v="480"/>
    <x v="311"/>
    <x v="2"/>
    <x v="7"/>
    <x v="4"/>
    <n v="0"/>
    <x v="0"/>
  </r>
  <r>
    <x v="464"/>
    <x v="13"/>
    <s v="United States"/>
    <x v="0"/>
    <n v="60"/>
    <s v="NULL"/>
    <n v="2800"/>
    <x v="311"/>
    <x v="2"/>
    <x v="7"/>
    <x v="2"/>
    <s v="NULL"/>
    <x v="0"/>
  </r>
  <r>
    <x v="371"/>
    <x v="21"/>
    <s v="United States"/>
    <x v="0"/>
    <s v="NULL"/>
    <s v="NULL"/>
    <n v="426"/>
    <x v="311"/>
    <x v="2"/>
    <x v="7"/>
    <x v="4"/>
    <s v="NULL"/>
    <x v="1"/>
  </r>
  <r>
    <x v="47"/>
    <x v="10"/>
    <s v="Israel"/>
    <x v="11"/>
    <n v="80"/>
    <n v="0.14000000000000001"/>
    <n v="60"/>
    <x v="312"/>
    <x v="2"/>
    <x v="7"/>
    <x v="3"/>
    <n v="0"/>
    <x v="0"/>
  </r>
  <r>
    <x v="465"/>
    <x v="2"/>
    <s v="Canada"/>
    <x v="0"/>
    <n v="200"/>
    <s v="NULL"/>
    <n v="1200"/>
    <x v="313"/>
    <x v="2"/>
    <x v="7"/>
    <x v="2"/>
    <s v="NULL"/>
    <x v="0"/>
  </r>
  <r>
    <x v="466"/>
    <x v="23"/>
    <s v="Nigeria"/>
    <x v="2"/>
    <n v="30"/>
    <s v="NULL"/>
    <n v="85"/>
    <x v="314"/>
    <x v="2"/>
    <x v="8"/>
    <x v="3"/>
    <s v="NULL"/>
    <x v="0"/>
  </r>
  <r>
    <x v="467"/>
    <x v="14"/>
    <s v="India"/>
    <x v="3"/>
    <n v="60"/>
    <s v="NULL"/>
    <n v="35"/>
    <x v="315"/>
    <x v="2"/>
    <x v="8"/>
    <x v="3"/>
    <s v="NULL"/>
    <x v="0"/>
  </r>
  <r>
    <x v="442"/>
    <x v="26"/>
    <s v="Israel"/>
    <x v="0"/>
    <n v="500"/>
    <n v="0.12"/>
    <n v="155"/>
    <x v="316"/>
    <x v="2"/>
    <x v="8"/>
    <x v="4"/>
    <n v="0"/>
    <x v="0"/>
  </r>
  <r>
    <x v="468"/>
    <x v="0"/>
    <s v="United States"/>
    <x v="4"/>
    <n v="150"/>
    <n v="0.08"/>
    <n v="1400"/>
    <x v="316"/>
    <x v="2"/>
    <x v="8"/>
    <x v="2"/>
    <n v="0"/>
    <x v="0"/>
  </r>
  <r>
    <x v="469"/>
    <x v="10"/>
    <s v="United States"/>
    <x v="0"/>
    <s v="NULL"/>
    <s v="NULL"/>
    <n v="111"/>
    <x v="317"/>
    <x v="2"/>
    <x v="8"/>
    <x v="4"/>
    <s v="NULL"/>
    <x v="1"/>
  </r>
  <r>
    <x v="470"/>
    <x v="12"/>
    <s v="United States"/>
    <x v="0"/>
    <s v="NULL"/>
    <s v="NULL"/>
    <n v="1200"/>
    <x v="318"/>
    <x v="2"/>
    <x v="8"/>
    <x v="2"/>
    <s v="NULL"/>
    <x v="1"/>
  </r>
  <r>
    <x v="385"/>
    <x v="11"/>
    <s v="India"/>
    <x v="0"/>
    <n v="500"/>
    <s v="NULL"/>
    <n v="1700"/>
    <x v="319"/>
    <x v="2"/>
    <x v="8"/>
    <x v="2"/>
    <s v="NULL"/>
    <x v="0"/>
  </r>
  <r>
    <x v="471"/>
    <x v="10"/>
    <s v="Germany"/>
    <x v="1"/>
    <n v="304"/>
    <s v="NULL"/>
    <n v="256"/>
    <x v="319"/>
    <x v="2"/>
    <x v="8"/>
    <x v="4"/>
    <s v="NULL"/>
    <x v="0"/>
  </r>
  <r>
    <x v="472"/>
    <x v="13"/>
    <s v="Canada"/>
    <x v="3"/>
    <s v="NULL"/>
    <s v="NULL"/>
    <n v="730"/>
    <x v="319"/>
    <x v="2"/>
    <x v="8"/>
    <x v="4"/>
    <s v="NULL"/>
    <x v="1"/>
  </r>
  <r>
    <x v="73"/>
    <x v="8"/>
    <s v="United States"/>
    <x v="1"/>
    <n v="202"/>
    <n v="0.01"/>
    <n v="154"/>
    <x v="320"/>
    <x v="2"/>
    <x v="8"/>
    <x v="4"/>
    <n v="0"/>
    <x v="0"/>
  </r>
  <r>
    <x v="473"/>
    <x v="5"/>
    <s v="United States"/>
    <x v="3"/>
    <s v="NULL"/>
    <n v="0.13"/>
    <n v="216"/>
    <x v="321"/>
    <x v="2"/>
    <x v="8"/>
    <x v="4"/>
    <n v="0"/>
    <x v="0"/>
  </r>
  <r>
    <x v="474"/>
    <x v="6"/>
    <s v="United States"/>
    <x v="1"/>
    <s v="NULL"/>
    <s v="NULL"/>
    <n v="507"/>
    <x v="322"/>
    <x v="2"/>
    <x v="8"/>
    <x v="4"/>
    <s v="NULL"/>
    <x v="1"/>
  </r>
  <r>
    <x v="475"/>
    <x v="14"/>
    <s v="United Kingdom"/>
    <x v="11"/>
    <n v="71"/>
    <n v="0.25"/>
    <n v="321"/>
    <x v="323"/>
    <x v="2"/>
    <x v="8"/>
    <x v="4"/>
    <n v="0"/>
    <x v="0"/>
  </r>
  <r>
    <x v="476"/>
    <x v="0"/>
    <s v="Denmark"/>
    <x v="3"/>
    <n v="300"/>
    <s v="NULL"/>
    <s v="NULL"/>
    <x v="324"/>
    <x v="2"/>
    <x v="8"/>
    <x v="1"/>
    <s v="NULL"/>
    <x v="0"/>
  </r>
  <r>
    <x v="477"/>
    <x v="4"/>
    <s v="India"/>
    <x v="5"/>
    <n v="80"/>
    <s v="NULL"/>
    <n v="71"/>
    <x v="324"/>
    <x v="2"/>
    <x v="8"/>
    <x v="3"/>
    <s v="NULL"/>
    <x v="0"/>
  </r>
  <r>
    <x v="478"/>
    <x v="12"/>
    <s v="United States"/>
    <x v="0"/>
    <n v="1000"/>
    <n v="0.04"/>
    <s v="NULL"/>
    <x v="325"/>
    <x v="2"/>
    <x v="8"/>
    <x v="1"/>
    <n v="0"/>
    <x v="0"/>
  </r>
  <r>
    <x v="358"/>
    <x v="10"/>
    <s v="United States"/>
    <x v="0"/>
    <n v="120"/>
    <s v="NULL"/>
    <n v="1600"/>
    <x v="325"/>
    <x v="2"/>
    <x v="8"/>
    <x v="2"/>
    <s v="NULL"/>
    <x v="0"/>
  </r>
  <r>
    <x v="254"/>
    <x v="21"/>
    <s v="United States"/>
    <x v="0"/>
    <n v="319"/>
    <n v="0.21"/>
    <n v="227"/>
    <x v="326"/>
    <x v="2"/>
    <x v="8"/>
    <x v="4"/>
    <n v="0"/>
    <x v="0"/>
  </r>
  <r>
    <x v="479"/>
    <x v="5"/>
    <s v="United States"/>
    <x v="11"/>
    <n v="200"/>
    <n v="1"/>
    <n v="325"/>
    <x v="326"/>
    <x v="2"/>
    <x v="8"/>
    <x v="4"/>
    <n v="1"/>
    <x v="0"/>
  </r>
  <r>
    <x v="480"/>
    <x v="5"/>
    <s v="United States"/>
    <x v="4"/>
    <n v="77"/>
    <n v="0.02"/>
    <n v="910"/>
    <x v="326"/>
    <x v="2"/>
    <x v="8"/>
    <x v="4"/>
    <n v="0"/>
    <x v="0"/>
  </r>
  <r>
    <x v="481"/>
    <x v="24"/>
    <s v="United States"/>
    <x v="1"/>
    <s v="NULL"/>
    <s v="NULL"/>
    <n v="214"/>
    <x v="326"/>
    <x v="2"/>
    <x v="8"/>
    <x v="4"/>
    <s v="NULL"/>
    <x v="1"/>
  </r>
  <r>
    <x v="482"/>
    <x v="21"/>
    <s v="India"/>
    <x v="6"/>
    <s v="NULL"/>
    <n v="1"/>
    <s v="NULL"/>
    <x v="326"/>
    <x v="2"/>
    <x v="8"/>
    <x v="1"/>
    <n v="1"/>
    <x v="0"/>
  </r>
  <r>
    <x v="483"/>
    <x v="26"/>
    <s v="United States"/>
    <x v="0"/>
    <n v="500"/>
    <n v="0.17"/>
    <n v="116"/>
    <x v="327"/>
    <x v="2"/>
    <x v="8"/>
    <x v="4"/>
    <n v="0"/>
    <x v="0"/>
  </r>
  <r>
    <x v="484"/>
    <x v="5"/>
    <s v="United States"/>
    <x v="0"/>
    <n v="200"/>
    <n v="0.4"/>
    <n v="1100"/>
    <x v="327"/>
    <x v="2"/>
    <x v="8"/>
    <x v="2"/>
    <n v="0"/>
    <x v="0"/>
  </r>
  <r>
    <x v="485"/>
    <x v="5"/>
    <s v="United States"/>
    <x v="3"/>
    <n v="13"/>
    <s v="NULL"/>
    <n v="450"/>
    <x v="327"/>
    <x v="2"/>
    <x v="8"/>
    <x v="4"/>
    <s v="NULL"/>
    <x v="0"/>
  </r>
  <r>
    <x v="239"/>
    <x v="0"/>
    <s v="United States"/>
    <x v="3"/>
    <n v="35"/>
    <n v="0.1"/>
    <n v="214"/>
    <x v="328"/>
    <x v="2"/>
    <x v="8"/>
    <x v="4"/>
    <n v="0"/>
    <x v="0"/>
  </r>
  <r>
    <x v="486"/>
    <x v="2"/>
    <s v="United States"/>
    <x v="0"/>
    <s v="NULL"/>
    <s v="NULL"/>
    <n v="224"/>
    <x v="328"/>
    <x v="2"/>
    <x v="8"/>
    <x v="4"/>
    <s v="NULL"/>
    <x v="1"/>
  </r>
  <r>
    <x v="487"/>
    <x v="13"/>
    <s v="United States"/>
    <x v="1"/>
    <s v="NULL"/>
    <s v="NULL"/>
    <s v="NULL"/>
    <x v="328"/>
    <x v="2"/>
    <x v="8"/>
    <x v="1"/>
    <s v="NULL"/>
    <x v="1"/>
  </r>
  <r>
    <x v="488"/>
    <x v="29"/>
    <s v="United States"/>
    <x v="6"/>
    <s v="NULL"/>
    <n v="1"/>
    <n v="4"/>
    <x v="328"/>
    <x v="2"/>
    <x v="8"/>
    <x v="0"/>
    <n v="1"/>
    <x v="0"/>
  </r>
  <r>
    <x v="98"/>
    <x v="15"/>
    <s v="United States"/>
    <x v="0"/>
    <n v="660"/>
    <n v="0.13"/>
    <n v="484"/>
    <x v="329"/>
    <x v="2"/>
    <x v="8"/>
    <x v="4"/>
    <n v="0"/>
    <x v="0"/>
  </r>
  <r>
    <x v="268"/>
    <x v="18"/>
    <s v="Netherlands"/>
    <x v="1"/>
    <n v="300"/>
    <n v="0.02"/>
    <n v="129"/>
    <x v="329"/>
    <x v="2"/>
    <x v="8"/>
    <x v="4"/>
    <n v="0"/>
    <x v="0"/>
  </r>
  <r>
    <x v="34"/>
    <x v="16"/>
    <s v="United States"/>
    <x v="0"/>
    <n v="300"/>
    <n v="0.17"/>
    <n v="1900"/>
    <x v="329"/>
    <x v="2"/>
    <x v="8"/>
    <x v="2"/>
    <n v="0"/>
    <x v="0"/>
  </r>
  <r>
    <x v="489"/>
    <x v="3"/>
    <s v="United States"/>
    <x v="0"/>
    <n v="250"/>
    <n v="0.02"/>
    <n v="35"/>
    <x v="329"/>
    <x v="2"/>
    <x v="8"/>
    <x v="3"/>
    <n v="0"/>
    <x v="0"/>
  </r>
  <r>
    <x v="490"/>
    <x v="0"/>
    <s v="United States"/>
    <x v="1"/>
    <n v="199"/>
    <s v="NULL"/>
    <s v="NULL"/>
    <x v="329"/>
    <x v="2"/>
    <x v="8"/>
    <x v="1"/>
    <s v="NULL"/>
    <x v="0"/>
  </r>
  <r>
    <x v="253"/>
    <x v="7"/>
    <s v="Germany"/>
    <x v="11"/>
    <n v="115"/>
    <n v="0.06"/>
    <n v="724"/>
    <x v="329"/>
    <x v="2"/>
    <x v="8"/>
    <x v="4"/>
    <n v="0"/>
    <x v="0"/>
  </r>
  <r>
    <x v="491"/>
    <x v="1"/>
    <s v="United States"/>
    <x v="0"/>
    <n v="105"/>
    <n v="0.16"/>
    <n v="30"/>
    <x v="330"/>
    <x v="2"/>
    <x v="8"/>
    <x v="3"/>
    <n v="0"/>
    <x v="0"/>
  </r>
  <r>
    <x v="492"/>
    <x v="19"/>
    <s v="United States"/>
    <x v="12"/>
    <n v="67"/>
    <n v="0.09"/>
    <n v="489"/>
    <x v="330"/>
    <x v="2"/>
    <x v="8"/>
    <x v="4"/>
    <n v="0"/>
    <x v="0"/>
  </r>
  <r>
    <x v="493"/>
    <x v="0"/>
    <s v="United States"/>
    <x v="0"/>
    <s v="NULL"/>
    <s v="NULL"/>
    <n v="700"/>
    <x v="330"/>
    <x v="2"/>
    <x v="8"/>
    <x v="4"/>
    <s v="NULL"/>
    <x v="1"/>
  </r>
  <r>
    <x v="494"/>
    <x v="1"/>
    <s v="United States"/>
    <x v="10"/>
    <s v="NULL"/>
    <n v="0.3"/>
    <n v="2.2999999999999998"/>
    <x v="331"/>
    <x v="2"/>
    <x v="8"/>
    <x v="0"/>
    <n v="0"/>
    <x v="0"/>
  </r>
  <r>
    <x v="495"/>
    <x v="22"/>
    <s v="Israel"/>
    <x v="1"/>
    <n v="18"/>
    <n v="0.11"/>
    <n v="35"/>
    <x v="332"/>
    <x v="2"/>
    <x v="8"/>
    <x v="3"/>
    <n v="0"/>
    <x v="0"/>
  </r>
  <r>
    <x v="496"/>
    <x v="0"/>
    <s v="Israel"/>
    <x v="2"/>
    <n v="20"/>
    <n v="0.06"/>
    <n v="102"/>
    <x v="333"/>
    <x v="2"/>
    <x v="8"/>
    <x v="4"/>
    <n v="0"/>
    <x v="0"/>
  </r>
  <r>
    <x v="497"/>
    <x v="5"/>
    <s v="United States"/>
    <x v="4"/>
    <n v="60"/>
    <n v="0.1"/>
    <n v="417"/>
    <x v="334"/>
    <x v="2"/>
    <x v="8"/>
    <x v="4"/>
    <n v="0"/>
    <x v="0"/>
  </r>
  <r>
    <x v="498"/>
    <x v="18"/>
    <s v="United States"/>
    <x v="3"/>
    <s v="NULL"/>
    <n v="1"/>
    <n v="626"/>
    <x v="334"/>
    <x v="2"/>
    <x v="8"/>
    <x v="4"/>
    <n v="1"/>
    <x v="0"/>
  </r>
  <r>
    <x v="499"/>
    <x v="1"/>
    <s v="United States"/>
    <x v="1"/>
    <s v="NULL"/>
    <s v="NULL"/>
    <s v="NULL"/>
    <x v="335"/>
    <x v="2"/>
    <x v="9"/>
    <x v="1"/>
    <s v="NULL"/>
    <x v="1"/>
  </r>
  <r>
    <x v="500"/>
    <x v="0"/>
    <s v="United States"/>
    <x v="0"/>
    <n v="527"/>
    <n v="0.2"/>
    <n v="1700"/>
    <x v="336"/>
    <x v="2"/>
    <x v="9"/>
    <x v="2"/>
    <n v="0"/>
    <x v="0"/>
  </r>
  <r>
    <x v="68"/>
    <x v="9"/>
    <s v="United States"/>
    <x v="3"/>
    <n v="400"/>
    <n v="0.15"/>
    <n v="134"/>
    <x v="336"/>
    <x v="2"/>
    <x v="9"/>
    <x v="4"/>
    <n v="0"/>
    <x v="0"/>
  </r>
  <r>
    <x v="501"/>
    <x v="0"/>
    <s v="United States"/>
    <x v="5"/>
    <n v="275"/>
    <n v="0.18"/>
    <n v="476"/>
    <x v="336"/>
    <x v="2"/>
    <x v="9"/>
    <x v="4"/>
    <n v="0"/>
    <x v="0"/>
  </r>
  <r>
    <x v="303"/>
    <x v="9"/>
    <s v="United States"/>
    <x v="7"/>
    <n v="163"/>
    <n v="0.2"/>
    <n v="726"/>
    <x v="337"/>
    <x v="2"/>
    <x v="9"/>
    <x v="4"/>
    <n v="0"/>
    <x v="0"/>
  </r>
  <r>
    <x v="290"/>
    <x v="3"/>
    <s v="United States"/>
    <x v="0"/>
    <n v="100"/>
    <n v="0.02"/>
    <s v="NULL"/>
    <x v="337"/>
    <x v="2"/>
    <x v="9"/>
    <x v="1"/>
    <n v="0"/>
    <x v="0"/>
  </r>
  <r>
    <x v="502"/>
    <x v="24"/>
    <s v="United States"/>
    <x v="5"/>
    <s v="NULL"/>
    <n v="0.1"/>
    <n v="436"/>
    <x v="337"/>
    <x v="2"/>
    <x v="9"/>
    <x v="4"/>
    <n v="0"/>
    <x v="0"/>
  </r>
  <r>
    <x v="503"/>
    <x v="9"/>
    <s v="United States"/>
    <x v="5"/>
    <s v="NULL"/>
    <n v="0.35"/>
    <n v="87"/>
    <x v="337"/>
    <x v="2"/>
    <x v="9"/>
    <x v="3"/>
    <n v="0"/>
    <x v="0"/>
  </r>
  <r>
    <x v="504"/>
    <x v="21"/>
    <s v="United States"/>
    <x v="0"/>
    <n v="150"/>
    <n v="0.1"/>
    <n v="458"/>
    <x v="338"/>
    <x v="2"/>
    <x v="9"/>
    <x v="4"/>
    <n v="0"/>
    <x v="0"/>
  </r>
  <r>
    <x v="288"/>
    <x v="11"/>
    <s v="United States"/>
    <x v="3"/>
    <s v="NULL"/>
    <n v="0.4"/>
    <n v="548"/>
    <x v="338"/>
    <x v="2"/>
    <x v="9"/>
    <x v="4"/>
    <n v="0"/>
    <x v="0"/>
  </r>
  <r>
    <x v="505"/>
    <x v="26"/>
    <s v="United States"/>
    <x v="3"/>
    <s v="NULL"/>
    <s v="NULL"/>
    <n v="844"/>
    <x v="338"/>
    <x v="2"/>
    <x v="9"/>
    <x v="4"/>
    <s v="NULL"/>
    <x v="1"/>
  </r>
  <r>
    <x v="506"/>
    <x v="12"/>
    <s v="Norway"/>
    <x v="3"/>
    <s v="NULL"/>
    <s v="NULL"/>
    <s v="NULL"/>
    <x v="339"/>
    <x v="2"/>
    <x v="9"/>
    <x v="1"/>
    <s v="NULL"/>
    <x v="1"/>
  </r>
  <r>
    <x v="507"/>
    <x v="10"/>
    <s v="Malta"/>
    <x v="3"/>
    <n v="29"/>
    <s v="NULL"/>
    <s v="NULL"/>
    <x v="340"/>
    <x v="2"/>
    <x v="9"/>
    <x v="1"/>
    <s v="NULL"/>
    <x v="0"/>
  </r>
  <r>
    <x v="89"/>
    <x v="0"/>
    <s v="United States"/>
    <x v="0"/>
    <s v="NULL"/>
    <n v="0.21"/>
    <n v="168"/>
    <x v="340"/>
    <x v="2"/>
    <x v="9"/>
    <x v="4"/>
    <n v="0"/>
    <x v="0"/>
  </r>
  <r>
    <x v="508"/>
    <x v="3"/>
    <s v="United States"/>
    <x v="1"/>
    <n v="100"/>
    <s v="NULL"/>
    <n v="49"/>
    <x v="341"/>
    <x v="2"/>
    <x v="9"/>
    <x v="3"/>
    <s v="NULL"/>
    <x v="0"/>
  </r>
  <r>
    <x v="509"/>
    <x v="4"/>
    <s v="France"/>
    <x v="5"/>
    <n v="22"/>
    <s v="NULL"/>
    <n v="22"/>
    <x v="341"/>
    <x v="2"/>
    <x v="9"/>
    <x v="3"/>
    <s v="NULL"/>
    <x v="0"/>
  </r>
  <r>
    <x v="510"/>
    <x v="7"/>
    <s v="United States"/>
    <x v="2"/>
    <s v="NULL"/>
    <s v="NULL"/>
    <n v="140"/>
    <x v="342"/>
    <x v="2"/>
    <x v="9"/>
    <x v="4"/>
    <s v="NULL"/>
    <x v="1"/>
  </r>
  <r>
    <x v="511"/>
    <x v="14"/>
    <s v="United States"/>
    <x v="3"/>
    <s v="NULL"/>
    <n v="1"/>
    <s v="NULL"/>
    <x v="343"/>
    <x v="2"/>
    <x v="9"/>
    <x v="1"/>
    <n v="1"/>
    <x v="0"/>
  </r>
  <r>
    <x v="65"/>
    <x v="1"/>
    <s v="United States"/>
    <x v="0"/>
    <s v="NULL"/>
    <s v="NULL"/>
    <n v="26000"/>
    <x v="344"/>
    <x v="2"/>
    <x v="9"/>
    <x v="2"/>
    <s v="NULL"/>
    <x v="1"/>
  </r>
  <r>
    <x v="512"/>
    <x v="6"/>
    <s v="United States"/>
    <x v="1"/>
    <n v="69"/>
    <s v="NULL"/>
    <n v="23"/>
    <x v="345"/>
    <x v="2"/>
    <x v="9"/>
    <x v="3"/>
    <s v="NULL"/>
    <x v="0"/>
  </r>
  <r>
    <x v="358"/>
    <x v="10"/>
    <s v="United States"/>
    <x v="0"/>
    <n v="58"/>
    <s v="NULL"/>
    <n v="1600"/>
    <x v="345"/>
    <x v="2"/>
    <x v="9"/>
    <x v="2"/>
    <s v="NULL"/>
    <x v="0"/>
  </r>
  <r>
    <x v="513"/>
    <x v="22"/>
    <s v="United States"/>
    <x v="8"/>
    <s v="NULL"/>
    <n v="1"/>
    <n v="19"/>
    <x v="345"/>
    <x v="2"/>
    <x v="9"/>
    <x v="3"/>
    <n v="1"/>
    <x v="0"/>
  </r>
  <r>
    <x v="514"/>
    <x v="1"/>
    <s v="Indonesia"/>
    <x v="3"/>
    <n v="500"/>
    <s v="NULL"/>
    <n v="9400"/>
    <x v="346"/>
    <x v="2"/>
    <x v="9"/>
    <x v="2"/>
    <s v="NULL"/>
    <x v="0"/>
  </r>
  <r>
    <x v="515"/>
    <x v="11"/>
    <s v="United States"/>
    <x v="0"/>
    <n v="130"/>
    <n v="0.15"/>
    <n v="3300"/>
    <x v="346"/>
    <x v="2"/>
    <x v="9"/>
    <x v="2"/>
    <n v="0"/>
    <x v="0"/>
  </r>
  <r>
    <x v="516"/>
    <x v="19"/>
    <s v="India"/>
    <x v="8"/>
    <s v="NULL"/>
    <n v="1"/>
    <n v="17"/>
    <x v="346"/>
    <x v="2"/>
    <x v="9"/>
    <x v="3"/>
    <n v="1"/>
    <x v="0"/>
  </r>
  <r>
    <x v="517"/>
    <x v="8"/>
    <s v="United States"/>
    <x v="1"/>
    <n v="200"/>
    <n v="0.15"/>
    <s v="NULL"/>
    <x v="347"/>
    <x v="2"/>
    <x v="9"/>
    <x v="1"/>
    <n v="0"/>
    <x v="0"/>
  </r>
  <r>
    <x v="518"/>
    <x v="2"/>
    <s v="United States"/>
    <x v="6"/>
    <s v="NULL"/>
    <n v="1"/>
    <n v="8"/>
    <x v="347"/>
    <x v="2"/>
    <x v="9"/>
    <x v="0"/>
    <n v="1"/>
    <x v="0"/>
  </r>
  <r>
    <x v="519"/>
    <x v="8"/>
    <s v="United States"/>
    <x v="3"/>
    <s v="NULL"/>
    <s v="NULL"/>
    <s v="NULL"/>
    <x v="347"/>
    <x v="2"/>
    <x v="9"/>
    <x v="1"/>
    <s v="NULL"/>
    <x v="1"/>
  </r>
  <r>
    <x v="520"/>
    <x v="18"/>
    <s v="United States"/>
    <x v="3"/>
    <s v="NULL"/>
    <n v="1"/>
    <n v="94"/>
    <x v="348"/>
    <x v="2"/>
    <x v="9"/>
    <x v="3"/>
    <n v="1"/>
    <x v="0"/>
  </r>
  <r>
    <x v="287"/>
    <x v="2"/>
    <s v="India"/>
    <x v="8"/>
    <n v="130"/>
    <n v="0.4"/>
    <n v="19"/>
    <x v="349"/>
    <x v="2"/>
    <x v="9"/>
    <x v="3"/>
    <n v="0"/>
    <x v="0"/>
  </r>
  <r>
    <x v="521"/>
    <x v="18"/>
    <s v="United Kingdom"/>
    <x v="2"/>
    <s v="NULL"/>
    <n v="0.9"/>
    <n v="300"/>
    <x v="349"/>
    <x v="2"/>
    <x v="9"/>
    <x v="4"/>
    <n v="0"/>
    <x v="0"/>
  </r>
  <r>
    <x v="522"/>
    <x v="1"/>
    <s v="United States"/>
    <x v="7"/>
    <n v="500"/>
    <n v="1"/>
    <n v="202"/>
    <x v="350"/>
    <x v="2"/>
    <x v="9"/>
    <x v="4"/>
    <n v="1"/>
    <x v="0"/>
  </r>
  <r>
    <x v="523"/>
    <x v="10"/>
    <s v="United States"/>
    <x v="0"/>
    <n v="12"/>
    <n v="0.01"/>
    <n v="63"/>
    <x v="350"/>
    <x v="2"/>
    <x v="9"/>
    <x v="3"/>
    <n v="0"/>
    <x v="0"/>
  </r>
  <r>
    <x v="524"/>
    <x v="0"/>
    <s v="United States"/>
    <x v="0"/>
    <s v="NULL"/>
    <n v="1"/>
    <n v="82"/>
    <x v="350"/>
    <x v="2"/>
    <x v="9"/>
    <x v="3"/>
    <n v="1"/>
    <x v="0"/>
  </r>
  <r>
    <x v="358"/>
    <x v="10"/>
    <s v="United States"/>
    <x v="0"/>
    <n v="65"/>
    <s v="NULL"/>
    <n v="1600"/>
    <x v="351"/>
    <x v="2"/>
    <x v="9"/>
    <x v="2"/>
    <s v="NULL"/>
    <x v="0"/>
  </r>
  <r>
    <x v="525"/>
    <x v="19"/>
    <s v="United States"/>
    <x v="2"/>
    <n v="12"/>
    <n v="0.31"/>
    <n v="75"/>
    <x v="352"/>
    <x v="2"/>
    <x v="9"/>
    <x v="3"/>
    <n v="0"/>
    <x v="0"/>
  </r>
  <r>
    <x v="526"/>
    <x v="5"/>
    <s v="United States"/>
    <x v="7"/>
    <s v="NULL"/>
    <n v="0.09"/>
    <n v="220"/>
    <x v="352"/>
    <x v="2"/>
    <x v="9"/>
    <x v="4"/>
    <n v="0"/>
    <x v="0"/>
  </r>
  <r>
    <x v="527"/>
    <x v="23"/>
    <s v="United States"/>
    <x v="11"/>
    <s v="NULL"/>
    <n v="0.02"/>
    <n v="2400"/>
    <x v="352"/>
    <x v="2"/>
    <x v="9"/>
    <x v="2"/>
    <n v="0"/>
    <x v="0"/>
  </r>
  <r>
    <x v="528"/>
    <x v="6"/>
    <s v="Cyprus"/>
    <x v="3"/>
    <n v="200"/>
    <s v="NULL"/>
    <n v="6"/>
    <x v="353"/>
    <x v="2"/>
    <x v="9"/>
    <x v="0"/>
    <s v="NULL"/>
    <x v="0"/>
  </r>
  <r>
    <x v="529"/>
    <x v="14"/>
    <s v="Canada"/>
    <x v="3"/>
    <n v="140"/>
    <s v="NULL"/>
    <n v="331"/>
    <x v="353"/>
    <x v="2"/>
    <x v="9"/>
    <x v="4"/>
    <s v="NULL"/>
    <x v="0"/>
  </r>
  <r>
    <x v="397"/>
    <x v="18"/>
    <s v="Nigeria"/>
    <x v="8"/>
    <n v="68"/>
    <n v="0.2"/>
    <n v="43"/>
    <x v="354"/>
    <x v="2"/>
    <x v="10"/>
    <x v="3"/>
    <n v="0"/>
    <x v="0"/>
  </r>
  <r>
    <x v="361"/>
    <x v="10"/>
    <s v="United States"/>
    <x v="0"/>
    <n v="27"/>
    <n v="0.26"/>
    <n v="99"/>
    <x v="354"/>
    <x v="2"/>
    <x v="10"/>
    <x v="3"/>
    <n v="0"/>
    <x v="0"/>
  </r>
  <r>
    <x v="530"/>
    <x v="2"/>
    <s v="Singapore"/>
    <x v="9"/>
    <n v="17"/>
    <s v="NULL"/>
    <n v="4100"/>
    <x v="354"/>
    <x v="2"/>
    <x v="10"/>
    <x v="2"/>
    <s v="NULL"/>
    <x v="0"/>
  </r>
  <r>
    <x v="531"/>
    <x v="24"/>
    <s v="UAE"/>
    <x v="3"/>
    <s v="NULL"/>
    <n v="1"/>
    <s v="NULL"/>
    <x v="354"/>
    <x v="2"/>
    <x v="10"/>
    <x v="1"/>
    <n v="1"/>
    <x v="0"/>
  </r>
  <r>
    <x v="532"/>
    <x v="18"/>
    <s v="India"/>
    <x v="6"/>
    <s v="NULL"/>
    <n v="1"/>
    <n v="1"/>
    <x v="354"/>
    <x v="2"/>
    <x v="10"/>
    <x v="0"/>
    <n v="1"/>
    <x v="0"/>
  </r>
  <r>
    <x v="533"/>
    <x v="3"/>
    <s v="United States"/>
    <x v="5"/>
    <n v="40"/>
    <n v="0.09"/>
    <n v="328"/>
    <x v="355"/>
    <x v="2"/>
    <x v="10"/>
    <x v="4"/>
    <n v="0"/>
    <x v="0"/>
  </r>
  <r>
    <x v="534"/>
    <x v="14"/>
    <s v="United States"/>
    <x v="2"/>
    <n v="50"/>
    <s v="NULL"/>
    <n v="77"/>
    <x v="356"/>
    <x v="2"/>
    <x v="10"/>
    <x v="3"/>
    <s v="NULL"/>
    <x v="0"/>
  </r>
  <r>
    <x v="535"/>
    <x v="23"/>
    <s v="United States"/>
    <x v="9"/>
    <n v="16"/>
    <s v="NULL"/>
    <n v="92"/>
    <x v="357"/>
    <x v="2"/>
    <x v="10"/>
    <x v="3"/>
    <s v="NULL"/>
    <x v="0"/>
  </r>
  <r>
    <x v="290"/>
    <x v="3"/>
    <s v="United States"/>
    <x v="0"/>
    <s v="NULL"/>
    <s v="NULL"/>
    <s v="NULL"/>
    <x v="357"/>
    <x v="2"/>
    <x v="10"/>
    <x v="1"/>
    <s v="NULL"/>
    <x v="1"/>
  </r>
  <r>
    <x v="370"/>
    <x v="26"/>
    <s v="Sweden"/>
    <x v="3"/>
    <n v="1600"/>
    <n v="0.2"/>
    <n v="13800"/>
    <x v="358"/>
    <x v="2"/>
    <x v="10"/>
    <x v="2"/>
    <n v="0"/>
    <x v="0"/>
  </r>
  <r>
    <x v="536"/>
    <x v="18"/>
    <s v="United States"/>
    <x v="0"/>
    <s v="NULL"/>
    <n v="0.09"/>
    <n v="184"/>
    <x v="358"/>
    <x v="2"/>
    <x v="10"/>
    <x v="4"/>
    <n v="0"/>
    <x v="0"/>
  </r>
  <r>
    <x v="537"/>
    <x v="5"/>
    <s v="Israel"/>
    <x v="7"/>
    <n v="40"/>
    <n v="0.3"/>
    <n v="185"/>
    <x v="359"/>
    <x v="2"/>
    <x v="10"/>
    <x v="4"/>
    <n v="0"/>
    <x v="0"/>
  </r>
  <r>
    <x v="538"/>
    <x v="2"/>
    <s v="United States"/>
    <x v="1"/>
    <n v="40"/>
    <s v="NULL"/>
    <n v="47"/>
    <x v="360"/>
    <x v="2"/>
    <x v="10"/>
    <x v="3"/>
    <s v="NULL"/>
    <x v="0"/>
  </r>
  <r>
    <x v="338"/>
    <x v="11"/>
    <s v="United States"/>
    <x v="0"/>
    <s v="NULL"/>
    <n v="0.15"/>
    <n v="780"/>
    <x v="360"/>
    <x v="2"/>
    <x v="10"/>
    <x v="4"/>
    <n v="0"/>
    <x v="0"/>
  </r>
  <r>
    <x v="539"/>
    <x v="5"/>
    <s v="United States"/>
    <x v="2"/>
    <s v="NULL"/>
    <n v="0.65"/>
    <s v="NULL"/>
    <x v="360"/>
    <x v="2"/>
    <x v="10"/>
    <x v="1"/>
    <n v="0"/>
    <x v="0"/>
  </r>
  <r>
    <x v="540"/>
    <x v="11"/>
    <s v="Ireland"/>
    <x v="1"/>
    <n v="40"/>
    <n v="0.1"/>
    <s v="NULL"/>
    <x v="361"/>
    <x v="2"/>
    <x v="10"/>
    <x v="1"/>
    <n v="0"/>
    <x v="0"/>
  </r>
  <r>
    <x v="541"/>
    <x v="21"/>
    <s v="Canada"/>
    <x v="7"/>
    <s v="NULL"/>
    <n v="0.04"/>
    <n v="483"/>
    <x v="361"/>
    <x v="2"/>
    <x v="10"/>
    <x v="4"/>
    <n v="0"/>
    <x v="0"/>
  </r>
  <r>
    <x v="542"/>
    <x v="14"/>
    <s v="France"/>
    <x v="5"/>
    <n v="151"/>
    <s v="NULL"/>
    <s v="NULL"/>
    <x v="362"/>
    <x v="2"/>
    <x v="10"/>
    <x v="1"/>
    <s v="NULL"/>
    <x v="0"/>
  </r>
  <r>
    <x v="543"/>
    <x v="21"/>
    <s v="India"/>
    <x v="1"/>
    <n v="80"/>
    <s v="NULL"/>
    <s v="NULL"/>
    <x v="362"/>
    <x v="2"/>
    <x v="10"/>
    <x v="1"/>
    <s v="NULL"/>
    <x v="0"/>
  </r>
  <r>
    <x v="544"/>
    <x v="12"/>
    <s v="United States"/>
    <x v="0"/>
    <s v="NULL"/>
    <s v="NULL"/>
    <s v="NULL"/>
    <x v="362"/>
    <x v="2"/>
    <x v="10"/>
    <x v="1"/>
    <s v="NULL"/>
    <x v="1"/>
  </r>
  <r>
    <x v="545"/>
    <x v="25"/>
    <s v="Austria"/>
    <x v="1"/>
    <n v="170"/>
    <s v="NULL"/>
    <s v="NULL"/>
    <x v="363"/>
    <x v="2"/>
    <x v="10"/>
    <x v="1"/>
    <s v="NULL"/>
    <x v="0"/>
  </r>
  <r>
    <x v="0"/>
    <x v="0"/>
    <s v="United States"/>
    <x v="0"/>
    <n v="650"/>
    <s v="NULL"/>
    <n v="1"/>
    <x v="364"/>
    <x v="2"/>
    <x v="10"/>
    <x v="0"/>
    <s v="NULL"/>
    <x v="0"/>
  </r>
  <r>
    <x v="13"/>
    <x v="10"/>
    <s v="United States"/>
    <x v="7"/>
    <s v="NULL"/>
    <n v="0.13"/>
    <n v="187"/>
    <x v="364"/>
    <x v="2"/>
    <x v="10"/>
    <x v="4"/>
    <n v="0"/>
    <x v="0"/>
  </r>
  <r>
    <x v="546"/>
    <x v="21"/>
    <s v="United States"/>
    <x v="0"/>
    <n v="280"/>
    <s v="NULL"/>
    <n v="311"/>
    <x v="365"/>
    <x v="2"/>
    <x v="10"/>
    <x v="4"/>
    <s v="NULL"/>
    <x v="0"/>
  </r>
  <r>
    <x v="229"/>
    <x v="11"/>
    <s v="Israel"/>
    <x v="0"/>
    <n v="100"/>
    <s v="NULL"/>
    <n v="2100"/>
    <x v="366"/>
    <x v="2"/>
    <x v="10"/>
    <x v="2"/>
    <s v="NULL"/>
    <x v="0"/>
  </r>
  <r>
    <x v="547"/>
    <x v="17"/>
    <s v="India"/>
    <x v="6"/>
    <s v="NULL"/>
    <n v="1"/>
    <s v="NULL"/>
    <x v="366"/>
    <x v="2"/>
    <x v="10"/>
    <x v="1"/>
    <n v="1"/>
    <x v="0"/>
  </r>
  <r>
    <x v="548"/>
    <x v="26"/>
    <s v="United States"/>
    <x v="3"/>
    <s v="NULL"/>
    <n v="1"/>
    <n v="19"/>
    <x v="366"/>
    <x v="2"/>
    <x v="10"/>
    <x v="3"/>
    <n v="1"/>
    <x v="0"/>
  </r>
  <r>
    <x v="549"/>
    <x v="0"/>
    <s v="Netherlands"/>
    <x v="1"/>
    <n v="260"/>
    <n v="0.75"/>
    <n v="64"/>
    <x v="367"/>
    <x v="2"/>
    <x v="10"/>
    <x v="3"/>
    <n v="0"/>
    <x v="0"/>
  </r>
  <r>
    <x v="550"/>
    <x v="14"/>
    <s v="United States"/>
    <x v="5"/>
    <n v="8"/>
    <n v="0.04"/>
    <n v="102"/>
    <x v="368"/>
    <x v="2"/>
    <x v="10"/>
    <x v="4"/>
    <n v="0"/>
    <x v="0"/>
  </r>
  <r>
    <x v="551"/>
    <x v="2"/>
    <s v="United States"/>
    <x v="3"/>
    <n v="39"/>
    <n v="0.18"/>
    <n v="75"/>
    <x v="369"/>
    <x v="2"/>
    <x v="10"/>
    <x v="3"/>
    <n v="0"/>
    <x v="0"/>
  </r>
  <r>
    <x v="552"/>
    <x v="18"/>
    <s v="United States"/>
    <x v="3"/>
    <s v="NULL"/>
    <n v="1"/>
    <n v="343"/>
    <x v="369"/>
    <x v="2"/>
    <x v="10"/>
    <x v="4"/>
    <n v="1"/>
    <x v="0"/>
  </r>
  <r>
    <x v="553"/>
    <x v="20"/>
    <s v="United States"/>
    <x v="3"/>
    <n v="250"/>
    <n v="0.15"/>
    <n v="1400"/>
    <x v="370"/>
    <x v="2"/>
    <x v="10"/>
    <x v="2"/>
    <n v="0"/>
    <x v="0"/>
  </r>
  <r>
    <x v="554"/>
    <x v="24"/>
    <s v="United States"/>
    <x v="5"/>
    <n v="40"/>
    <s v="NULL"/>
    <n v="110"/>
    <x v="370"/>
    <x v="2"/>
    <x v="10"/>
    <x v="4"/>
    <s v="NULL"/>
    <x v="0"/>
  </r>
  <r>
    <x v="555"/>
    <x v="11"/>
    <s v="United States"/>
    <x v="0"/>
    <n v="30"/>
    <n v="0.01"/>
    <n v="4900"/>
    <x v="370"/>
    <x v="2"/>
    <x v="10"/>
    <x v="2"/>
    <n v="0"/>
    <x v="0"/>
  </r>
  <r>
    <x v="556"/>
    <x v="29"/>
    <s v="United States"/>
    <x v="3"/>
    <s v="NULL"/>
    <s v="NULL"/>
    <n v="479"/>
    <x v="371"/>
    <x v="2"/>
    <x v="10"/>
    <x v="4"/>
    <s v="NULL"/>
    <x v="1"/>
  </r>
  <r>
    <x v="29"/>
    <x v="9"/>
    <s v="Germany"/>
    <x v="3"/>
    <s v="NULL"/>
    <n v="0.16"/>
    <n v="380"/>
    <x v="371"/>
    <x v="2"/>
    <x v="10"/>
    <x v="4"/>
    <n v="0"/>
    <x v="0"/>
  </r>
  <r>
    <x v="557"/>
    <x v="5"/>
    <s v="India"/>
    <x v="8"/>
    <n v="40"/>
    <s v="NULL"/>
    <n v="26"/>
    <x v="372"/>
    <x v="2"/>
    <x v="10"/>
    <x v="3"/>
    <s v="NULL"/>
    <x v="0"/>
  </r>
  <r>
    <x v="558"/>
    <x v="18"/>
    <s v="India"/>
    <x v="3"/>
    <n v="150"/>
    <n v="0.75"/>
    <n v="458"/>
    <x v="373"/>
    <x v="2"/>
    <x v="11"/>
    <x v="4"/>
    <n v="0"/>
    <x v="0"/>
  </r>
  <r>
    <x v="559"/>
    <x v="17"/>
    <s v="United States"/>
    <x v="8"/>
    <n v="6"/>
    <n v="0.05"/>
    <n v="150"/>
    <x v="374"/>
    <x v="2"/>
    <x v="11"/>
    <x v="4"/>
    <n v="0"/>
    <x v="0"/>
  </r>
  <r>
    <x v="560"/>
    <x v="1"/>
    <s v="United States"/>
    <x v="2"/>
    <n v="27"/>
    <n v="0.14000000000000001"/>
    <n v="42"/>
    <x v="375"/>
    <x v="2"/>
    <x v="11"/>
    <x v="3"/>
    <n v="0"/>
    <x v="0"/>
  </r>
  <r>
    <x v="470"/>
    <x v="12"/>
    <s v="United States"/>
    <x v="0"/>
    <n v="100"/>
    <s v="NULL"/>
    <n v="1200"/>
    <x v="376"/>
    <x v="2"/>
    <x v="11"/>
    <x v="2"/>
    <s v="NULL"/>
    <x v="0"/>
  </r>
  <r>
    <x v="544"/>
    <x v="12"/>
    <s v="China"/>
    <x v="0"/>
    <n v="1000"/>
    <s v="NULL"/>
    <s v="NULL"/>
    <x v="377"/>
    <x v="2"/>
    <x v="11"/>
    <x v="1"/>
    <s v="NULL"/>
    <x v="0"/>
  </r>
  <r>
    <x v="561"/>
    <x v="5"/>
    <s v="United States"/>
    <x v="8"/>
    <n v="131"/>
    <n v="1"/>
    <n v="213"/>
    <x v="377"/>
    <x v="2"/>
    <x v="11"/>
    <x v="4"/>
    <n v="1"/>
    <x v="0"/>
  </r>
  <r>
    <x v="562"/>
    <x v="20"/>
    <s v="United States"/>
    <x v="0"/>
    <n v="42"/>
    <s v="NULL"/>
    <n v="305"/>
    <x v="377"/>
    <x v="2"/>
    <x v="11"/>
    <x v="4"/>
    <s v="NULL"/>
    <x v="0"/>
  </r>
  <r>
    <x v="563"/>
    <x v="5"/>
    <s v="India"/>
    <x v="8"/>
    <s v="NULL"/>
    <n v="1"/>
    <n v="14"/>
    <x v="378"/>
    <x v="2"/>
    <x v="11"/>
    <x v="3"/>
    <n v="1"/>
    <x v="0"/>
  </r>
  <r>
    <x v="564"/>
    <x v="14"/>
    <s v="United States"/>
    <x v="3"/>
    <s v="NULL"/>
    <n v="1"/>
    <s v="NULL"/>
    <x v="378"/>
    <x v="2"/>
    <x v="11"/>
    <x v="1"/>
    <n v="1"/>
    <x v="0"/>
  </r>
  <r>
    <x v="565"/>
    <x v="24"/>
    <s v="Canada"/>
    <x v="1"/>
    <s v="NULL"/>
    <s v="NULL"/>
    <n v="63"/>
    <x v="378"/>
    <x v="2"/>
    <x v="11"/>
    <x v="3"/>
    <s v="NULL"/>
    <x v="1"/>
  </r>
  <r>
    <x v="404"/>
    <x v="16"/>
    <s v="United States"/>
    <x v="0"/>
    <n v="82"/>
    <n v="0.02"/>
    <n v="320"/>
    <x v="379"/>
    <x v="2"/>
    <x v="11"/>
    <x v="4"/>
    <n v="0"/>
    <x v="0"/>
  </r>
  <r>
    <x v="566"/>
    <x v="2"/>
    <s v="United States"/>
    <x v="2"/>
    <s v="NULL"/>
    <n v="1"/>
    <n v="43"/>
    <x v="380"/>
    <x v="2"/>
    <x v="11"/>
    <x v="3"/>
    <n v="1"/>
    <x v="0"/>
  </r>
  <r>
    <x v="567"/>
    <x v="18"/>
    <s v="Canada"/>
    <x v="1"/>
    <n v="800"/>
    <s v="NULL"/>
    <n v="8"/>
    <x v="381"/>
    <x v="2"/>
    <x v="11"/>
    <x v="0"/>
    <s v="NULL"/>
    <x v="0"/>
  </r>
  <r>
    <x v="364"/>
    <x v="15"/>
    <s v="United States"/>
    <x v="0"/>
    <n v="190"/>
    <n v="7.0000000000000007E-2"/>
    <n v="862"/>
    <x v="381"/>
    <x v="2"/>
    <x v="11"/>
    <x v="4"/>
    <n v="0"/>
    <x v="0"/>
  </r>
  <r>
    <x v="568"/>
    <x v="18"/>
    <s v="India"/>
    <x v="3"/>
    <s v="NULL"/>
    <n v="1"/>
    <n v="54"/>
    <x v="381"/>
    <x v="2"/>
    <x v="11"/>
    <x v="3"/>
    <n v="1"/>
    <x v="0"/>
  </r>
  <r>
    <x v="128"/>
    <x v="1"/>
    <s v="United States"/>
    <x v="0"/>
    <n v="139"/>
    <n v="0.15"/>
    <n v="288"/>
    <x v="382"/>
    <x v="2"/>
    <x v="11"/>
    <x v="4"/>
    <n v="0"/>
    <x v="0"/>
  </r>
  <r>
    <x v="569"/>
    <x v="16"/>
    <s v="United States"/>
    <x v="8"/>
    <s v="NULL"/>
    <s v="NULL"/>
    <n v="40"/>
    <x v="382"/>
    <x v="2"/>
    <x v="11"/>
    <x v="3"/>
    <s v="NULL"/>
    <x v="1"/>
  </r>
  <r>
    <x v="570"/>
    <x v="21"/>
    <s v="Canada"/>
    <x v="7"/>
    <n v="81"/>
    <n v="0.45"/>
    <n v="389"/>
    <x v="383"/>
    <x v="2"/>
    <x v="11"/>
    <x v="4"/>
    <n v="0"/>
    <x v="0"/>
  </r>
  <r>
    <x v="571"/>
    <x v="10"/>
    <s v="United States"/>
    <x v="3"/>
    <n v="15"/>
    <s v="NULL"/>
    <s v="NULL"/>
    <x v="383"/>
    <x v="2"/>
    <x v="11"/>
    <x v="1"/>
    <s v="NULL"/>
    <x v="0"/>
  </r>
  <r>
    <x v="572"/>
    <x v="2"/>
    <s v="United States"/>
    <x v="2"/>
    <s v="NULL"/>
    <s v="NULL"/>
    <n v="125"/>
    <x v="383"/>
    <x v="2"/>
    <x v="11"/>
    <x v="4"/>
    <s v="NULL"/>
    <x v="1"/>
  </r>
  <r>
    <x v="573"/>
    <x v="18"/>
    <s v="United States"/>
    <x v="2"/>
    <s v="NULL"/>
    <n v="0.19"/>
    <n v="64"/>
    <x v="383"/>
    <x v="2"/>
    <x v="11"/>
    <x v="3"/>
    <n v="0"/>
    <x v="0"/>
  </r>
  <r>
    <x v="358"/>
    <x v="10"/>
    <s v="United States"/>
    <x v="0"/>
    <n v="61"/>
    <s v="NULL"/>
    <n v="1600"/>
    <x v="384"/>
    <x v="2"/>
    <x v="11"/>
    <x v="2"/>
    <s v="NULL"/>
    <x v="0"/>
  </r>
  <r>
    <x v="574"/>
    <x v="20"/>
    <s v="Israel"/>
    <x v="3"/>
    <n v="16"/>
    <n v="0.2"/>
    <n v="23"/>
    <x v="384"/>
    <x v="2"/>
    <x v="11"/>
    <x v="3"/>
    <n v="0"/>
    <x v="0"/>
  </r>
  <r>
    <x v="575"/>
    <x v="12"/>
    <s v="United States"/>
    <x v="11"/>
    <s v="NULL"/>
    <s v="NULL"/>
    <n v="254"/>
    <x v="384"/>
    <x v="2"/>
    <x v="11"/>
    <x v="4"/>
    <s v="NULL"/>
    <x v="1"/>
  </r>
  <r>
    <x v="576"/>
    <x v="2"/>
    <s v="Germany"/>
    <x v="0"/>
    <s v="NULL"/>
    <n v="0.1"/>
    <n v="158"/>
    <x v="384"/>
    <x v="2"/>
    <x v="11"/>
    <x v="4"/>
    <n v="0"/>
    <x v="0"/>
  </r>
  <r>
    <x v="577"/>
    <x v="24"/>
    <s v="United States"/>
    <x v="3"/>
    <s v="NULL"/>
    <s v="NULL"/>
    <n v="110"/>
    <x v="384"/>
    <x v="2"/>
    <x v="11"/>
    <x v="4"/>
    <s v="NULL"/>
    <x v="1"/>
  </r>
  <r>
    <x v="578"/>
    <x v="2"/>
    <s v="Canada"/>
    <x v="2"/>
    <s v="NULL"/>
    <n v="1"/>
    <n v="10"/>
    <x v="384"/>
    <x v="2"/>
    <x v="11"/>
    <x v="3"/>
    <n v="1"/>
    <x v="0"/>
  </r>
  <r>
    <x v="14"/>
    <x v="1"/>
    <s v="United States"/>
    <x v="0"/>
    <n v="100"/>
    <n v="0.06"/>
    <n v="455.2"/>
    <x v="385"/>
    <x v="2"/>
    <x v="11"/>
    <x v="4"/>
    <n v="0"/>
    <x v="0"/>
  </r>
  <r>
    <x v="579"/>
    <x v="5"/>
    <s v="United States"/>
    <x v="0"/>
    <n v="350"/>
    <s v="NULL"/>
    <s v="NULL"/>
    <x v="386"/>
    <x v="2"/>
    <x v="11"/>
    <x v="1"/>
    <s v="NULL"/>
    <x v="0"/>
  </r>
  <r>
    <x v="580"/>
    <x v="5"/>
    <s v="United States"/>
    <x v="2"/>
    <s v="NULL"/>
    <n v="1"/>
    <n v="90"/>
    <x v="386"/>
    <x v="2"/>
    <x v="11"/>
    <x v="3"/>
    <n v="1"/>
    <x v="0"/>
  </r>
  <r>
    <x v="581"/>
    <x v="21"/>
    <s v="Nigeria"/>
    <x v="1"/>
    <s v="NULL"/>
    <n v="1"/>
    <s v="NULL"/>
    <x v="386"/>
    <x v="2"/>
    <x v="11"/>
    <x v="1"/>
    <n v="1"/>
    <x v="0"/>
  </r>
  <r>
    <x v="582"/>
    <x v="14"/>
    <s v="United States"/>
    <x v="5"/>
    <s v="NULL"/>
    <n v="1"/>
    <n v="172"/>
    <x v="387"/>
    <x v="2"/>
    <x v="11"/>
    <x v="4"/>
    <n v="1"/>
    <x v="0"/>
  </r>
  <r>
    <x v="72"/>
    <x v="24"/>
    <s v="United States"/>
    <x v="0"/>
    <n v="5600"/>
    <n v="7.0000000000000007E-2"/>
    <n v="2"/>
    <x v="388"/>
    <x v="2"/>
    <x v="11"/>
    <x v="0"/>
    <n v="0"/>
    <x v="0"/>
  </r>
  <r>
    <x v="583"/>
    <x v="10"/>
    <s v="United States"/>
    <x v="4"/>
    <n v="100"/>
    <s v="NULL"/>
    <n v="667"/>
    <x v="388"/>
    <x v="2"/>
    <x v="11"/>
    <x v="4"/>
    <s v="NULL"/>
    <x v="0"/>
  </r>
  <r>
    <x v="584"/>
    <x v="8"/>
    <s v="United States"/>
    <x v="1"/>
    <n v="69"/>
    <s v="NULL"/>
    <n v="93"/>
    <x v="388"/>
    <x v="2"/>
    <x v="11"/>
    <x v="3"/>
    <s v="NULL"/>
    <x v="0"/>
  </r>
  <r>
    <x v="585"/>
    <x v="20"/>
    <s v="United States"/>
    <x v="3"/>
    <s v="NULL"/>
    <s v="NULL"/>
    <n v="41"/>
    <x v="388"/>
    <x v="2"/>
    <x v="11"/>
    <x v="3"/>
    <s v="NULL"/>
    <x v="1"/>
  </r>
  <r>
    <x v="586"/>
    <x v="0"/>
    <s v="United States"/>
    <x v="3"/>
    <n v="40"/>
    <s v="NULL"/>
    <n v="115"/>
    <x v="389"/>
    <x v="2"/>
    <x v="11"/>
    <x v="4"/>
    <s v="NULL"/>
    <x v="0"/>
  </r>
  <r>
    <x v="587"/>
    <x v="24"/>
    <s v="United States"/>
    <x v="0"/>
    <s v="NULL"/>
    <n v="0.11"/>
    <n v="219"/>
    <x v="389"/>
    <x v="2"/>
    <x v="11"/>
    <x v="4"/>
    <n v="0"/>
    <x v="0"/>
  </r>
  <r>
    <x v="120"/>
    <x v="1"/>
    <s v="United States"/>
    <x v="0"/>
    <n v="100"/>
    <n v="0.11"/>
    <n v="557"/>
    <x v="390"/>
    <x v="2"/>
    <x v="11"/>
    <x v="4"/>
    <n v="0"/>
    <x v="0"/>
  </r>
  <r>
    <x v="588"/>
    <x v="27"/>
    <s v="United States"/>
    <x v="0"/>
    <s v="NULL"/>
    <n v="0.15"/>
    <n v="952"/>
    <x v="390"/>
    <x v="2"/>
    <x v="11"/>
    <x v="4"/>
    <n v="0"/>
    <x v="0"/>
  </r>
  <r>
    <x v="589"/>
    <x v="4"/>
    <s v="United States"/>
    <x v="1"/>
    <n v="50"/>
    <n v="0.1"/>
    <n v="57"/>
    <x v="391"/>
    <x v="2"/>
    <x v="11"/>
    <x v="3"/>
    <n v="0"/>
    <x v="0"/>
  </r>
  <r>
    <x v="590"/>
    <x v="11"/>
    <s v="Kenya"/>
    <x v="3"/>
    <s v="NULL"/>
    <n v="1"/>
    <n v="6"/>
    <x v="391"/>
    <x v="2"/>
    <x v="11"/>
    <x v="0"/>
    <n v="1"/>
    <x v="0"/>
  </r>
  <r>
    <x v="591"/>
    <x v="6"/>
    <s v="United States"/>
    <x v="0"/>
    <s v="NULL"/>
    <n v="0.13"/>
    <s v="NULL"/>
    <x v="391"/>
    <x v="2"/>
    <x v="11"/>
    <x v="1"/>
    <n v="0"/>
    <x v="0"/>
  </r>
  <r>
    <x v="592"/>
    <x v="20"/>
    <s v="Germany"/>
    <x v="0"/>
    <n v="1400"/>
    <s v="NULL"/>
    <n v="1500"/>
    <x v="392"/>
    <x v="2"/>
    <x v="11"/>
    <x v="2"/>
    <s v="NULL"/>
    <x v="0"/>
  </r>
  <r>
    <x v="593"/>
    <x v="1"/>
    <s v="United States"/>
    <x v="3"/>
    <n v="85"/>
    <n v="0.1"/>
    <n v="652"/>
    <x v="392"/>
    <x v="2"/>
    <x v="11"/>
    <x v="4"/>
    <n v="0"/>
    <x v="0"/>
  </r>
  <r>
    <x v="150"/>
    <x v="12"/>
    <s v="United States"/>
    <x v="0"/>
    <s v="NULL"/>
    <s v="NULL"/>
    <s v="NULL"/>
    <x v="392"/>
    <x v="2"/>
    <x v="11"/>
    <x v="1"/>
    <s v="NULL"/>
    <x v="1"/>
  </r>
  <r>
    <x v="433"/>
    <x v="10"/>
    <s v="India"/>
    <x v="7"/>
    <n v="30"/>
    <n v="0.05"/>
    <n v="222"/>
    <x v="393"/>
    <x v="2"/>
    <x v="11"/>
    <x v="4"/>
    <n v="0"/>
    <x v="0"/>
  </r>
  <r>
    <x v="314"/>
    <x v="12"/>
    <s v="United States"/>
    <x v="0"/>
    <n v="15000"/>
    <n v="0.15"/>
    <n v="12"/>
    <x v="394"/>
    <x v="2"/>
    <x v="11"/>
    <x v="3"/>
    <n v="0"/>
    <x v="0"/>
  </r>
  <r>
    <x v="493"/>
    <x v="0"/>
    <s v="United States"/>
    <x v="0"/>
    <n v="180"/>
    <n v="0.03"/>
    <n v="700"/>
    <x v="394"/>
    <x v="2"/>
    <x v="11"/>
    <x v="4"/>
    <n v="0"/>
    <x v="0"/>
  </r>
  <r>
    <x v="594"/>
    <x v="11"/>
    <s v="United States"/>
    <x v="7"/>
    <s v="NULL"/>
    <s v="NULL"/>
    <n v="329"/>
    <x v="394"/>
    <x v="2"/>
    <x v="11"/>
    <x v="4"/>
    <s v="NULL"/>
    <x v="1"/>
  </r>
  <r>
    <x v="11"/>
    <x v="1"/>
    <s v="United States"/>
    <x v="1"/>
    <n v="220"/>
    <n v="0.17"/>
    <n v="100"/>
    <x v="395"/>
    <x v="2"/>
    <x v="0"/>
    <x v="4"/>
    <n v="0"/>
    <x v="0"/>
  </r>
  <r>
    <x v="595"/>
    <x v="18"/>
    <s v="Germany"/>
    <x v="0"/>
    <n v="200"/>
    <s v="NULL"/>
    <n v="9900"/>
    <x v="395"/>
    <x v="2"/>
    <x v="0"/>
    <x v="2"/>
    <s v="NULL"/>
    <x v="0"/>
  </r>
  <r>
    <x v="343"/>
    <x v="1"/>
    <s v="United States"/>
    <x v="0"/>
    <s v="NULL"/>
    <n v="0.06"/>
    <s v="NULL"/>
    <x v="395"/>
    <x v="2"/>
    <x v="0"/>
    <x v="1"/>
    <n v="0"/>
    <x v="0"/>
  </r>
  <r>
    <x v="596"/>
    <x v="14"/>
    <s v="United States"/>
    <x v="0"/>
    <s v="NULL"/>
    <n v="0.15"/>
    <n v="105"/>
    <x v="396"/>
    <x v="2"/>
    <x v="0"/>
    <x v="4"/>
    <n v="0"/>
    <x v="0"/>
  </r>
  <r>
    <x v="597"/>
    <x v="26"/>
    <s v="United States"/>
    <x v="3"/>
    <n v="248"/>
    <n v="1"/>
    <n v="124"/>
    <x v="397"/>
    <x v="2"/>
    <x v="0"/>
    <x v="4"/>
    <n v="1"/>
    <x v="0"/>
  </r>
  <r>
    <x v="598"/>
    <x v="5"/>
    <s v="Israel"/>
    <x v="3"/>
    <s v="NULL"/>
    <s v="NULL"/>
    <n v="86"/>
    <x v="398"/>
    <x v="2"/>
    <x v="0"/>
    <x v="3"/>
    <s v="NULL"/>
    <x v="1"/>
  </r>
  <r>
    <x v="92"/>
    <x v="4"/>
    <s v="India"/>
    <x v="7"/>
    <n v="200"/>
    <s v="NULL"/>
    <n v="212"/>
    <x v="399"/>
    <x v="2"/>
    <x v="0"/>
    <x v="4"/>
    <s v="NULL"/>
    <x v="0"/>
  </r>
  <r>
    <x v="599"/>
    <x v="18"/>
    <s v="India"/>
    <x v="3"/>
    <n v="200"/>
    <s v="NULL"/>
    <n v="363"/>
    <x v="400"/>
    <x v="2"/>
    <x v="0"/>
    <x v="4"/>
    <s v="NULL"/>
    <x v="0"/>
  </r>
  <r>
    <x v="59"/>
    <x v="10"/>
    <s v="United States"/>
    <x v="5"/>
    <s v="NULL"/>
    <n v="0.08"/>
    <n v="335"/>
    <x v="401"/>
    <x v="2"/>
    <x v="0"/>
    <x v="4"/>
    <n v="0"/>
    <x v="0"/>
  </r>
  <r>
    <x v="600"/>
    <x v="4"/>
    <s v="United States"/>
    <x v="1"/>
    <n v="36"/>
    <n v="1"/>
    <n v="4"/>
    <x v="402"/>
    <x v="2"/>
    <x v="0"/>
    <x v="0"/>
    <n v="1"/>
    <x v="0"/>
  </r>
  <r>
    <x v="601"/>
    <x v="17"/>
    <s v="Canada"/>
    <x v="7"/>
    <n v="20"/>
    <n v="0.05"/>
    <n v="935"/>
    <x v="402"/>
    <x v="2"/>
    <x v="0"/>
    <x v="4"/>
    <n v="0"/>
    <x v="0"/>
  </r>
  <r>
    <x v="602"/>
    <x v="21"/>
    <s v="India"/>
    <x v="6"/>
    <s v="NULL"/>
    <n v="1"/>
    <n v="4"/>
    <x v="403"/>
    <x v="2"/>
    <x v="0"/>
    <x v="0"/>
    <n v="1"/>
    <x v="0"/>
  </r>
  <r>
    <x v="603"/>
    <x v="1"/>
    <s v="United States"/>
    <x v="11"/>
    <n v="75"/>
    <s v="NULL"/>
    <n v="4100"/>
    <x v="404"/>
    <x v="2"/>
    <x v="0"/>
    <x v="2"/>
    <s v="NULL"/>
    <x v="0"/>
  </r>
  <r>
    <x v="604"/>
    <x v="2"/>
    <s v="United States"/>
    <x v="10"/>
    <s v="NULL"/>
    <n v="0.5"/>
    <s v="NULL"/>
    <x v="404"/>
    <x v="2"/>
    <x v="0"/>
    <x v="1"/>
    <n v="0"/>
    <x v="0"/>
  </r>
  <r>
    <x v="234"/>
    <x v="3"/>
    <s v="United States"/>
    <x v="11"/>
    <n v="50"/>
    <n v="0.1"/>
    <n v="325"/>
    <x v="405"/>
    <x v="2"/>
    <x v="0"/>
    <x v="4"/>
    <n v="0"/>
    <x v="0"/>
  </r>
  <r>
    <x v="605"/>
    <x v="3"/>
    <s v="Israel"/>
    <x v="3"/>
    <n v="16"/>
    <n v="0.1"/>
    <n v="61"/>
    <x v="405"/>
    <x v="2"/>
    <x v="0"/>
    <x v="3"/>
    <n v="0"/>
    <x v="0"/>
  </r>
  <r>
    <x v="606"/>
    <x v="1"/>
    <s v="United States"/>
    <x v="6"/>
    <s v="NULL"/>
    <s v="NULL"/>
    <n v="7"/>
    <x v="405"/>
    <x v="2"/>
    <x v="0"/>
    <x v="0"/>
    <s v="NULL"/>
    <x v="1"/>
  </r>
  <r>
    <x v="607"/>
    <x v="2"/>
    <s v="United States"/>
    <x v="3"/>
    <n v="60"/>
    <n v="1"/>
    <n v="81"/>
    <x v="406"/>
    <x v="2"/>
    <x v="0"/>
    <x v="3"/>
    <n v="1"/>
    <x v="0"/>
  </r>
  <r>
    <x v="608"/>
    <x v="3"/>
    <s v="United States"/>
    <x v="9"/>
    <s v="NULL"/>
    <s v="NULL"/>
    <s v="NULL"/>
    <x v="406"/>
    <x v="2"/>
    <x v="0"/>
    <x v="1"/>
    <s v="NULL"/>
    <x v="1"/>
  </r>
  <r>
    <x v="609"/>
    <x v="10"/>
    <s v="Canada"/>
    <x v="1"/>
    <s v="NULL"/>
    <s v="NULL"/>
    <n v="39"/>
    <x v="406"/>
    <x v="2"/>
    <x v="0"/>
    <x v="3"/>
    <s v="NULL"/>
    <x v="1"/>
  </r>
  <r>
    <x v="442"/>
    <x v="26"/>
    <s v="Israel"/>
    <x v="0"/>
    <n v="400"/>
    <s v="NULL"/>
    <n v="155"/>
    <x v="407"/>
    <x v="2"/>
    <x v="0"/>
    <x v="4"/>
    <s v="NULL"/>
    <x v="0"/>
  </r>
  <r>
    <x v="38"/>
    <x v="19"/>
    <s v="United States"/>
    <x v="0"/>
    <n v="300"/>
    <s v="NULL"/>
    <n v="65"/>
    <x v="407"/>
    <x v="2"/>
    <x v="0"/>
    <x v="3"/>
    <s v="NULL"/>
    <x v="0"/>
  </r>
  <r>
    <x v="145"/>
    <x v="4"/>
    <s v="Sweden"/>
    <x v="0"/>
    <n v="40"/>
    <s v="NULL"/>
    <n v="2100"/>
    <x v="407"/>
    <x v="2"/>
    <x v="0"/>
    <x v="2"/>
    <s v="NULL"/>
    <x v="0"/>
  </r>
  <r>
    <x v="610"/>
    <x v="14"/>
    <s v="Pakistan"/>
    <x v="1"/>
    <s v="NULL"/>
    <n v="0.3"/>
    <n v="20"/>
    <x v="408"/>
    <x v="2"/>
    <x v="0"/>
    <x v="3"/>
    <n v="0"/>
    <x v="0"/>
  </r>
  <r>
    <x v="611"/>
    <x v="16"/>
    <s v="United States"/>
    <x v="9"/>
    <s v="NULL"/>
    <s v="NULL"/>
    <s v="NULL"/>
    <x v="409"/>
    <x v="2"/>
    <x v="0"/>
    <x v="1"/>
    <s v="NULL"/>
    <x v="1"/>
  </r>
  <r>
    <x v="66"/>
    <x v="14"/>
    <s v="United States"/>
    <x v="0"/>
    <n v="1800"/>
    <n v="0.1"/>
    <n v="18"/>
    <x v="410"/>
    <x v="2"/>
    <x v="0"/>
    <x v="3"/>
    <n v="0"/>
    <x v="0"/>
  </r>
  <r>
    <x v="612"/>
    <x v="4"/>
    <s v="United States"/>
    <x v="1"/>
    <n v="1000"/>
    <n v="1"/>
    <n v="51"/>
    <x v="410"/>
    <x v="2"/>
    <x v="0"/>
    <x v="3"/>
    <n v="1"/>
    <x v="0"/>
  </r>
  <r>
    <x v="613"/>
    <x v="3"/>
    <s v="United States"/>
    <x v="10"/>
    <s v="NULL"/>
    <n v="7.0000000000000007E-2"/>
    <s v="NULL"/>
    <x v="410"/>
    <x v="2"/>
    <x v="0"/>
    <x v="1"/>
    <n v="0"/>
    <x v="0"/>
  </r>
  <r>
    <x v="614"/>
    <x v="0"/>
    <s v="United States"/>
    <x v="0"/>
    <n v="420"/>
    <n v="0.1"/>
    <n v="2000"/>
    <x v="411"/>
    <x v="2"/>
    <x v="0"/>
    <x v="2"/>
    <n v="0"/>
    <x v="0"/>
  </r>
  <r>
    <x v="114"/>
    <x v="7"/>
    <s v="United States"/>
    <x v="3"/>
    <n v="2200"/>
    <n v="0.14000000000000001"/>
    <s v="NULL"/>
    <x v="412"/>
    <x v="2"/>
    <x v="0"/>
    <x v="1"/>
    <n v="0"/>
    <x v="0"/>
  </r>
  <r>
    <x v="144"/>
    <x v="6"/>
    <s v="Canada"/>
    <x v="0"/>
    <n v="1200"/>
    <n v="0.02"/>
    <n v="1100"/>
    <x v="412"/>
    <x v="2"/>
    <x v="0"/>
    <x v="2"/>
    <n v="0"/>
    <x v="0"/>
  </r>
  <r>
    <x v="0"/>
    <x v="0"/>
    <s v="United States"/>
    <x v="0"/>
    <s v="NULL"/>
    <s v="NULL"/>
    <n v="1"/>
    <x v="412"/>
    <x v="2"/>
    <x v="0"/>
    <x v="0"/>
    <s v="NULL"/>
    <x v="1"/>
  </r>
  <r>
    <x v="615"/>
    <x v="21"/>
    <s v="India"/>
    <x v="13"/>
    <n v="250"/>
    <s v="NULL"/>
    <n v="838"/>
    <x v="413"/>
    <x v="2"/>
    <x v="0"/>
    <x v="4"/>
    <s v="NULL"/>
    <x v="0"/>
  </r>
  <r>
    <x v="616"/>
    <x v="1"/>
    <s v="India"/>
    <x v="3"/>
    <s v="NULL"/>
    <n v="1"/>
    <n v="51"/>
    <x v="413"/>
    <x v="2"/>
    <x v="0"/>
    <x v="3"/>
    <n v="1"/>
    <x v="0"/>
  </r>
  <r>
    <x v="52"/>
    <x v="1"/>
    <s v="Israel"/>
    <x v="7"/>
    <n v="70"/>
    <n v="0.12"/>
    <n v="335"/>
    <x v="414"/>
    <x v="2"/>
    <x v="0"/>
    <x v="4"/>
    <n v="0"/>
    <x v="0"/>
  </r>
  <r>
    <x v="617"/>
    <x v="18"/>
    <s v="United States"/>
    <x v="3"/>
    <n v="26"/>
    <s v="NULL"/>
    <n v="598"/>
    <x v="414"/>
    <x v="2"/>
    <x v="0"/>
    <x v="4"/>
    <s v="NULL"/>
    <x v="0"/>
  </r>
  <r>
    <x v="618"/>
    <x v="12"/>
    <s v="Israel"/>
    <x v="3"/>
    <n v="20"/>
    <n v="0.33"/>
    <n v="61"/>
    <x v="414"/>
    <x v="2"/>
    <x v="0"/>
    <x v="3"/>
    <n v="0"/>
    <x v="0"/>
  </r>
  <r>
    <x v="451"/>
    <x v="6"/>
    <s v="Sweden"/>
    <x v="0"/>
    <s v="NULL"/>
    <s v="NULL"/>
    <n v="17"/>
    <x v="414"/>
    <x v="2"/>
    <x v="0"/>
    <x v="3"/>
    <s v="NULL"/>
    <x v="1"/>
  </r>
  <r>
    <x v="619"/>
    <x v="11"/>
    <s v="Singapore"/>
    <x v="11"/>
    <s v="NULL"/>
    <n v="0.05"/>
    <n v="974"/>
    <x v="414"/>
    <x v="2"/>
    <x v="0"/>
    <x v="4"/>
    <n v="0"/>
    <x v="0"/>
  </r>
  <r>
    <x v="620"/>
    <x v="13"/>
    <s v="United States"/>
    <x v="1"/>
    <n v="103"/>
    <n v="7.0000000000000007E-2"/>
    <n v="77"/>
    <x v="415"/>
    <x v="2"/>
    <x v="1"/>
    <x v="3"/>
    <n v="0"/>
    <x v="0"/>
  </r>
  <r>
    <x v="621"/>
    <x v="16"/>
    <s v="United States"/>
    <x v="1"/>
    <n v="260"/>
    <n v="0.04"/>
    <n v="105"/>
    <x v="416"/>
    <x v="2"/>
    <x v="1"/>
    <x v="4"/>
    <n v="0"/>
    <x v="0"/>
  </r>
  <r>
    <x v="622"/>
    <x v="29"/>
    <s v="United States"/>
    <x v="0"/>
    <n v="180"/>
    <n v="0.17"/>
    <n v="574"/>
    <x v="417"/>
    <x v="2"/>
    <x v="1"/>
    <x v="4"/>
    <n v="0"/>
    <x v="0"/>
  </r>
  <r>
    <x v="597"/>
    <x v="26"/>
    <s v="United States"/>
    <x v="3"/>
    <n v="101"/>
    <s v="NULL"/>
    <n v="124"/>
    <x v="417"/>
    <x v="2"/>
    <x v="1"/>
    <x v="4"/>
    <s v="NULL"/>
    <x v="0"/>
  </r>
  <r>
    <x v="168"/>
    <x v="2"/>
    <s v="Israel"/>
    <x v="0"/>
    <s v="NULL"/>
    <s v="NULL"/>
    <n v="1200"/>
    <x v="417"/>
    <x v="2"/>
    <x v="1"/>
    <x v="2"/>
    <s v="NULL"/>
    <x v="1"/>
  </r>
  <r>
    <x v="623"/>
    <x v="10"/>
    <s v="Israel"/>
    <x v="0"/>
    <n v="35"/>
    <n v="0.05"/>
    <n v="76"/>
    <x v="418"/>
    <x v="2"/>
    <x v="1"/>
    <x v="3"/>
    <n v="0"/>
    <x v="0"/>
  </r>
  <r>
    <x v="624"/>
    <x v="1"/>
    <s v="France"/>
    <x v="1"/>
    <s v="NULL"/>
    <s v="NULL"/>
    <s v="NULL"/>
    <x v="418"/>
    <x v="2"/>
    <x v="1"/>
    <x v="1"/>
    <s v="NULL"/>
    <x v="1"/>
  </r>
  <r>
    <x v="625"/>
    <x v="14"/>
    <s v="Nigeria"/>
    <x v="3"/>
    <n v="30"/>
    <n v="0.03"/>
    <n v="509"/>
    <x v="419"/>
    <x v="2"/>
    <x v="1"/>
    <x v="4"/>
    <n v="0"/>
    <x v="0"/>
  </r>
  <r>
    <x v="626"/>
    <x v="5"/>
    <s v="United States"/>
    <x v="0"/>
    <s v="NULL"/>
    <s v="NULL"/>
    <n v="1600"/>
    <x v="419"/>
    <x v="2"/>
    <x v="1"/>
    <x v="2"/>
    <s v="NULL"/>
    <x v="1"/>
  </r>
  <r>
    <x v="627"/>
    <x v="14"/>
    <s v="Germany"/>
    <x v="3"/>
    <s v="NULL"/>
    <s v="NULL"/>
    <n v="1300"/>
    <x v="420"/>
    <x v="2"/>
    <x v="1"/>
    <x v="2"/>
    <s v="NULL"/>
    <x v="1"/>
  </r>
  <r>
    <x v="626"/>
    <x v="5"/>
    <s v="United States"/>
    <x v="0"/>
    <n v="400"/>
    <n v="0.35"/>
    <n v="1600"/>
    <x v="421"/>
    <x v="2"/>
    <x v="1"/>
    <x v="2"/>
    <n v="0"/>
    <x v="0"/>
  </r>
  <r>
    <x v="456"/>
    <x v="14"/>
    <s v="Israel"/>
    <x v="3"/>
    <s v="NULL"/>
    <s v="NULL"/>
    <n v="769"/>
    <x v="421"/>
    <x v="2"/>
    <x v="1"/>
    <x v="4"/>
    <s v="NULL"/>
    <x v="1"/>
  </r>
  <r>
    <x v="568"/>
    <x v="18"/>
    <s v="India"/>
    <x v="3"/>
    <s v="NULL"/>
    <n v="0.8"/>
    <n v="54"/>
    <x v="421"/>
    <x v="2"/>
    <x v="1"/>
    <x v="3"/>
    <n v="0"/>
    <x v="0"/>
  </r>
  <r>
    <x v="628"/>
    <x v="2"/>
    <s v="Germany"/>
    <x v="1"/>
    <n v="200"/>
    <n v="0.18"/>
    <s v="NULL"/>
    <x v="422"/>
    <x v="2"/>
    <x v="1"/>
    <x v="1"/>
    <n v="0"/>
    <x v="0"/>
  </r>
  <r>
    <x v="629"/>
    <x v="11"/>
    <s v="Israel"/>
    <x v="1"/>
    <n v="20"/>
    <n v="0.1"/>
    <n v="131"/>
    <x v="422"/>
    <x v="2"/>
    <x v="1"/>
    <x v="4"/>
    <n v="0"/>
    <x v="0"/>
  </r>
  <r>
    <x v="630"/>
    <x v="14"/>
    <s v="United States"/>
    <x v="0"/>
    <n v="375"/>
    <n v="0.05"/>
    <n v="400"/>
    <x v="423"/>
    <x v="2"/>
    <x v="1"/>
    <x v="4"/>
    <n v="0"/>
    <x v="0"/>
  </r>
  <r>
    <x v="96"/>
    <x v="14"/>
    <s v="United States"/>
    <x v="0"/>
    <n v="85"/>
    <s v="NULL"/>
    <n v="216"/>
    <x v="423"/>
    <x v="2"/>
    <x v="1"/>
    <x v="4"/>
    <s v="NULL"/>
    <x v="0"/>
  </r>
  <r>
    <x v="57"/>
    <x v="14"/>
    <s v="Israel"/>
    <x v="3"/>
    <n v="30"/>
    <s v="NULL"/>
    <n v="770"/>
    <x v="423"/>
    <x v="2"/>
    <x v="1"/>
    <x v="4"/>
    <s v="NULL"/>
    <x v="0"/>
  </r>
  <r>
    <x v="631"/>
    <x v="14"/>
    <s v="United States"/>
    <x v="13"/>
    <n v="16"/>
    <s v="NULL"/>
    <n v="537"/>
    <x v="423"/>
    <x v="2"/>
    <x v="1"/>
    <x v="4"/>
    <s v="NULL"/>
    <x v="0"/>
  </r>
  <r>
    <x v="632"/>
    <x v="11"/>
    <s v="United States"/>
    <x v="0"/>
    <s v="NULL"/>
    <n v="1"/>
    <n v="1700"/>
    <x v="423"/>
    <x v="2"/>
    <x v="1"/>
    <x v="2"/>
    <n v="1"/>
    <x v="0"/>
  </r>
  <r>
    <x v="254"/>
    <x v="21"/>
    <s v="United States"/>
    <x v="0"/>
    <n v="441"/>
    <n v="0.23"/>
    <n v="227"/>
    <x v="424"/>
    <x v="2"/>
    <x v="1"/>
    <x v="4"/>
    <n v="0"/>
    <x v="0"/>
  </r>
  <r>
    <x v="633"/>
    <x v="24"/>
    <s v="United States"/>
    <x v="2"/>
    <s v="NULL"/>
    <n v="1"/>
    <n v="396"/>
    <x v="424"/>
    <x v="2"/>
    <x v="1"/>
    <x v="4"/>
    <n v="1"/>
    <x v="0"/>
  </r>
  <r>
    <x v="634"/>
    <x v="14"/>
    <s v="United States"/>
    <x v="5"/>
    <s v="NULL"/>
    <n v="0.15"/>
    <n v="170"/>
    <x v="424"/>
    <x v="2"/>
    <x v="1"/>
    <x v="4"/>
    <n v="0"/>
    <x v="0"/>
  </r>
  <r>
    <x v="572"/>
    <x v="14"/>
    <s v="United States"/>
    <x v="8"/>
    <n v="23"/>
    <n v="0.77"/>
    <n v="34"/>
    <x v="425"/>
    <x v="2"/>
    <x v="1"/>
    <x v="3"/>
    <n v="0"/>
    <x v="0"/>
  </r>
  <r>
    <x v="635"/>
    <x v="5"/>
    <s v="United States"/>
    <x v="1"/>
    <n v="143"/>
    <n v="1"/>
    <n v="83"/>
    <x v="426"/>
    <x v="2"/>
    <x v="1"/>
    <x v="3"/>
    <n v="1"/>
    <x v="0"/>
  </r>
  <r>
    <x v="636"/>
    <x v="26"/>
    <s v="United States"/>
    <x v="2"/>
    <s v="NULL"/>
    <n v="1"/>
    <n v="54"/>
    <x v="426"/>
    <x v="2"/>
    <x v="1"/>
    <x v="3"/>
    <n v="1"/>
    <x v="0"/>
  </r>
  <r>
    <x v="637"/>
    <x v="29"/>
    <s v="Uruguay"/>
    <x v="0"/>
    <n v="70"/>
    <n v="0.3"/>
    <n v="424"/>
    <x v="427"/>
    <x v="2"/>
    <x v="1"/>
    <x v="4"/>
    <n v="0"/>
    <x v="0"/>
  </r>
  <r>
    <x v="638"/>
    <x v="22"/>
    <s v="United States"/>
    <x v="2"/>
    <n v="11"/>
    <s v="NULL"/>
    <n v="54"/>
    <x v="427"/>
    <x v="2"/>
    <x v="1"/>
    <x v="3"/>
    <s v="NULL"/>
    <x v="0"/>
  </r>
  <r>
    <x v="255"/>
    <x v="5"/>
    <s v="United States"/>
    <x v="0"/>
    <s v="NULL"/>
    <s v="NULL"/>
    <n v="5900"/>
    <x v="428"/>
    <x v="2"/>
    <x v="1"/>
    <x v="2"/>
    <s v="NULL"/>
    <x v="1"/>
  </r>
  <r>
    <x v="514"/>
    <x v="1"/>
    <s v="Indonesia"/>
    <x v="3"/>
    <n v="450"/>
    <s v="NULL"/>
    <n v="9400"/>
    <x v="429"/>
    <x v="2"/>
    <x v="1"/>
    <x v="2"/>
    <s v="NULL"/>
    <x v="0"/>
  </r>
  <r>
    <x v="639"/>
    <x v="9"/>
    <s v="United States"/>
    <x v="3"/>
    <n v="65"/>
    <n v="0.2"/>
    <n v="543"/>
    <x v="429"/>
    <x v="2"/>
    <x v="1"/>
    <x v="4"/>
    <n v="0"/>
    <x v="0"/>
  </r>
  <r>
    <x v="640"/>
    <x v="18"/>
    <s v="United States"/>
    <x v="8"/>
    <s v="NULL"/>
    <n v="1"/>
    <n v="39"/>
    <x v="429"/>
    <x v="2"/>
    <x v="1"/>
    <x v="3"/>
    <n v="1"/>
    <x v="0"/>
  </r>
  <r>
    <x v="641"/>
    <x v="1"/>
    <s v="United States"/>
    <x v="7"/>
    <s v="NULL"/>
    <n v="0.3"/>
    <n v="95"/>
    <x v="429"/>
    <x v="2"/>
    <x v="1"/>
    <x v="3"/>
    <n v="0"/>
    <x v="0"/>
  </r>
  <r>
    <x v="642"/>
    <x v="2"/>
    <s v="Germany"/>
    <x v="10"/>
    <s v="NULL"/>
    <n v="1"/>
    <s v="NULL"/>
    <x v="430"/>
    <x v="2"/>
    <x v="1"/>
    <x v="1"/>
    <n v="1"/>
    <x v="0"/>
  </r>
  <r>
    <x v="37"/>
    <x v="14"/>
    <s v="India"/>
    <x v="10"/>
    <n v="3500"/>
    <s v="NULL"/>
    <s v="NULL"/>
    <x v="431"/>
    <x v="2"/>
    <x v="1"/>
    <x v="1"/>
    <s v="NULL"/>
    <x v="0"/>
  </r>
  <r>
    <x v="643"/>
    <x v="0"/>
    <s v="India"/>
    <x v="3"/>
    <n v="45"/>
    <n v="0.11"/>
    <n v="1"/>
    <x v="431"/>
    <x v="2"/>
    <x v="1"/>
    <x v="0"/>
    <n v="0"/>
    <x v="0"/>
  </r>
  <r>
    <x v="644"/>
    <x v="2"/>
    <s v="Kenya"/>
    <x v="5"/>
    <n v="1060"/>
    <s v="NULL"/>
    <n v="103"/>
    <x v="432"/>
    <x v="2"/>
    <x v="1"/>
    <x v="4"/>
    <s v="NULL"/>
    <x v="0"/>
  </r>
  <r>
    <x v="645"/>
    <x v="11"/>
    <s v="United States"/>
    <x v="3"/>
    <n v="1000"/>
    <s v="NULL"/>
    <n v="214"/>
    <x v="432"/>
    <x v="2"/>
    <x v="1"/>
    <x v="4"/>
    <s v="NULL"/>
    <x v="0"/>
  </r>
  <r>
    <x v="267"/>
    <x v="14"/>
    <s v="India"/>
    <x v="2"/>
    <n v="30"/>
    <s v="NULL"/>
    <n v="72"/>
    <x v="432"/>
    <x v="2"/>
    <x v="1"/>
    <x v="3"/>
    <s v="NULL"/>
    <x v="0"/>
  </r>
  <r>
    <x v="646"/>
    <x v="18"/>
    <s v="Norway"/>
    <x v="3"/>
    <n v="150"/>
    <s v="NULL"/>
    <n v="691"/>
    <x v="433"/>
    <x v="2"/>
    <x v="1"/>
    <x v="4"/>
    <s v="NULL"/>
    <x v="0"/>
  </r>
  <r>
    <x v="647"/>
    <x v="14"/>
    <s v="Israel"/>
    <x v="0"/>
    <n v="100"/>
    <n v="0.2"/>
    <n v="2000"/>
    <x v="433"/>
    <x v="2"/>
    <x v="1"/>
    <x v="2"/>
    <n v="0"/>
    <x v="0"/>
  </r>
  <r>
    <x v="50"/>
    <x v="18"/>
    <s v="Israel"/>
    <x v="3"/>
    <n v="30"/>
    <n v="0.3"/>
    <n v="119"/>
    <x v="433"/>
    <x v="2"/>
    <x v="1"/>
    <x v="4"/>
    <n v="0"/>
    <x v="0"/>
  </r>
  <r>
    <x v="648"/>
    <x v="9"/>
    <s v="United States"/>
    <x v="3"/>
    <n v="30"/>
    <n v="0.1"/>
    <n v="651"/>
    <x v="433"/>
    <x v="2"/>
    <x v="1"/>
    <x v="4"/>
    <n v="0"/>
    <x v="0"/>
  </r>
  <r>
    <x v="649"/>
    <x v="10"/>
    <s v="United States"/>
    <x v="0"/>
    <s v="NULL"/>
    <n v="0.12"/>
    <n v="117"/>
    <x v="433"/>
    <x v="2"/>
    <x v="1"/>
    <x v="4"/>
    <n v="0"/>
    <x v="0"/>
  </r>
  <r>
    <x v="0"/>
    <x v="0"/>
    <s v="United States"/>
    <x v="0"/>
    <n v="1000"/>
    <s v="NULL"/>
    <n v="1"/>
    <x v="434"/>
    <x v="2"/>
    <x v="1"/>
    <x v="0"/>
    <s v="NULL"/>
    <x v="0"/>
  </r>
  <r>
    <x v="598"/>
    <x v="5"/>
    <s v="Israel"/>
    <x v="3"/>
    <n v="100"/>
    <n v="0.5"/>
    <n v="86"/>
    <x v="434"/>
    <x v="2"/>
    <x v="1"/>
    <x v="3"/>
    <n v="0"/>
    <x v="0"/>
  </r>
  <r>
    <x v="45"/>
    <x v="1"/>
    <s v="United States"/>
    <x v="0"/>
    <n v="100"/>
    <s v="NULL"/>
    <n v="26"/>
    <x v="435"/>
    <x v="2"/>
    <x v="2"/>
    <x v="3"/>
    <s v="NULL"/>
    <x v="0"/>
  </r>
  <r>
    <x v="650"/>
    <x v="14"/>
    <s v="United States"/>
    <x v="2"/>
    <n v="40"/>
    <s v="NULL"/>
    <n v="67"/>
    <x v="435"/>
    <x v="2"/>
    <x v="2"/>
    <x v="3"/>
    <s v="NULL"/>
    <x v="0"/>
  </r>
  <r>
    <x v="651"/>
    <x v="18"/>
    <s v="United States"/>
    <x v="2"/>
    <s v="NULL"/>
    <n v="0.1"/>
    <n v="118"/>
    <x v="435"/>
    <x v="2"/>
    <x v="2"/>
    <x v="4"/>
    <n v="0"/>
    <x v="0"/>
  </r>
  <r>
    <x v="652"/>
    <x v="5"/>
    <s v="United States"/>
    <x v="8"/>
    <s v="NULL"/>
    <s v="NULL"/>
    <n v="32"/>
    <x v="435"/>
    <x v="2"/>
    <x v="2"/>
    <x v="3"/>
    <s v="NULL"/>
    <x v="1"/>
  </r>
  <r>
    <x v="653"/>
    <x v="13"/>
    <s v="United States"/>
    <x v="1"/>
    <n v="73"/>
    <s v="NULL"/>
    <n v="3"/>
    <x v="436"/>
    <x v="2"/>
    <x v="2"/>
    <x v="0"/>
    <s v="NULL"/>
    <x v="0"/>
  </r>
  <r>
    <x v="654"/>
    <x v="24"/>
    <s v="United States"/>
    <x v="3"/>
    <n v="33"/>
    <n v="7.0000000000000007E-2"/>
    <s v="NULL"/>
    <x v="436"/>
    <x v="2"/>
    <x v="2"/>
    <x v="1"/>
    <n v="0"/>
    <x v="0"/>
  </r>
  <r>
    <x v="655"/>
    <x v="19"/>
    <s v="United States"/>
    <x v="2"/>
    <n v="15"/>
    <n v="0.2"/>
    <n v="56"/>
    <x v="437"/>
    <x v="2"/>
    <x v="2"/>
    <x v="3"/>
    <n v="0"/>
    <x v="0"/>
  </r>
  <r>
    <x v="632"/>
    <x v="11"/>
    <s v="United States"/>
    <x v="0"/>
    <s v="NULL"/>
    <s v="NULL"/>
    <n v="1700"/>
    <x v="437"/>
    <x v="2"/>
    <x v="2"/>
    <x v="2"/>
    <s v="NULL"/>
    <x v="1"/>
  </r>
  <r>
    <x v="656"/>
    <x v="14"/>
    <s v="United Kingdom"/>
    <x v="0"/>
    <s v="NULL"/>
    <s v="NULL"/>
    <n v="746"/>
    <x v="437"/>
    <x v="2"/>
    <x v="2"/>
    <x v="4"/>
    <s v="NULL"/>
    <x v="1"/>
  </r>
  <r>
    <x v="657"/>
    <x v="18"/>
    <s v="Spain"/>
    <x v="1"/>
    <n v="22"/>
    <s v="NULL"/>
    <n v="1200"/>
    <x v="438"/>
    <x v="2"/>
    <x v="2"/>
    <x v="2"/>
    <s v="NULL"/>
    <x v="0"/>
  </r>
  <r>
    <x v="21"/>
    <x v="11"/>
    <s v="United States"/>
    <x v="0"/>
    <n v="400"/>
    <n v="0.06"/>
    <n v="8300"/>
    <x v="439"/>
    <x v="2"/>
    <x v="2"/>
    <x v="2"/>
    <n v="0"/>
    <x v="0"/>
  </r>
  <r>
    <x v="637"/>
    <x v="29"/>
    <s v="Uruguay"/>
    <x v="0"/>
    <n v="34"/>
    <n v="0.13"/>
    <n v="424"/>
    <x v="439"/>
    <x v="2"/>
    <x v="2"/>
    <x v="4"/>
    <n v="0"/>
    <x v="0"/>
  </r>
  <r>
    <x v="658"/>
    <x v="10"/>
    <s v="United States"/>
    <x v="12"/>
    <n v="105"/>
    <n v="0.25"/>
    <n v="390"/>
    <x v="440"/>
    <x v="2"/>
    <x v="2"/>
    <x v="4"/>
    <n v="0"/>
    <x v="0"/>
  </r>
  <r>
    <x v="659"/>
    <x v="21"/>
    <s v="United States"/>
    <x v="4"/>
    <n v="300"/>
    <n v="0.25"/>
    <n v="643"/>
    <x v="441"/>
    <x v="2"/>
    <x v="2"/>
    <x v="4"/>
    <n v="0"/>
    <x v="0"/>
  </r>
  <r>
    <x v="660"/>
    <x v="5"/>
    <s v="United States"/>
    <x v="0"/>
    <n v="180"/>
    <n v="1"/>
    <n v="899"/>
    <x v="441"/>
    <x v="2"/>
    <x v="2"/>
    <x v="4"/>
    <n v="1"/>
    <x v="0"/>
  </r>
  <r>
    <x v="661"/>
    <x v="18"/>
    <s v="United States"/>
    <x v="5"/>
    <s v="NULL"/>
    <n v="0.3"/>
    <n v="272"/>
    <x v="441"/>
    <x v="2"/>
    <x v="2"/>
    <x v="4"/>
    <n v="0"/>
    <x v="0"/>
  </r>
  <r>
    <x v="1"/>
    <x v="1"/>
    <s v="United States"/>
    <x v="1"/>
    <n v="1000"/>
    <s v="NULL"/>
    <s v="NULL"/>
    <x v="442"/>
    <x v="2"/>
    <x v="2"/>
    <x v="1"/>
    <s v="NULL"/>
    <x v="0"/>
  </r>
  <r>
    <x v="662"/>
    <x v="7"/>
    <s v="United States"/>
    <x v="2"/>
    <s v="NULL"/>
    <n v="1"/>
    <n v="38"/>
    <x v="443"/>
    <x v="2"/>
    <x v="2"/>
    <x v="3"/>
    <n v="1"/>
    <x v="0"/>
  </r>
  <r>
    <x v="663"/>
    <x v="20"/>
    <s v="Japan"/>
    <x v="3"/>
    <n v="4000"/>
    <s v="NULL"/>
    <s v="NULL"/>
    <x v="444"/>
    <x v="2"/>
    <x v="2"/>
    <x v="1"/>
    <s v="NULL"/>
    <x v="0"/>
  </r>
  <r>
    <x v="664"/>
    <x v="14"/>
    <s v="Germany"/>
    <x v="7"/>
    <n v="60"/>
    <s v="NULL"/>
    <n v="1300"/>
    <x v="444"/>
    <x v="2"/>
    <x v="2"/>
    <x v="2"/>
    <s v="NULL"/>
    <x v="0"/>
  </r>
  <r>
    <x v="665"/>
    <x v="22"/>
    <s v="United States"/>
    <x v="3"/>
    <n v="30"/>
    <n v="0.2"/>
    <n v="222"/>
    <x v="444"/>
    <x v="2"/>
    <x v="2"/>
    <x v="4"/>
    <n v="0"/>
    <x v="0"/>
  </r>
  <r>
    <x v="666"/>
    <x v="18"/>
    <s v="United States"/>
    <x v="13"/>
    <s v="NULL"/>
    <n v="0.06"/>
    <n v="3400"/>
    <x v="444"/>
    <x v="2"/>
    <x v="2"/>
    <x v="2"/>
    <n v="0"/>
    <x v="0"/>
  </r>
  <r>
    <x v="667"/>
    <x v="11"/>
    <s v="United Kingdom"/>
    <x v="1"/>
    <s v="NULL"/>
    <n v="1"/>
    <n v="39"/>
    <x v="444"/>
    <x v="2"/>
    <x v="2"/>
    <x v="3"/>
    <n v="1"/>
    <x v="0"/>
  </r>
  <r>
    <x v="668"/>
    <x v="8"/>
    <s v="United States"/>
    <x v="5"/>
    <s v="NULL"/>
    <n v="0.3"/>
    <s v="NULL"/>
    <x v="444"/>
    <x v="2"/>
    <x v="2"/>
    <x v="1"/>
    <n v="0"/>
    <x v="0"/>
  </r>
  <r>
    <x v="669"/>
    <x v="0"/>
    <s v="United States"/>
    <x v="7"/>
    <n v="100"/>
    <s v="NULL"/>
    <n v="214"/>
    <x v="445"/>
    <x v="2"/>
    <x v="2"/>
    <x v="4"/>
    <s v="NULL"/>
    <x v="0"/>
  </r>
  <r>
    <x v="670"/>
    <x v="0"/>
    <s v="United States"/>
    <x v="2"/>
    <n v="36"/>
    <s v="NULL"/>
    <n v="49"/>
    <x v="445"/>
    <x v="2"/>
    <x v="2"/>
    <x v="3"/>
    <s v="NULL"/>
    <x v="0"/>
  </r>
  <r>
    <x v="671"/>
    <x v="14"/>
    <s v="United States"/>
    <x v="3"/>
    <s v="NULL"/>
    <n v="1"/>
    <n v="3"/>
    <x v="446"/>
    <x v="2"/>
    <x v="2"/>
    <x v="0"/>
    <n v="1"/>
    <x v="0"/>
  </r>
  <r>
    <x v="250"/>
    <x v="7"/>
    <s v="United States"/>
    <x v="1"/>
    <n v="1000"/>
    <n v="0.08"/>
    <n v="5"/>
    <x v="447"/>
    <x v="2"/>
    <x v="2"/>
    <x v="0"/>
    <n v="0"/>
    <x v="0"/>
  </r>
  <r>
    <x v="672"/>
    <x v="11"/>
    <s v="United States"/>
    <x v="3"/>
    <n v="550"/>
    <n v="0.4"/>
    <s v="NULL"/>
    <x v="448"/>
    <x v="2"/>
    <x v="2"/>
    <x v="1"/>
    <n v="0"/>
    <x v="0"/>
  </r>
  <r>
    <x v="31"/>
    <x v="11"/>
    <s v="United States"/>
    <x v="0"/>
    <n v="120"/>
    <s v="NULL"/>
    <n v="10700"/>
    <x v="448"/>
    <x v="2"/>
    <x v="2"/>
    <x v="2"/>
    <s v="NULL"/>
    <x v="0"/>
  </r>
  <r>
    <x v="45"/>
    <x v="1"/>
    <s v="United States"/>
    <x v="0"/>
    <n v="57"/>
    <s v="NULL"/>
    <n v="26"/>
    <x v="448"/>
    <x v="2"/>
    <x v="2"/>
    <x v="3"/>
    <s v="NULL"/>
    <x v="0"/>
  </r>
  <r>
    <x v="673"/>
    <x v="0"/>
    <s v="Canada"/>
    <x v="5"/>
    <s v="NULL"/>
    <s v="NULL"/>
    <n v="148"/>
    <x v="448"/>
    <x v="2"/>
    <x v="2"/>
    <x v="4"/>
    <s v="NULL"/>
    <x v="1"/>
  </r>
  <r>
    <x v="674"/>
    <x v="13"/>
    <s v="United States"/>
    <x v="0"/>
    <n v="800"/>
    <n v="0.13"/>
    <n v="834"/>
    <x v="449"/>
    <x v="2"/>
    <x v="2"/>
    <x v="4"/>
    <n v="0"/>
    <x v="0"/>
  </r>
  <r>
    <x v="675"/>
    <x v="5"/>
    <s v="Israel"/>
    <x v="7"/>
    <n v="40"/>
    <n v="0.3"/>
    <n v="124"/>
    <x v="449"/>
    <x v="2"/>
    <x v="2"/>
    <x v="4"/>
    <n v="0"/>
    <x v="0"/>
  </r>
  <r>
    <x v="676"/>
    <x v="21"/>
    <s v="India"/>
    <x v="1"/>
    <n v="145"/>
    <n v="0.25"/>
    <s v="NULL"/>
    <x v="450"/>
    <x v="2"/>
    <x v="2"/>
    <x v="1"/>
    <n v="0"/>
    <x v="0"/>
  </r>
  <r>
    <x v="267"/>
    <x v="14"/>
    <s v="India"/>
    <x v="2"/>
    <n v="100"/>
    <n v="0.15"/>
    <n v="72"/>
    <x v="450"/>
    <x v="2"/>
    <x v="2"/>
    <x v="3"/>
    <n v="0"/>
    <x v="0"/>
  </r>
  <r>
    <x v="677"/>
    <x v="1"/>
    <s v="United States"/>
    <x v="3"/>
    <n v="96"/>
    <n v="1"/>
    <s v="NULL"/>
    <x v="450"/>
    <x v="2"/>
    <x v="2"/>
    <x v="1"/>
    <n v="1"/>
    <x v="0"/>
  </r>
  <r>
    <x v="678"/>
    <x v="12"/>
    <s v="United States"/>
    <x v="2"/>
    <s v="NULL"/>
    <n v="1"/>
    <n v="64"/>
    <x v="450"/>
    <x v="2"/>
    <x v="2"/>
    <x v="3"/>
    <n v="1"/>
    <x v="0"/>
  </r>
  <r>
    <x v="679"/>
    <x v="0"/>
    <s v="Canada"/>
    <x v="0"/>
    <s v="NULL"/>
    <n v="0.06"/>
    <n v="79"/>
    <x v="450"/>
    <x v="2"/>
    <x v="2"/>
    <x v="3"/>
    <n v="0"/>
    <x v="0"/>
  </r>
  <r>
    <x v="680"/>
    <x v="0"/>
    <s v="United Kingdom"/>
    <x v="7"/>
    <s v="NULL"/>
    <s v="NULL"/>
    <n v="1000"/>
    <x v="451"/>
    <x v="2"/>
    <x v="2"/>
    <x v="2"/>
    <s v="NULL"/>
    <x v="1"/>
  </r>
  <r>
    <x v="681"/>
    <x v="26"/>
    <s v="United States"/>
    <x v="0"/>
    <n v="170"/>
    <n v="0.33"/>
    <n v="516"/>
    <x v="452"/>
    <x v="2"/>
    <x v="2"/>
    <x v="4"/>
    <n v="0"/>
    <x v="0"/>
  </r>
  <r>
    <x v="660"/>
    <x v="5"/>
    <s v="United States"/>
    <x v="0"/>
    <n v="230"/>
    <n v="0.49"/>
    <n v="899"/>
    <x v="453"/>
    <x v="2"/>
    <x v="2"/>
    <x v="4"/>
    <n v="0"/>
    <x v="0"/>
  </r>
  <r>
    <x v="31"/>
    <x v="11"/>
    <s v="United States"/>
    <x v="0"/>
    <n v="150"/>
    <n v="0.01"/>
    <n v="10700"/>
    <x v="453"/>
    <x v="2"/>
    <x v="2"/>
    <x v="2"/>
    <n v="0"/>
    <x v="0"/>
  </r>
  <r>
    <x v="338"/>
    <x v="11"/>
    <s v="United States"/>
    <x v="0"/>
    <n v="140"/>
    <n v="0.2"/>
    <n v="780"/>
    <x v="453"/>
    <x v="2"/>
    <x v="2"/>
    <x v="4"/>
    <n v="0"/>
    <x v="0"/>
  </r>
  <r>
    <x v="410"/>
    <x v="15"/>
    <s v="United States"/>
    <x v="0"/>
    <n v="116"/>
    <n v="0.03"/>
    <n v="429"/>
    <x v="453"/>
    <x v="2"/>
    <x v="2"/>
    <x v="4"/>
    <n v="0"/>
    <x v="0"/>
  </r>
  <r>
    <x v="682"/>
    <x v="9"/>
    <s v="United States"/>
    <x v="0"/>
    <n v="28"/>
    <s v="NULL"/>
    <n v="932"/>
    <x v="453"/>
    <x v="2"/>
    <x v="2"/>
    <x v="4"/>
    <s v="NULL"/>
    <x v="0"/>
  </r>
  <r>
    <x v="192"/>
    <x v="25"/>
    <s v="United States"/>
    <x v="0"/>
    <n v="400"/>
    <n v="0.15"/>
    <n v="1900"/>
    <x v="454"/>
    <x v="2"/>
    <x v="2"/>
    <x v="2"/>
    <n v="0"/>
    <x v="0"/>
  </r>
  <r>
    <x v="683"/>
    <x v="11"/>
    <s v="Spain"/>
    <x v="3"/>
    <n v="29"/>
    <s v="NULL"/>
    <n v="601"/>
    <x v="454"/>
    <x v="2"/>
    <x v="2"/>
    <x v="4"/>
    <s v="NULL"/>
    <x v="0"/>
  </r>
  <r>
    <x v="45"/>
    <x v="1"/>
    <s v="United States"/>
    <x v="0"/>
    <n v="200"/>
    <s v="NULL"/>
    <n v="26"/>
    <x v="455"/>
    <x v="2"/>
    <x v="2"/>
    <x v="3"/>
    <s v="NULL"/>
    <x v="0"/>
  </r>
  <r>
    <x v="684"/>
    <x v="14"/>
    <s v="United States"/>
    <x v="1"/>
    <n v="112"/>
    <n v="1"/>
    <s v="NULL"/>
    <x v="455"/>
    <x v="2"/>
    <x v="2"/>
    <x v="1"/>
    <n v="1"/>
    <x v="0"/>
  </r>
  <r>
    <x v="685"/>
    <x v="14"/>
    <s v="United States"/>
    <x v="2"/>
    <s v="NULL"/>
    <n v="1"/>
    <n v="38"/>
    <x v="455"/>
    <x v="2"/>
    <x v="2"/>
    <x v="3"/>
    <n v="1"/>
    <x v="0"/>
  </r>
  <r>
    <x v="686"/>
    <x v="11"/>
    <s v="United States"/>
    <x v="0"/>
    <n v="500"/>
    <s v="NULL"/>
    <n v="20200"/>
    <x v="456"/>
    <x v="2"/>
    <x v="3"/>
    <x v="2"/>
    <s v="NULL"/>
    <x v="0"/>
  </r>
  <r>
    <x v="687"/>
    <x v="14"/>
    <s v="Israel"/>
    <x v="2"/>
    <n v="50"/>
    <n v="0.5"/>
    <n v="30"/>
    <x v="456"/>
    <x v="2"/>
    <x v="3"/>
    <x v="3"/>
    <n v="0"/>
    <x v="0"/>
  </r>
  <r>
    <x v="688"/>
    <x v="5"/>
    <s v="United States"/>
    <x v="0"/>
    <s v="NULL"/>
    <n v="0.46"/>
    <n v="271"/>
    <x v="456"/>
    <x v="2"/>
    <x v="3"/>
    <x v="4"/>
    <n v="0"/>
    <x v="0"/>
  </r>
  <r>
    <x v="45"/>
    <x v="1"/>
    <s v="United States"/>
    <x v="0"/>
    <s v="NULL"/>
    <s v="NULL"/>
    <n v="26"/>
    <x v="456"/>
    <x v="2"/>
    <x v="3"/>
    <x v="3"/>
    <s v="NULL"/>
    <x v="1"/>
  </r>
  <r>
    <x v="689"/>
    <x v="18"/>
    <s v="United Kingdom"/>
    <x v="11"/>
    <n v="3300"/>
    <s v="NULL"/>
    <n v="1800"/>
    <x v="457"/>
    <x v="2"/>
    <x v="3"/>
    <x v="2"/>
    <s v="NULL"/>
    <x v="0"/>
  </r>
  <r>
    <x v="690"/>
    <x v="11"/>
    <s v="India"/>
    <x v="14"/>
    <n v="180"/>
    <n v="0.1"/>
    <n v="5000"/>
    <x v="457"/>
    <x v="2"/>
    <x v="3"/>
    <x v="2"/>
    <n v="0"/>
    <x v="0"/>
  </r>
  <r>
    <x v="619"/>
    <x v="11"/>
    <s v="Singapore"/>
    <x v="11"/>
    <n v="21"/>
    <n v="0.1"/>
    <n v="974"/>
    <x v="457"/>
    <x v="2"/>
    <x v="3"/>
    <x v="4"/>
    <n v="0"/>
    <x v="0"/>
  </r>
  <r>
    <x v="691"/>
    <x v="14"/>
    <s v="United States"/>
    <x v="6"/>
    <s v="NULL"/>
    <n v="1"/>
    <n v="6"/>
    <x v="457"/>
    <x v="2"/>
    <x v="3"/>
    <x v="0"/>
    <n v="1"/>
    <x v="0"/>
  </r>
  <r>
    <x v="632"/>
    <x v="11"/>
    <s v="United States"/>
    <x v="0"/>
    <s v="NULL"/>
    <s v="NULL"/>
    <n v="1700"/>
    <x v="457"/>
    <x v="2"/>
    <x v="3"/>
    <x v="2"/>
    <s v="NULL"/>
    <x v="1"/>
  </r>
  <r>
    <x v="692"/>
    <x v="5"/>
    <s v="India"/>
    <x v="7"/>
    <n v="150"/>
    <n v="0.27"/>
    <n v="130"/>
    <x v="458"/>
    <x v="2"/>
    <x v="3"/>
    <x v="4"/>
    <n v="0"/>
    <x v="0"/>
  </r>
  <r>
    <x v="693"/>
    <x v="29"/>
    <s v="United States"/>
    <x v="2"/>
    <n v="30"/>
    <n v="0.25"/>
    <n v="158"/>
    <x v="459"/>
    <x v="2"/>
    <x v="3"/>
    <x v="4"/>
    <n v="0"/>
    <x v="0"/>
  </r>
  <r>
    <x v="694"/>
    <x v="10"/>
    <s v="United States"/>
    <x v="2"/>
    <s v="NULL"/>
    <s v="NULL"/>
    <n v="145"/>
    <x v="459"/>
    <x v="2"/>
    <x v="3"/>
    <x v="4"/>
    <s v="NULL"/>
    <x v="1"/>
  </r>
  <r>
    <x v="190"/>
    <x v="13"/>
    <s v="United States"/>
    <x v="0"/>
    <s v="NULL"/>
    <s v="NULL"/>
    <n v="3300"/>
    <x v="460"/>
    <x v="2"/>
    <x v="3"/>
    <x v="2"/>
    <s v="NULL"/>
    <x v="1"/>
  </r>
  <r>
    <x v="695"/>
    <x v="5"/>
    <s v="United States"/>
    <x v="11"/>
    <n v="100"/>
    <n v="0.2"/>
    <n v="1400"/>
    <x v="461"/>
    <x v="2"/>
    <x v="3"/>
    <x v="2"/>
    <n v="0"/>
    <x v="0"/>
  </r>
  <r>
    <x v="696"/>
    <x v="2"/>
    <s v="Czech Republic"/>
    <x v="1"/>
    <n v="100"/>
    <n v="0.16"/>
    <s v="NULL"/>
    <x v="461"/>
    <x v="2"/>
    <x v="3"/>
    <x v="1"/>
    <n v="0"/>
    <x v="0"/>
  </r>
  <r>
    <x v="697"/>
    <x v="5"/>
    <s v="United States"/>
    <x v="1"/>
    <s v="NULL"/>
    <s v="NULL"/>
    <n v="299"/>
    <x v="461"/>
    <x v="2"/>
    <x v="3"/>
    <x v="4"/>
    <s v="NULL"/>
    <x v="1"/>
  </r>
  <r>
    <x v="698"/>
    <x v="22"/>
    <s v="United States"/>
    <x v="12"/>
    <n v="150"/>
    <n v="0.08"/>
    <n v="802"/>
    <x v="462"/>
    <x v="2"/>
    <x v="3"/>
    <x v="4"/>
    <n v="0"/>
    <x v="0"/>
  </r>
  <r>
    <x v="699"/>
    <x v="16"/>
    <s v="United States"/>
    <x v="2"/>
    <s v="NULL"/>
    <s v="NULL"/>
    <n v="35"/>
    <x v="462"/>
    <x v="2"/>
    <x v="3"/>
    <x v="3"/>
    <s v="NULL"/>
    <x v="1"/>
  </r>
  <r>
    <x v="700"/>
    <x v="2"/>
    <s v="India"/>
    <x v="3"/>
    <n v="150"/>
    <n v="0.15"/>
    <n v="180"/>
    <x v="463"/>
    <x v="2"/>
    <x v="3"/>
    <x v="4"/>
    <n v="0"/>
    <x v="0"/>
  </r>
  <r>
    <x v="701"/>
    <x v="10"/>
    <s v="Belgium"/>
    <x v="7"/>
    <n v="50"/>
    <n v="0.1"/>
    <n v="159"/>
    <x v="463"/>
    <x v="2"/>
    <x v="3"/>
    <x v="4"/>
    <n v="0"/>
    <x v="0"/>
  </r>
  <r>
    <x v="702"/>
    <x v="17"/>
    <s v="United Kingdom"/>
    <x v="3"/>
    <n v="20"/>
    <s v="NULL"/>
    <n v="174"/>
    <x v="463"/>
    <x v="2"/>
    <x v="3"/>
    <x v="4"/>
    <s v="NULL"/>
    <x v="0"/>
  </r>
  <r>
    <x v="703"/>
    <x v="24"/>
    <s v="United States"/>
    <x v="3"/>
    <s v="NULL"/>
    <n v="0.05"/>
    <n v="400"/>
    <x v="463"/>
    <x v="2"/>
    <x v="3"/>
    <x v="4"/>
    <n v="0"/>
    <x v="0"/>
  </r>
  <r>
    <x v="704"/>
    <x v="0"/>
    <s v="United States"/>
    <x v="1"/>
    <s v="NULL"/>
    <s v="NULL"/>
    <n v="1"/>
    <x v="464"/>
    <x v="2"/>
    <x v="3"/>
    <x v="0"/>
    <s v="NULL"/>
    <x v="1"/>
  </r>
  <r>
    <x v="45"/>
    <x v="1"/>
    <s v="United States"/>
    <x v="0"/>
    <s v="NULL"/>
    <s v="NULL"/>
    <n v="26"/>
    <x v="464"/>
    <x v="2"/>
    <x v="3"/>
    <x v="3"/>
    <s v="NULL"/>
    <x v="1"/>
  </r>
  <r>
    <x v="31"/>
    <x v="11"/>
    <s v="United States"/>
    <x v="0"/>
    <s v="NULL"/>
    <n v="0.01"/>
    <n v="10700"/>
    <x v="464"/>
    <x v="2"/>
    <x v="3"/>
    <x v="2"/>
    <n v="0"/>
    <x v="0"/>
  </r>
  <r>
    <x v="705"/>
    <x v="1"/>
    <s v="United States"/>
    <x v="0"/>
    <n v="579"/>
    <n v="0.05"/>
    <n v="4100"/>
    <x v="465"/>
    <x v="2"/>
    <x v="3"/>
    <x v="2"/>
    <n v="0"/>
    <x v="0"/>
  </r>
  <r>
    <x v="525"/>
    <x v="17"/>
    <s v="United States"/>
    <x v="2"/>
    <n v="12"/>
    <n v="0.25"/>
    <n v="75"/>
    <x v="465"/>
    <x v="2"/>
    <x v="3"/>
    <x v="3"/>
    <n v="0"/>
    <x v="0"/>
  </r>
  <r>
    <x v="686"/>
    <x v="11"/>
    <s v="United States"/>
    <x v="0"/>
    <n v="14000"/>
    <n v="0.1"/>
    <n v="20200"/>
    <x v="466"/>
    <x v="2"/>
    <x v="3"/>
    <x v="2"/>
    <n v="0"/>
    <x v="0"/>
  </r>
  <r>
    <x v="706"/>
    <x v="10"/>
    <s v="France"/>
    <x v="0"/>
    <n v="140"/>
    <n v="0.04"/>
    <n v="61"/>
    <x v="467"/>
    <x v="2"/>
    <x v="3"/>
    <x v="3"/>
    <n v="0"/>
    <x v="0"/>
  </r>
  <r>
    <x v="657"/>
    <x v="18"/>
    <s v="Spain"/>
    <x v="1"/>
    <n v="25"/>
    <s v="NULL"/>
    <n v="1200"/>
    <x v="467"/>
    <x v="2"/>
    <x v="3"/>
    <x v="2"/>
    <s v="NULL"/>
    <x v="0"/>
  </r>
  <r>
    <x v="1"/>
    <x v="1"/>
    <s v="Ireland"/>
    <x v="1"/>
    <n v="250"/>
    <s v="NULL"/>
    <s v="NULL"/>
    <x v="468"/>
    <x v="2"/>
    <x v="3"/>
    <x v="1"/>
    <s v="NULL"/>
    <x v="0"/>
  </r>
  <r>
    <x v="707"/>
    <x v="23"/>
    <s v="United States"/>
    <x v="5"/>
    <n v="30"/>
    <n v="0.15"/>
    <n v="336"/>
    <x v="468"/>
    <x v="2"/>
    <x v="3"/>
    <x v="4"/>
    <n v="0"/>
    <x v="0"/>
  </r>
  <r>
    <x v="708"/>
    <x v="5"/>
    <s v="United States"/>
    <x v="11"/>
    <s v="NULL"/>
    <n v="0.1"/>
    <n v="826"/>
    <x v="468"/>
    <x v="2"/>
    <x v="3"/>
    <x v="4"/>
    <n v="0"/>
    <x v="0"/>
  </r>
  <r>
    <x v="709"/>
    <x v="5"/>
    <s v="United Kingdom"/>
    <x v="2"/>
    <s v="NULL"/>
    <n v="0.2"/>
    <n v="89"/>
    <x v="468"/>
    <x v="2"/>
    <x v="3"/>
    <x v="3"/>
    <n v="0"/>
    <x v="0"/>
  </r>
  <r>
    <x v="710"/>
    <x v="18"/>
    <s v="Chile"/>
    <x v="1"/>
    <n v="200"/>
    <s v="NULL"/>
    <n v="32"/>
    <x v="469"/>
    <x v="2"/>
    <x v="3"/>
    <x v="3"/>
    <s v="NULL"/>
    <x v="0"/>
  </r>
  <r>
    <x v="711"/>
    <x v="21"/>
    <s v="India"/>
    <x v="2"/>
    <n v="150"/>
    <s v="NULL"/>
    <n v="55"/>
    <x v="469"/>
    <x v="2"/>
    <x v="3"/>
    <x v="3"/>
    <s v="NULL"/>
    <x v="0"/>
  </r>
  <r>
    <x v="712"/>
    <x v="7"/>
    <s v="United States"/>
    <x v="7"/>
    <n v="382"/>
    <n v="0.32"/>
    <n v="679"/>
    <x v="470"/>
    <x v="2"/>
    <x v="3"/>
    <x v="4"/>
    <n v="0"/>
    <x v="0"/>
  </r>
  <r>
    <x v="314"/>
    <x v="12"/>
    <s v="United States"/>
    <x v="0"/>
    <n v="62"/>
    <s v="NULL"/>
    <n v="12"/>
    <x v="470"/>
    <x v="2"/>
    <x v="3"/>
    <x v="3"/>
    <s v="NULL"/>
    <x v="0"/>
  </r>
  <r>
    <x v="713"/>
    <x v="2"/>
    <s v="Denmark"/>
    <x v="1"/>
    <n v="79"/>
    <n v="1"/>
    <s v="NULL"/>
    <x v="471"/>
    <x v="2"/>
    <x v="3"/>
    <x v="1"/>
    <n v="1"/>
    <x v="0"/>
  </r>
  <r>
    <x v="670"/>
    <x v="0"/>
    <s v="United States"/>
    <x v="2"/>
    <n v="49"/>
    <n v="0.35"/>
    <n v="49"/>
    <x v="471"/>
    <x v="2"/>
    <x v="3"/>
    <x v="3"/>
    <n v="0"/>
    <x v="0"/>
  </r>
  <r>
    <x v="714"/>
    <x v="0"/>
    <s v="Canada"/>
    <x v="3"/>
    <s v="NULL"/>
    <n v="1"/>
    <s v="NULL"/>
    <x v="472"/>
    <x v="2"/>
    <x v="3"/>
    <x v="1"/>
    <n v="1"/>
    <x v="0"/>
  </r>
  <r>
    <x v="715"/>
    <x v="26"/>
    <s v="India"/>
    <x v="2"/>
    <n v="70"/>
    <n v="0.4"/>
    <n v="24"/>
    <x v="473"/>
    <x v="2"/>
    <x v="3"/>
    <x v="3"/>
    <n v="0"/>
    <x v="0"/>
  </r>
  <r>
    <x v="470"/>
    <x v="12"/>
    <s v="United States"/>
    <x v="0"/>
    <n v="614"/>
    <s v="NULL"/>
    <n v="1200"/>
    <x v="474"/>
    <x v="2"/>
    <x v="3"/>
    <x v="2"/>
    <s v="NULL"/>
    <x v="0"/>
  </r>
  <r>
    <x v="716"/>
    <x v="0"/>
    <s v="United States"/>
    <x v="2"/>
    <s v="NULL"/>
    <s v="NULL"/>
    <n v="179"/>
    <x v="474"/>
    <x v="2"/>
    <x v="3"/>
    <x v="4"/>
    <s v="NULL"/>
    <x v="1"/>
  </r>
  <r>
    <x v="465"/>
    <x v="2"/>
    <s v="Canada"/>
    <x v="0"/>
    <n v="280"/>
    <s v="NULL"/>
    <n v="1200"/>
    <x v="475"/>
    <x v="2"/>
    <x v="3"/>
    <x v="2"/>
    <s v="NULL"/>
    <x v="0"/>
  </r>
  <r>
    <x v="717"/>
    <x v="11"/>
    <s v="United States"/>
    <x v="11"/>
    <n v="100"/>
    <n v="1"/>
    <n v="247"/>
    <x v="475"/>
    <x v="2"/>
    <x v="3"/>
    <x v="4"/>
    <n v="1"/>
    <x v="0"/>
  </r>
  <r>
    <x v="718"/>
    <x v="5"/>
    <s v="United States"/>
    <x v="1"/>
    <n v="13"/>
    <s v="NULL"/>
    <n v="60"/>
    <x v="475"/>
    <x v="2"/>
    <x v="3"/>
    <x v="3"/>
    <s v="NULL"/>
    <x v="0"/>
  </r>
  <r>
    <x v="161"/>
    <x v="2"/>
    <s v="United States"/>
    <x v="0"/>
    <s v="NULL"/>
    <s v="NULL"/>
    <n v="108"/>
    <x v="475"/>
    <x v="2"/>
    <x v="3"/>
    <x v="4"/>
    <s v="NULL"/>
    <x v="1"/>
  </r>
  <r>
    <x v="719"/>
    <x v="17"/>
    <s v="India"/>
    <x v="3"/>
    <s v="NULL"/>
    <s v="NULL"/>
    <s v="NULL"/>
    <x v="475"/>
    <x v="2"/>
    <x v="3"/>
    <x v="1"/>
    <s v="NULL"/>
    <x v="1"/>
  </r>
  <r>
    <x v="212"/>
    <x v="3"/>
    <s v="United States"/>
    <x v="3"/>
    <s v="NULL"/>
    <s v="NULL"/>
    <n v="547"/>
    <x v="475"/>
    <x v="2"/>
    <x v="3"/>
    <x v="4"/>
    <s v="NULL"/>
    <x v="1"/>
  </r>
  <r>
    <x v="481"/>
    <x v="24"/>
    <s v="United States"/>
    <x v="1"/>
    <s v="NULL"/>
    <s v="NULL"/>
    <n v="214"/>
    <x v="475"/>
    <x v="2"/>
    <x v="3"/>
    <x v="4"/>
    <s v="NULL"/>
    <x v="1"/>
  </r>
  <r>
    <x v="720"/>
    <x v="18"/>
    <s v="United States"/>
    <x v="1"/>
    <s v="NULL"/>
    <n v="1"/>
    <n v="24"/>
    <x v="475"/>
    <x v="2"/>
    <x v="3"/>
    <x v="3"/>
    <n v="1"/>
    <x v="0"/>
  </r>
  <r>
    <x v="721"/>
    <x v="21"/>
    <s v="India"/>
    <x v="9"/>
    <n v="500"/>
    <n v="0.03"/>
    <n v="5500"/>
    <x v="476"/>
    <x v="2"/>
    <x v="3"/>
    <x v="2"/>
    <n v="0"/>
    <x v="0"/>
  </r>
  <r>
    <x v="722"/>
    <x v="14"/>
    <s v="India"/>
    <x v="2"/>
    <s v="NULL"/>
    <s v="NULL"/>
    <n v="104"/>
    <x v="476"/>
    <x v="2"/>
    <x v="3"/>
    <x v="4"/>
    <s v="NULL"/>
    <x v="1"/>
  </r>
  <r>
    <x v="723"/>
    <x v="14"/>
    <s v="Nigeria"/>
    <x v="6"/>
    <s v="NULL"/>
    <n v="1"/>
    <n v="2"/>
    <x v="476"/>
    <x v="2"/>
    <x v="3"/>
    <x v="0"/>
    <n v="1"/>
    <x v="0"/>
  </r>
  <r>
    <x v="724"/>
    <x v="5"/>
    <s v="United States"/>
    <x v="5"/>
    <n v="67"/>
    <s v="NULL"/>
    <n v="109"/>
    <x v="477"/>
    <x v="2"/>
    <x v="3"/>
    <x v="4"/>
    <s v="NULL"/>
    <x v="0"/>
  </r>
  <r>
    <x v="725"/>
    <x v="3"/>
    <s v="Israel"/>
    <x v="8"/>
    <n v="20"/>
    <n v="0.44"/>
    <n v="52"/>
    <x v="477"/>
    <x v="2"/>
    <x v="3"/>
    <x v="3"/>
    <n v="0"/>
    <x v="0"/>
  </r>
  <r>
    <x v="726"/>
    <x v="14"/>
    <s v="United States"/>
    <x v="6"/>
    <s v="NULL"/>
    <n v="1"/>
    <n v="5"/>
    <x v="477"/>
    <x v="2"/>
    <x v="3"/>
    <x v="0"/>
    <n v="1"/>
    <x v="0"/>
  </r>
  <r>
    <x v="727"/>
    <x v="16"/>
    <s v="United States"/>
    <x v="2"/>
    <s v="NULL"/>
    <n v="1"/>
    <n v="230"/>
    <x v="477"/>
    <x v="2"/>
    <x v="3"/>
    <x v="4"/>
    <n v="1"/>
    <x v="0"/>
  </r>
  <r>
    <x v="728"/>
    <x v="18"/>
    <s v="United States"/>
    <x v="5"/>
    <n v="60"/>
    <n v="0.2"/>
    <n v="64"/>
    <x v="478"/>
    <x v="2"/>
    <x v="4"/>
    <x v="3"/>
    <n v="0"/>
    <x v="0"/>
  </r>
  <r>
    <x v="729"/>
    <x v="14"/>
    <s v="United States"/>
    <x v="8"/>
    <n v="17"/>
    <n v="0.15"/>
    <n v="79"/>
    <x v="479"/>
    <x v="2"/>
    <x v="4"/>
    <x v="3"/>
    <n v="0"/>
    <x v="0"/>
  </r>
  <r>
    <x v="128"/>
    <x v="1"/>
    <s v="United States"/>
    <x v="0"/>
    <s v="NULL"/>
    <n v="0.04"/>
    <n v="288"/>
    <x v="479"/>
    <x v="2"/>
    <x v="4"/>
    <x v="4"/>
    <n v="0"/>
    <x v="0"/>
  </r>
  <r>
    <x v="150"/>
    <x v="12"/>
    <s v="United States"/>
    <x v="0"/>
    <n v="6000"/>
    <n v="0.05"/>
    <s v="NULL"/>
    <x v="480"/>
    <x v="2"/>
    <x v="4"/>
    <x v="1"/>
    <n v="0"/>
    <x v="0"/>
  </r>
  <r>
    <x v="39"/>
    <x v="5"/>
    <s v="United States"/>
    <x v="10"/>
    <s v="NULL"/>
    <s v="NULL"/>
    <n v="3500"/>
    <x v="481"/>
    <x v="2"/>
    <x v="4"/>
    <x v="2"/>
    <s v="NULL"/>
    <x v="1"/>
  </r>
  <r>
    <x v="730"/>
    <x v="3"/>
    <s v="United States"/>
    <x v="4"/>
    <s v="NULL"/>
    <s v="NULL"/>
    <n v="750"/>
    <x v="482"/>
    <x v="2"/>
    <x v="4"/>
    <x v="4"/>
    <s v="NULL"/>
    <x v="1"/>
  </r>
  <r>
    <x v="731"/>
    <x v="2"/>
    <s v="Singapore"/>
    <x v="4"/>
    <n v="195"/>
    <n v="0.24"/>
    <n v="355"/>
    <x v="483"/>
    <x v="2"/>
    <x v="4"/>
    <x v="4"/>
    <n v="0"/>
    <x v="0"/>
  </r>
  <r>
    <x v="732"/>
    <x v="20"/>
    <s v="Israel"/>
    <x v="1"/>
    <n v="100"/>
    <s v="NULL"/>
    <s v="NULL"/>
    <x v="483"/>
    <x v="2"/>
    <x v="4"/>
    <x v="1"/>
    <s v="NULL"/>
    <x v="0"/>
  </r>
  <r>
    <x v="733"/>
    <x v="10"/>
    <s v="India"/>
    <x v="2"/>
    <s v="NULL"/>
    <n v="0.2"/>
    <n v="50"/>
    <x v="483"/>
    <x v="2"/>
    <x v="4"/>
    <x v="3"/>
    <n v="0"/>
    <x v="0"/>
  </r>
  <r>
    <x v="734"/>
    <x v="5"/>
    <s v="United States"/>
    <x v="0"/>
    <s v="NULL"/>
    <n v="0.2"/>
    <n v="176"/>
    <x v="483"/>
    <x v="2"/>
    <x v="4"/>
    <x v="4"/>
    <n v="0"/>
    <x v="0"/>
  </r>
  <r>
    <x v="735"/>
    <x v="26"/>
    <s v="China"/>
    <x v="3"/>
    <s v="NULL"/>
    <n v="0.05"/>
    <s v="NULL"/>
    <x v="484"/>
    <x v="2"/>
    <x v="4"/>
    <x v="1"/>
    <n v="0"/>
    <x v="0"/>
  </r>
  <r>
    <x v="736"/>
    <x v="23"/>
    <s v="United States"/>
    <x v="7"/>
    <n v="54"/>
    <s v="NULL"/>
    <n v="399"/>
    <x v="485"/>
    <x v="2"/>
    <x v="4"/>
    <x v="4"/>
    <s v="NULL"/>
    <x v="0"/>
  </r>
  <r>
    <x v="737"/>
    <x v="14"/>
    <s v="United States"/>
    <x v="5"/>
    <n v="20"/>
    <s v="NULL"/>
    <n v="302"/>
    <x v="486"/>
    <x v="2"/>
    <x v="4"/>
    <x v="4"/>
    <s v="NULL"/>
    <x v="0"/>
  </r>
  <r>
    <x v="738"/>
    <x v="7"/>
    <s v="United States"/>
    <x v="8"/>
    <s v="NULL"/>
    <n v="1"/>
    <n v="16"/>
    <x v="486"/>
    <x v="2"/>
    <x v="4"/>
    <x v="3"/>
    <n v="1"/>
    <x v="0"/>
  </r>
  <r>
    <x v="739"/>
    <x v="1"/>
    <s v="United States"/>
    <x v="0"/>
    <n v="81"/>
    <n v="0.06"/>
    <n v="33"/>
    <x v="487"/>
    <x v="2"/>
    <x v="4"/>
    <x v="3"/>
    <n v="0"/>
    <x v="0"/>
  </r>
  <r>
    <x v="434"/>
    <x v="8"/>
    <s v="United States"/>
    <x v="3"/>
    <n v="14"/>
    <n v="0.16"/>
    <n v="42"/>
    <x v="487"/>
    <x v="2"/>
    <x v="4"/>
    <x v="3"/>
    <n v="0"/>
    <x v="0"/>
  </r>
  <r>
    <x v="463"/>
    <x v="14"/>
    <s v="United States"/>
    <x v="3"/>
    <n v="80"/>
    <n v="0.25"/>
    <n v="480"/>
    <x v="488"/>
    <x v="2"/>
    <x v="4"/>
    <x v="4"/>
    <n v="0"/>
    <x v="0"/>
  </r>
  <r>
    <x v="740"/>
    <x v="11"/>
    <s v="United States"/>
    <x v="3"/>
    <n v="100"/>
    <n v="1"/>
    <n v="86"/>
    <x v="489"/>
    <x v="2"/>
    <x v="4"/>
    <x v="3"/>
    <n v="1"/>
    <x v="0"/>
  </r>
  <r>
    <x v="544"/>
    <x v="12"/>
    <s v="United States"/>
    <x v="0"/>
    <s v="NULL"/>
    <s v="NULL"/>
    <s v="NULL"/>
    <x v="489"/>
    <x v="2"/>
    <x v="4"/>
    <x v="1"/>
    <s v="NULL"/>
    <x v="1"/>
  </r>
  <r>
    <x v="741"/>
    <x v="4"/>
    <s v="United States"/>
    <x v="1"/>
    <n v="11"/>
    <n v="1"/>
    <s v="NULL"/>
    <x v="490"/>
    <x v="2"/>
    <x v="4"/>
    <x v="1"/>
    <n v="1"/>
    <x v="0"/>
  </r>
  <r>
    <x v="742"/>
    <x v="21"/>
    <s v="United States"/>
    <x v="5"/>
    <n v="24"/>
    <n v="7.0000000000000007E-2"/>
    <n v="44"/>
    <x v="491"/>
    <x v="2"/>
    <x v="4"/>
    <x v="3"/>
    <n v="0"/>
    <x v="0"/>
  </r>
  <r>
    <x v="743"/>
    <x v="14"/>
    <s v="United States"/>
    <x v="2"/>
    <s v="NULL"/>
    <n v="0.4"/>
    <n v="39"/>
    <x v="491"/>
    <x v="2"/>
    <x v="4"/>
    <x v="3"/>
    <n v="0"/>
    <x v="0"/>
  </r>
  <r>
    <x v="744"/>
    <x v="21"/>
    <s v="United States"/>
    <x v="1"/>
    <n v="15"/>
    <n v="0.02"/>
    <s v="NULL"/>
    <x v="492"/>
    <x v="2"/>
    <x v="4"/>
    <x v="1"/>
    <n v="0"/>
    <x v="0"/>
  </r>
  <r>
    <x v="745"/>
    <x v="15"/>
    <s v="United States"/>
    <x v="1"/>
    <s v="NULL"/>
    <s v="NULL"/>
    <n v="147"/>
    <x v="492"/>
    <x v="2"/>
    <x v="4"/>
    <x v="4"/>
    <s v="NULL"/>
    <x v="1"/>
  </r>
  <r>
    <x v="746"/>
    <x v="9"/>
    <s v="United States"/>
    <x v="2"/>
    <n v="22"/>
    <n v="0.13"/>
    <n v="739"/>
    <x v="493"/>
    <x v="2"/>
    <x v="4"/>
    <x v="4"/>
    <n v="0"/>
    <x v="0"/>
  </r>
  <r>
    <x v="65"/>
    <x v="1"/>
    <s v="United States"/>
    <x v="0"/>
    <s v="NULL"/>
    <s v="NULL"/>
    <n v="26000"/>
    <x v="493"/>
    <x v="2"/>
    <x v="4"/>
    <x v="2"/>
    <s v="NULL"/>
    <x v="1"/>
  </r>
  <r>
    <x v="747"/>
    <x v="6"/>
    <s v="United States"/>
    <x v="5"/>
    <s v="NULL"/>
    <s v="NULL"/>
    <n v="105"/>
    <x v="493"/>
    <x v="2"/>
    <x v="4"/>
    <x v="4"/>
    <s v="NULL"/>
    <x v="1"/>
  </r>
  <r>
    <x v="80"/>
    <x v="0"/>
    <s v="Netherlands"/>
    <x v="5"/>
    <n v="90"/>
    <n v="0.2"/>
    <n v="1100"/>
    <x v="494"/>
    <x v="2"/>
    <x v="4"/>
    <x v="2"/>
    <n v="0"/>
    <x v="0"/>
  </r>
  <r>
    <x v="748"/>
    <x v="26"/>
    <s v="United States"/>
    <x v="3"/>
    <s v="NULL"/>
    <s v="NULL"/>
    <n v="966"/>
    <x v="494"/>
    <x v="2"/>
    <x v="4"/>
    <x v="4"/>
    <s v="NULL"/>
    <x v="1"/>
  </r>
  <r>
    <x v="275"/>
    <x v="6"/>
    <s v="United States"/>
    <x v="11"/>
    <s v="NULL"/>
    <s v="NULL"/>
    <n v="569"/>
    <x v="494"/>
    <x v="2"/>
    <x v="4"/>
    <x v="4"/>
    <s v="NULL"/>
    <x v="1"/>
  </r>
  <r>
    <x v="749"/>
    <x v="24"/>
    <s v="United States"/>
    <x v="0"/>
    <n v="80"/>
    <n v="0.1"/>
    <n v="462"/>
    <x v="495"/>
    <x v="2"/>
    <x v="4"/>
    <x v="4"/>
    <n v="0"/>
    <x v="0"/>
  </r>
  <r>
    <x v="750"/>
    <x v="14"/>
    <s v="United States"/>
    <x v="7"/>
    <n v="40"/>
    <n v="7.0000000000000007E-2"/>
    <n v="504"/>
    <x v="495"/>
    <x v="2"/>
    <x v="4"/>
    <x v="4"/>
    <n v="0"/>
    <x v="0"/>
  </r>
  <r>
    <x v="751"/>
    <x v="11"/>
    <s v="United States"/>
    <x v="2"/>
    <n v="40"/>
    <n v="0.13"/>
    <n v="390"/>
    <x v="495"/>
    <x v="2"/>
    <x v="4"/>
    <x v="4"/>
    <n v="0"/>
    <x v="0"/>
  </r>
  <r>
    <x v="752"/>
    <x v="5"/>
    <s v="United States"/>
    <x v="3"/>
    <n v="150"/>
    <n v="1"/>
    <s v="NULL"/>
    <x v="496"/>
    <x v="2"/>
    <x v="4"/>
    <x v="1"/>
    <n v="1"/>
    <x v="0"/>
  </r>
  <r>
    <x v="753"/>
    <x v="5"/>
    <s v="India"/>
    <x v="11"/>
    <n v="120"/>
    <n v="7.0000000000000007E-2"/>
    <n v="177"/>
    <x v="496"/>
    <x v="2"/>
    <x v="4"/>
    <x v="4"/>
    <n v="0"/>
    <x v="0"/>
  </r>
  <r>
    <x v="651"/>
    <x v="18"/>
    <s v="United States"/>
    <x v="2"/>
    <n v="90"/>
    <n v="0.6"/>
    <n v="118"/>
    <x v="496"/>
    <x v="2"/>
    <x v="4"/>
    <x v="4"/>
    <n v="0"/>
    <x v="0"/>
  </r>
  <r>
    <x v="754"/>
    <x v="14"/>
    <s v="Singapore"/>
    <x v="2"/>
    <s v="NULL"/>
    <s v="NULL"/>
    <n v="175"/>
    <x v="496"/>
    <x v="2"/>
    <x v="4"/>
    <x v="4"/>
    <s v="NULL"/>
    <x v="1"/>
  </r>
  <r>
    <x v="632"/>
    <x v="11"/>
    <s v="United States"/>
    <x v="0"/>
    <s v="NULL"/>
    <n v="0.15"/>
    <n v="1700"/>
    <x v="497"/>
    <x v="2"/>
    <x v="5"/>
    <x v="2"/>
    <n v="0"/>
    <x v="0"/>
  </r>
  <r>
    <x v="755"/>
    <x v="14"/>
    <s v="Lithuania"/>
    <x v="8"/>
    <s v="NULL"/>
    <n v="0.14000000000000001"/>
    <n v="79"/>
    <x v="497"/>
    <x v="2"/>
    <x v="5"/>
    <x v="3"/>
    <n v="0"/>
    <x v="0"/>
  </r>
  <r>
    <x v="350"/>
    <x v="1"/>
    <s v="United States"/>
    <x v="0"/>
    <n v="670"/>
    <n v="0.05"/>
    <n v="2"/>
    <x v="498"/>
    <x v="2"/>
    <x v="5"/>
    <x v="0"/>
    <n v="0"/>
    <x v="0"/>
  </r>
  <r>
    <x v="674"/>
    <x v="13"/>
    <s v="United States"/>
    <x v="0"/>
    <n v="320"/>
    <n v="0.05"/>
    <n v="834"/>
    <x v="498"/>
    <x v="2"/>
    <x v="5"/>
    <x v="4"/>
    <n v="0"/>
    <x v="0"/>
  </r>
  <r>
    <x v="598"/>
    <x v="5"/>
    <s v="Israel"/>
    <x v="3"/>
    <n v="50"/>
    <n v="0.19"/>
    <n v="86"/>
    <x v="498"/>
    <x v="2"/>
    <x v="5"/>
    <x v="3"/>
    <n v="0"/>
    <x v="0"/>
  </r>
  <r>
    <x v="756"/>
    <x v="14"/>
    <s v="United States"/>
    <x v="5"/>
    <n v="40"/>
    <n v="0.4"/>
    <n v="71"/>
    <x v="498"/>
    <x v="2"/>
    <x v="5"/>
    <x v="3"/>
    <n v="0"/>
    <x v="0"/>
  </r>
  <r>
    <x v="672"/>
    <x v="11"/>
    <s v="United States"/>
    <x v="3"/>
    <s v="NULL"/>
    <n v="0.05"/>
    <s v="NULL"/>
    <x v="498"/>
    <x v="2"/>
    <x v="5"/>
    <x v="1"/>
    <n v="0"/>
    <x v="0"/>
  </r>
  <r>
    <x v="757"/>
    <x v="1"/>
    <s v="United States"/>
    <x v="10"/>
    <n v="900"/>
    <n v="0.08"/>
    <s v="NULL"/>
    <x v="499"/>
    <x v="2"/>
    <x v="5"/>
    <x v="1"/>
    <n v="0"/>
    <x v="0"/>
  </r>
  <r>
    <x v="323"/>
    <x v="1"/>
    <s v="United States"/>
    <x v="0"/>
    <n v="350"/>
    <n v="0.3"/>
    <n v="313"/>
    <x v="499"/>
    <x v="2"/>
    <x v="5"/>
    <x v="4"/>
    <n v="0"/>
    <x v="0"/>
  </r>
  <r>
    <x v="758"/>
    <x v="16"/>
    <s v="Singapore"/>
    <x v="0"/>
    <n v="79"/>
    <s v="NULL"/>
    <n v="676"/>
    <x v="499"/>
    <x v="2"/>
    <x v="5"/>
    <x v="4"/>
    <s v="NULL"/>
    <x v="0"/>
  </r>
  <r>
    <x v="470"/>
    <x v="11"/>
    <s v="United States"/>
    <x v="0"/>
    <s v="NULL"/>
    <s v="NULL"/>
    <n v="1200"/>
    <x v="499"/>
    <x v="2"/>
    <x v="5"/>
    <x v="2"/>
    <s v="NULL"/>
    <x v="1"/>
  </r>
  <r>
    <x v="190"/>
    <x v="13"/>
    <s v="United States"/>
    <x v="0"/>
    <n v="1500"/>
    <n v="0.08"/>
    <n v="3300"/>
    <x v="500"/>
    <x v="2"/>
    <x v="5"/>
    <x v="2"/>
    <n v="0"/>
    <x v="0"/>
  </r>
  <r>
    <x v="599"/>
    <x v="18"/>
    <s v="India"/>
    <x v="3"/>
    <n v="70"/>
    <s v="NULL"/>
    <n v="363"/>
    <x v="500"/>
    <x v="2"/>
    <x v="5"/>
    <x v="4"/>
    <s v="NULL"/>
    <x v="0"/>
  </r>
  <r>
    <x v="759"/>
    <x v="2"/>
    <s v="Singapore"/>
    <x v="3"/>
    <s v="NULL"/>
    <s v="NULL"/>
    <s v="NULL"/>
    <x v="500"/>
    <x v="2"/>
    <x v="5"/>
    <x v="1"/>
    <s v="NULL"/>
    <x v="1"/>
  </r>
  <r>
    <x v="760"/>
    <x v="5"/>
    <s v="United States"/>
    <x v="5"/>
    <n v="77"/>
    <s v="NULL"/>
    <n v="315"/>
    <x v="501"/>
    <x v="2"/>
    <x v="5"/>
    <x v="4"/>
    <s v="NULL"/>
    <x v="0"/>
  </r>
  <r>
    <x v="761"/>
    <x v="5"/>
    <s v="United States"/>
    <x v="7"/>
    <n v="56"/>
    <s v="NULL"/>
    <n v="522"/>
    <x v="501"/>
    <x v="2"/>
    <x v="5"/>
    <x v="4"/>
    <s v="NULL"/>
    <x v="0"/>
  </r>
  <r>
    <x v="762"/>
    <x v="4"/>
    <s v="United States"/>
    <x v="3"/>
    <s v="NULL"/>
    <s v="NULL"/>
    <n v="1600"/>
    <x v="502"/>
    <x v="2"/>
    <x v="5"/>
    <x v="2"/>
    <s v="NULL"/>
    <x v="1"/>
  </r>
  <r>
    <x v="763"/>
    <x v="14"/>
    <s v="United States"/>
    <x v="0"/>
    <n v="60"/>
    <s v="NULL"/>
    <n v="1500"/>
    <x v="503"/>
    <x v="2"/>
    <x v="5"/>
    <x v="2"/>
    <s v="NULL"/>
    <x v="0"/>
  </r>
  <r>
    <x v="764"/>
    <x v="2"/>
    <s v="Australia"/>
    <x v="3"/>
    <n v="60"/>
    <n v="0.17"/>
    <n v="30"/>
    <x v="503"/>
    <x v="2"/>
    <x v="5"/>
    <x v="3"/>
    <n v="0"/>
    <x v="0"/>
  </r>
  <r>
    <x v="765"/>
    <x v="4"/>
    <s v="United States"/>
    <x v="0"/>
    <s v="NULL"/>
    <n v="0.16"/>
    <n v="696"/>
    <x v="503"/>
    <x v="2"/>
    <x v="5"/>
    <x v="4"/>
    <n v="0"/>
    <x v="0"/>
  </r>
  <r>
    <x v="31"/>
    <x v="11"/>
    <s v="United States"/>
    <x v="0"/>
    <s v="NULL"/>
    <n v="0.1"/>
    <n v="10700"/>
    <x v="503"/>
    <x v="2"/>
    <x v="5"/>
    <x v="2"/>
    <n v="0"/>
    <x v="0"/>
  </r>
  <r>
    <x v="766"/>
    <x v="11"/>
    <s v="Poland"/>
    <x v="0"/>
    <n v="250"/>
    <s v="NULL"/>
    <n v="8"/>
    <x v="504"/>
    <x v="2"/>
    <x v="5"/>
    <x v="0"/>
    <s v="NULL"/>
    <x v="0"/>
  </r>
  <r>
    <x v="767"/>
    <x v="2"/>
    <s v="United Kingdom"/>
    <x v="8"/>
    <n v="55"/>
    <n v="0.25"/>
    <n v="5"/>
    <x v="504"/>
    <x v="2"/>
    <x v="5"/>
    <x v="0"/>
    <n v="0"/>
    <x v="0"/>
  </r>
  <r>
    <x v="768"/>
    <x v="2"/>
    <s v="United States"/>
    <x v="3"/>
    <s v="NULL"/>
    <s v="NULL"/>
    <s v="NULL"/>
    <x v="504"/>
    <x v="2"/>
    <x v="5"/>
    <x v="1"/>
    <s v="NULL"/>
    <x v="1"/>
  </r>
  <r>
    <x v="769"/>
    <x v="9"/>
    <s v="United Kingdom"/>
    <x v="1"/>
    <s v="NULL"/>
    <n v="0.3"/>
    <n v="3"/>
    <x v="504"/>
    <x v="2"/>
    <x v="5"/>
    <x v="0"/>
    <n v="0"/>
    <x v="0"/>
  </r>
  <r>
    <x v="770"/>
    <x v="18"/>
    <s v="United States"/>
    <x v="5"/>
    <s v="NULL"/>
    <n v="0.3"/>
    <n v="274"/>
    <x v="504"/>
    <x v="2"/>
    <x v="5"/>
    <x v="4"/>
    <n v="0"/>
    <x v="0"/>
  </r>
  <r>
    <x v="771"/>
    <x v="2"/>
    <s v="United Kingdom"/>
    <x v="1"/>
    <n v="2000"/>
    <n v="0.25"/>
    <n v="1700"/>
    <x v="505"/>
    <x v="2"/>
    <x v="5"/>
    <x v="2"/>
    <n v="0"/>
    <x v="0"/>
  </r>
  <r>
    <x v="772"/>
    <x v="11"/>
    <s v="Sweden"/>
    <x v="7"/>
    <n v="120"/>
    <n v="0.12"/>
    <n v="515"/>
    <x v="505"/>
    <x v="2"/>
    <x v="5"/>
    <x v="4"/>
    <n v="0"/>
    <x v="0"/>
  </r>
  <r>
    <x v="773"/>
    <x v="18"/>
    <s v="United States"/>
    <x v="0"/>
    <n v="550"/>
    <n v="0.1"/>
    <n v="962"/>
    <x v="506"/>
    <x v="2"/>
    <x v="5"/>
    <x v="4"/>
    <n v="0"/>
    <x v="0"/>
  </r>
  <r>
    <x v="247"/>
    <x v="13"/>
    <s v="United States"/>
    <x v="0"/>
    <n v="106"/>
    <n v="0.17"/>
    <n v="839"/>
    <x v="506"/>
    <x v="2"/>
    <x v="5"/>
    <x v="4"/>
    <n v="0"/>
    <x v="0"/>
  </r>
  <r>
    <x v="774"/>
    <x v="27"/>
    <s v="United States"/>
    <x v="5"/>
    <n v="90"/>
    <s v="NULL"/>
    <n v="161"/>
    <x v="506"/>
    <x v="2"/>
    <x v="5"/>
    <x v="4"/>
    <s v="NULL"/>
    <x v="0"/>
  </r>
  <r>
    <x v="775"/>
    <x v="1"/>
    <s v="Sweden"/>
    <x v="0"/>
    <n v="80"/>
    <n v="0.13"/>
    <n v="312"/>
    <x v="506"/>
    <x v="2"/>
    <x v="5"/>
    <x v="4"/>
    <n v="0"/>
    <x v="0"/>
  </r>
  <r>
    <x v="651"/>
    <x v="18"/>
    <s v="United States"/>
    <x v="2"/>
    <n v="20"/>
    <n v="0.1"/>
    <n v="118"/>
    <x v="506"/>
    <x v="2"/>
    <x v="5"/>
    <x v="4"/>
    <n v="0"/>
    <x v="0"/>
  </r>
  <r>
    <x v="776"/>
    <x v="6"/>
    <s v="United States"/>
    <x v="6"/>
    <s v="NULL"/>
    <n v="1"/>
    <n v="10"/>
    <x v="506"/>
    <x v="2"/>
    <x v="5"/>
    <x v="3"/>
    <n v="1"/>
    <x v="0"/>
  </r>
  <r>
    <x v="777"/>
    <x v="11"/>
    <s v="United States"/>
    <x v="7"/>
    <s v="NULL"/>
    <n v="0.13"/>
    <n v="303"/>
    <x v="506"/>
    <x v="2"/>
    <x v="5"/>
    <x v="4"/>
    <n v="0"/>
    <x v="0"/>
  </r>
  <r>
    <x v="72"/>
    <x v="24"/>
    <s v="United States"/>
    <x v="0"/>
    <n v="4250"/>
    <n v="0.05"/>
    <n v="2"/>
    <x v="507"/>
    <x v="2"/>
    <x v="5"/>
    <x v="0"/>
    <n v="0"/>
    <x v="0"/>
  </r>
  <r>
    <x v="778"/>
    <x v="14"/>
    <s v="India"/>
    <x v="8"/>
    <n v="19"/>
    <n v="0.2"/>
    <n v="16"/>
    <x v="507"/>
    <x v="2"/>
    <x v="5"/>
    <x v="3"/>
    <n v="0"/>
    <x v="0"/>
  </r>
  <r>
    <x v="779"/>
    <x v="2"/>
    <s v="United States"/>
    <x v="7"/>
    <s v="NULL"/>
    <n v="0.25"/>
    <n v="181"/>
    <x v="507"/>
    <x v="2"/>
    <x v="5"/>
    <x v="4"/>
    <n v="0"/>
    <x v="0"/>
  </r>
  <r>
    <x v="780"/>
    <x v="18"/>
    <s v="United States"/>
    <x v="0"/>
    <n v="250"/>
    <n v="7.0000000000000007E-2"/>
    <n v="2900"/>
    <x v="508"/>
    <x v="2"/>
    <x v="5"/>
    <x v="2"/>
    <n v="0"/>
    <x v="0"/>
  </r>
  <r>
    <x v="760"/>
    <x v="5"/>
    <s v="United States"/>
    <x v="3"/>
    <n v="77"/>
    <s v="NULL"/>
    <n v="315"/>
    <x v="508"/>
    <x v="2"/>
    <x v="5"/>
    <x v="4"/>
    <s v="NULL"/>
    <x v="0"/>
  </r>
  <r>
    <x v="781"/>
    <x v="1"/>
    <s v="United States"/>
    <x v="3"/>
    <n v="60"/>
    <n v="0.05"/>
    <n v="2.2999999999999998"/>
    <x v="508"/>
    <x v="2"/>
    <x v="5"/>
    <x v="0"/>
    <n v="0"/>
    <x v="0"/>
  </r>
  <r>
    <x v="782"/>
    <x v="0"/>
    <s v="United States"/>
    <x v="0"/>
    <n v="50"/>
    <n v="0.1"/>
    <n v="137"/>
    <x v="508"/>
    <x v="2"/>
    <x v="5"/>
    <x v="4"/>
    <n v="0"/>
    <x v="0"/>
  </r>
  <r>
    <x v="398"/>
    <x v="2"/>
    <s v="United States"/>
    <x v="0"/>
    <n v="40"/>
    <n v="0.06"/>
    <n v="229"/>
    <x v="508"/>
    <x v="2"/>
    <x v="5"/>
    <x v="4"/>
    <n v="0"/>
    <x v="0"/>
  </r>
  <r>
    <x v="783"/>
    <x v="1"/>
    <s v="Israel"/>
    <x v="8"/>
    <s v="NULL"/>
    <n v="1"/>
    <n v="15"/>
    <x v="508"/>
    <x v="2"/>
    <x v="5"/>
    <x v="3"/>
    <n v="1"/>
    <x v="0"/>
  </r>
  <r>
    <x v="784"/>
    <x v="1"/>
    <s v="Germany"/>
    <x v="1"/>
    <s v="NULL"/>
    <s v="NULL"/>
    <s v="NULL"/>
    <x v="508"/>
    <x v="2"/>
    <x v="5"/>
    <x v="1"/>
    <s v="NULL"/>
    <x v="1"/>
  </r>
  <r>
    <x v="785"/>
    <x v="11"/>
    <s v="Israel"/>
    <x v="3"/>
    <s v="NULL"/>
    <n v="1"/>
    <n v="37"/>
    <x v="508"/>
    <x v="2"/>
    <x v="5"/>
    <x v="3"/>
    <n v="1"/>
    <x v="0"/>
  </r>
  <r>
    <x v="786"/>
    <x v="4"/>
    <s v="United States"/>
    <x v="0"/>
    <n v="160"/>
    <n v="0.03"/>
    <n v="525"/>
    <x v="509"/>
    <x v="2"/>
    <x v="5"/>
    <x v="4"/>
    <n v="0"/>
    <x v="0"/>
  </r>
  <r>
    <x v="787"/>
    <x v="18"/>
    <s v="India"/>
    <x v="4"/>
    <n v="80"/>
    <n v="0.03"/>
    <n v="490"/>
    <x v="510"/>
    <x v="2"/>
    <x v="5"/>
    <x v="4"/>
    <n v="0"/>
    <x v="0"/>
  </r>
  <r>
    <x v="788"/>
    <x v="2"/>
    <s v="India"/>
    <x v="8"/>
    <n v="21"/>
    <n v="0.18"/>
    <n v="20"/>
    <x v="510"/>
    <x v="2"/>
    <x v="5"/>
    <x v="3"/>
    <n v="0"/>
    <x v="0"/>
  </r>
  <r>
    <x v="789"/>
    <x v="0"/>
    <s v="United States"/>
    <x v="5"/>
    <s v="NULL"/>
    <s v="NULL"/>
    <n v="188"/>
    <x v="510"/>
    <x v="2"/>
    <x v="5"/>
    <x v="4"/>
    <s v="NULL"/>
    <x v="1"/>
  </r>
  <r>
    <x v="790"/>
    <x v="6"/>
    <s v="United States"/>
    <x v="0"/>
    <n v="275"/>
    <s v="NULL"/>
    <n v="529"/>
    <x v="511"/>
    <x v="2"/>
    <x v="5"/>
    <x v="4"/>
    <s v="NULL"/>
    <x v="0"/>
  </r>
  <r>
    <x v="791"/>
    <x v="26"/>
    <s v="Norway"/>
    <x v="0"/>
    <n v="65"/>
    <n v="0.15"/>
    <n v="247"/>
    <x v="511"/>
    <x v="2"/>
    <x v="5"/>
    <x v="4"/>
    <n v="0"/>
    <x v="0"/>
  </r>
  <r>
    <x v="406"/>
    <x v="11"/>
    <s v="United States"/>
    <x v="0"/>
    <s v="NULL"/>
    <n v="0.3"/>
    <n v="948"/>
    <x v="511"/>
    <x v="2"/>
    <x v="5"/>
    <x v="4"/>
    <n v="0"/>
    <x v="0"/>
  </r>
  <r>
    <x v="792"/>
    <x v="13"/>
    <s v="United States"/>
    <x v="2"/>
    <s v="NULL"/>
    <n v="1"/>
    <n v="31"/>
    <x v="511"/>
    <x v="2"/>
    <x v="5"/>
    <x v="3"/>
    <n v="1"/>
    <x v="0"/>
  </r>
  <r>
    <x v="793"/>
    <x v="1"/>
    <s v="United States"/>
    <x v="3"/>
    <n v="230"/>
    <s v="NULL"/>
    <n v="400"/>
    <x v="512"/>
    <x v="2"/>
    <x v="5"/>
    <x v="4"/>
    <s v="NULL"/>
    <x v="0"/>
  </r>
  <r>
    <x v="794"/>
    <x v="9"/>
    <s v="United States"/>
    <x v="11"/>
    <n v="20"/>
    <n v="0.03"/>
    <n v="1000"/>
    <x v="512"/>
    <x v="2"/>
    <x v="5"/>
    <x v="2"/>
    <n v="0"/>
    <x v="0"/>
  </r>
  <r>
    <x v="795"/>
    <x v="3"/>
    <s v="United States"/>
    <x v="0"/>
    <s v="NULL"/>
    <n v="0.05"/>
    <n v="565"/>
    <x v="512"/>
    <x v="2"/>
    <x v="5"/>
    <x v="4"/>
    <n v="0"/>
    <x v="0"/>
  </r>
  <r>
    <x v="796"/>
    <x v="7"/>
    <s v="Finland"/>
    <x v="6"/>
    <s v="NULL"/>
    <n v="1"/>
    <n v="3"/>
    <x v="512"/>
    <x v="2"/>
    <x v="5"/>
    <x v="0"/>
    <n v="1"/>
    <x v="0"/>
  </r>
  <r>
    <x v="797"/>
    <x v="19"/>
    <s v="United States"/>
    <x v="0"/>
    <n v="440"/>
    <n v="0.06"/>
    <n v="536"/>
    <x v="513"/>
    <x v="2"/>
    <x v="5"/>
    <x v="4"/>
    <n v="0"/>
    <x v="0"/>
  </r>
  <r>
    <x v="161"/>
    <x v="2"/>
    <s v="United States"/>
    <x v="0"/>
    <n v="400"/>
    <s v="NULL"/>
    <n v="108"/>
    <x v="513"/>
    <x v="2"/>
    <x v="5"/>
    <x v="4"/>
    <s v="NULL"/>
    <x v="0"/>
  </r>
  <r>
    <x v="798"/>
    <x v="20"/>
    <s v="United States"/>
    <x v="11"/>
    <s v="NULL"/>
    <s v="NULL"/>
    <n v="133"/>
    <x v="513"/>
    <x v="2"/>
    <x v="5"/>
    <x v="4"/>
    <s v="NULL"/>
    <x v="1"/>
  </r>
  <r>
    <x v="113"/>
    <x v="1"/>
    <s v="United States"/>
    <x v="0"/>
    <n v="500"/>
    <n v="0.1"/>
    <n v="4900"/>
    <x v="514"/>
    <x v="2"/>
    <x v="5"/>
    <x v="2"/>
    <n v="0"/>
    <x v="0"/>
  </r>
  <r>
    <x v="799"/>
    <x v="2"/>
    <s v="United States"/>
    <x v="1"/>
    <n v="168"/>
    <n v="1"/>
    <n v="119"/>
    <x v="514"/>
    <x v="2"/>
    <x v="5"/>
    <x v="4"/>
    <n v="1"/>
    <x v="0"/>
  </r>
  <r>
    <x v="800"/>
    <x v="14"/>
    <s v="United States"/>
    <x v="2"/>
    <n v="80"/>
    <s v="NULL"/>
    <n v="119"/>
    <x v="514"/>
    <x v="2"/>
    <x v="5"/>
    <x v="4"/>
    <s v="NULL"/>
    <x v="0"/>
  </r>
  <r>
    <x v="801"/>
    <x v="19"/>
    <s v="United States"/>
    <x v="9"/>
    <n v="40"/>
    <n v="0.03"/>
    <n v="361"/>
    <x v="514"/>
    <x v="2"/>
    <x v="5"/>
    <x v="4"/>
    <n v="0"/>
    <x v="0"/>
  </r>
  <r>
    <x v="802"/>
    <x v="5"/>
    <s v="United States"/>
    <x v="8"/>
    <s v="NULL"/>
    <n v="1"/>
    <n v="13"/>
    <x v="514"/>
    <x v="2"/>
    <x v="5"/>
    <x v="3"/>
    <n v="1"/>
    <x v="0"/>
  </r>
  <r>
    <x v="803"/>
    <x v="1"/>
    <s v="United States"/>
    <x v="1"/>
    <s v="NULL"/>
    <s v="NULL"/>
    <n v="18"/>
    <x v="514"/>
    <x v="2"/>
    <x v="5"/>
    <x v="3"/>
    <s v="NULL"/>
    <x v="1"/>
  </r>
  <r>
    <x v="804"/>
    <x v="14"/>
    <s v="India"/>
    <x v="6"/>
    <s v="NULL"/>
    <n v="1"/>
    <n v="4"/>
    <x v="514"/>
    <x v="2"/>
    <x v="5"/>
    <x v="0"/>
    <n v="1"/>
    <x v="0"/>
  </r>
  <r>
    <x v="805"/>
    <x v="5"/>
    <s v="United States"/>
    <x v="3"/>
    <s v="NULL"/>
    <s v="NULL"/>
    <n v="218"/>
    <x v="514"/>
    <x v="2"/>
    <x v="5"/>
    <x v="4"/>
    <s v="NULL"/>
    <x v="1"/>
  </r>
  <r>
    <x v="806"/>
    <x v="25"/>
    <s v="United States"/>
    <x v="5"/>
    <s v="NULL"/>
    <s v="NULL"/>
    <n v="619"/>
    <x v="514"/>
    <x v="2"/>
    <x v="5"/>
    <x v="4"/>
    <s v="NULL"/>
    <x v="1"/>
  </r>
  <r>
    <x v="660"/>
    <x v="5"/>
    <s v="United States"/>
    <x v="0"/>
    <n v="245"/>
    <n v="0.3"/>
    <n v="899"/>
    <x v="515"/>
    <x v="2"/>
    <x v="5"/>
    <x v="4"/>
    <n v="0"/>
    <x v="0"/>
  </r>
  <r>
    <x v="807"/>
    <x v="21"/>
    <s v="Canada"/>
    <x v="11"/>
    <n v="35"/>
    <n v="7.0000000000000007E-2"/>
    <n v="234"/>
    <x v="515"/>
    <x v="2"/>
    <x v="5"/>
    <x v="4"/>
    <n v="0"/>
    <x v="0"/>
  </r>
  <r>
    <x v="808"/>
    <x v="11"/>
    <s v="Sweden"/>
    <x v="3"/>
    <s v="NULL"/>
    <n v="1"/>
    <n v="74"/>
    <x v="515"/>
    <x v="2"/>
    <x v="5"/>
    <x v="3"/>
    <n v="1"/>
    <x v="0"/>
  </r>
  <r>
    <x v="809"/>
    <x v="18"/>
    <s v="United Kingdom"/>
    <x v="3"/>
    <s v="NULL"/>
    <n v="1"/>
    <n v="10"/>
    <x v="515"/>
    <x v="2"/>
    <x v="5"/>
    <x v="3"/>
    <n v="1"/>
    <x v="0"/>
  </r>
  <r>
    <x v="810"/>
    <x v="14"/>
    <s v="United Kingdom"/>
    <x v="3"/>
    <s v="NULL"/>
    <n v="1"/>
    <n v="41"/>
    <x v="515"/>
    <x v="2"/>
    <x v="5"/>
    <x v="3"/>
    <n v="1"/>
    <x v="0"/>
  </r>
  <r>
    <x v="418"/>
    <x v="3"/>
    <s v="United States"/>
    <x v="0"/>
    <n v="400"/>
    <n v="7.0000000000000007E-2"/>
    <n v="1200"/>
    <x v="516"/>
    <x v="2"/>
    <x v="5"/>
    <x v="2"/>
    <n v="0"/>
    <x v="0"/>
  </r>
  <r>
    <x v="811"/>
    <x v="0"/>
    <s v="United States"/>
    <x v="0"/>
    <n v="150"/>
    <n v="0.02"/>
    <n v="276"/>
    <x v="516"/>
    <x v="2"/>
    <x v="5"/>
    <x v="4"/>
    <n v="0"/>
    <x v="0"/>
  </r>
  <r>
    <x v="812"/>
    <x v="5"/>
    <s v="United States"/>
    <x v="0"/>
    <n v="111"/>
    <s v="NULL"/>
    <n v="28"/>
    <x v="516"/>
    <x v="2"/>
    <x v="5"/>
    <x v="3"/>
    <s v="NULL"/>
    <x v="0"/>
  </r>
  <r>
    <x v="201"/>
    <x v="9"/>
    <s v="Cayman Islands"/>
    <x v="3"/>
    <n v="60"/>
    <n v="0.19"/>
    <n v="451"/>
    <x v="516"/>
    <x v="2"/>
    <x v="5"/>
    <x v="4"/>
    <n v="0"/>
    <x v="0"/>
  </r>
  <r>
    <x v="813"/>
    <x v="0"/>
    <s v="United States"/>
    <x v="4"/>
    <s v="NULL"/>
    <s v="NULL"/>
    <n v="1200"/>
    <x v="516"/>
    <x v="2"/>
    <x v="5"/>
    <x v="2"/>
    <s v="NULL"/>
    <x v="1"/>
  </r>
  <r>
    <x v="814"/>
    <x v="3"/>
    <s v="United States"/>
    <x v="1"/>
    <n v="280"/>
    <n v="0.06"/>
    <n v="885"/>
    <x v="517"/>
    <x v="2"/>
    <x v="6"/>
    <x v="4"/>
    <n v="0"/>
    <x v="0"/>
  </r>
  <r>
    <x v="815"/>
    <x v="2"/>
    <s v="United States"/>
    <x v="11"/>
    <n v="130"/>
    <s v="NULL"/>
    <n v="152"/>
    <x v="517"/>
    <x v="2"/>
    <x v="6"/>
    <x v="4"/>
    <s v="NULL"/>
    <x v="0"/>
  </r>
  <r>
    <x v="816"/>
    <x v="22"/>
    <s v="United States"/>
    <x v="4"/>
    <n v="100"/>
    <s v="NULL"/>
    <n v="315"/>
    <x v="517"/>
    <x v="2"/>
    <x v="6"/>
    <x v="4"/>
    <s v="NULL"/>
    <x v="0"/>
  </r>
  <r>
    <x v="817"/>
    <x v="2"/>
    <s v="United States"/>
    <x v="1"/>
    <n v="95"/>
    <s v="NULL"/>
    <n v="26"/>
    <x v="517"/>
    <x v="2"/>
    <x v="6"/>
    <x v="3"/>
    <s v="NULL"/>
    <x v="0"/>
  </r>
  <r>
    <x v="421"/>
    <x v="11"/>
    <s v="Israel"/>
    <x v="0"/>
    <n v="60"/>
    <n v="0.13"/>
    <n v="547"/>
    <x v="517"/>
    <x v="2"/>
    <x v="6"/>
    <x v="4"/>
    <n v="0"/>
    <x v="0"/>
  </r>
  <r>
    <x v="818"/>
    <x v="4"/>
    <s v="United States"/>
    <x v="3"/>
    <s v="NULL"/>
    <n v="1"/>
    <s v="NULL"/>
    <x v="517"/>
    <x v="2"/>
    <x v="6"/>
    <x v="1"/>
    <n v="1"/>
    <x v="0"/>
  </r>
  <r>
    <x v="819"/>
    <x v="14"/>
    <s v="United States"/>
    <x v="0"/>
    <s v="NULL"/>
    <n v="0.08"/>
    <n v="647"/>
    <x v="517"/>
    <x v="2"/>
    <x v="6"/>
    <x v="4"/>
    <n v="0"/>
    <x v="0"/>
  </r>
  <r>
    <x v="96"/>
    <x v="14"/>
    <s v="United States"/>
    <x v="0"/>
    <n v="2500"/>
    <n v="0.09"/>
    <n v="216"/>
    <x v="518"/>
    <x v="2"/>
    <x v="6"/>
    <x v="4"/>
    <n v="0"/>
    <x v="0"/>
  </r>
  <r>
    <x v="166"/>
    <x v="14"/>
    <s v="United States"/>
    <x v="0"/>
    <n v="1000"/>
    <n v="0.1"/>
    <n v="150"/>
    <x v="518"/>
    <x v="2"/>
    <x v="6"/>
    <x v="4"/>
    <n v="0"/>
    <x v="0"/>
  </r>
  <r>
    <x v="193"/>
    <x v="13"/>
    <s v="Czech Republic"/>
    <x v="3"/>
    <n v="216"/>
    <n v="0.18"/>
    <n v="107"/>
    <x v="518"/>
    <x v="2"/>
    <x v="6"/>
    <x v="4"/>
    <n v="0"/>
    <x v="0"/>
  </r>
  <r>
    <x v="431"/>
    <x v="26"/>
    <s v="United States"/>
    <x v="7"/>
    <n v="111"/>
    <n v="0.2"/>
    <n v="523"/>
    <x v="518"/>
    <x v="2"/>
    <x v="6"/>
    <x v="4"/>
    <n v="0"/>
    <x v="0"/>
  </r>
  <r>
    <x v="820"/>
    <x v="4"/>
    <s v="Canada"/>
    <x v="1"/>
    <n v="20"/>
    <n v="0.1"/>
    <n v="117"/>
    <x v="518"/>
    <x v="2"/>
    <x v="6"/>
    <x v="4"/>
    <n v="0"/>
    <x v="0"/>
  </r>
  <r>
    <x v="436"/>
    <x v="4"/>
    <s v="United States"/>
    <x v="1"/>
    <n v="7"/>
    <s v="NULL"/>
    <s v="NULL"/>
    <x v="518"/>
    <x v="2"/>
    <x v="6"/>
    <x v="1"/>
    <s v="NULL"/>
    <x v="0"/>
  </r>
  <r>
    <x v="821"/>
    <x v="25"/>
    <s v="United States"/>
    <x v="4"/>
    <s v="NULL"/>
    <s v="NULL"/>
    <n v="657"/>
    <x v="518"/>
    <x v="2"/>
    <x v="6"/>
    <x v="4"/>
    <s v="NULL"/>
    <x v="1"/>
  </r>
  <r>
    <x v="822"/>
    <x v="30"/>
    <s v="United States"/>
    <x v="0"/>
    <s v="NULL"/>
    <n v="0.04"/>
    <n v="654"/>
    <x v="518"/>
    <x v="2"/>
    <x v="6"/>
    <x v="4"/>
    <n v="0"/>
    <x v="0"/>
  </r>
  <r>
    <x v="823"/>
    <x v="14"/>
    <s v="Lithuania"/>
    <x v="3"/>
    <s v="NULL"/>
    <s v="NULL"/>
    <s v="NULL"/>
    <x v="518"/>
    <x v="2"/>
    <x v="6"/>
    <x v="1"/>
    <s v="NULL"/>
    <x v="1"/>
  </r>
  <r>
    <x v="491"/>
    <x v="1"/>
    <s v="United States"/>
    <x v="0"/>
    <n v="350"/>
    <n v="0.31"/>
    <n v="30"/>
    <x v="519"/>
    <x v="2"/>
    <x v="6"/>
    <x v="3"/>
    <n v="0"/>
    <x v="0"/>
  </r>
  <r>
    <x v="824"/>
    <x v="5"/>
    <s v="United States"/>
    <x v="11"/>
    <n v="88"/>
    <s v="NULL"/>
    <n v="733"/>
    <x v="519"/>
    <x v="2"/>
    <x v="6"/>
    <x v="4"/>
    <s v="NULL"/>
    <x v="0"/>
  </r>
  <r>
    <x v="152"/>
    <x v="19"/>
    <s v="Canada"/>
    <x v="9"/>
    <s v="NULL"/>
    <n v="0.06"/>
    <n v="263"/>
    <x v="519"/>
    <x v="2"/>
    <x v="6"/>
    <x v="4"/>
    <n v="0"/>
    <x v="0"/>
  </r>
  <r>
    <x v="38"/>
    <x v="19"/>
    <s v="United States"/>
    <x v="0"/>
    <n v="700"/>
    <n v="0.01"/>
    <n v="65"/>
    <x v="520"/>
    <x v="2"/>
    <x v="6"/>
    <x v="3"/>
    <n v="0"/>
    <x v="0"/>
  </r>
  <r>
    <x v="527"/>
    <x v="23"/>
    <s v="United States"/>
    <x v="11"/>
    <s v="NULL"/>
    <n v="0.2"/>
    <n v="2400"/>
    <x v="520"/>
    <x v="2"/>
    <x v="6"/>
    <x v="2"/>
    <n v="0"/>
    <x v="0"/>
  </r>
  <r>
    <x v="118"/>
    <x v="22"/>
    <s v="United States"/>
    <x v="7"/>
    <s v="NULL"/>
    <s v="NULL"/>
    <s v="NULL"/>
    <x v="520"/>
    <x v="2"/>
    <x v="6"/>
    <x v="1"/>
    <s v="NULL"/>
    <x v="1"/>
  </r>
  <r>
    <x v="0"/>
    <x v="0"/>
    <s v="United States"/>
    <x v="0"/>
    <n v="1900"/>
    <s v="NULL"/>
    <n v="1"/>
    <x v="521"/>
    <x v="2"/>
    <x v="6"/>
    <x v="0"/>
    <s v="NULL"/>
    <x v="0"/>
  </r>
  <r>
    <x v="825"/>
    <x v="18"/>
    <s v="India"/>
    <x v="3"/>
    <n v="400"/>
    <n v="7.0000000000000007E-2"/>
    <n v="3600"/>
    <x v="521"/>
    <x v="2"/>
    <x v="6"/>
    <x v="2"/>
    <n v="0"/>
    <x v="0"/>
  </r>
  <r>
    <x v="826"/>
    <x v="23"/>
    <s v="United States"/>
    <x v="2"/>
    <n v="65"/>
    <n v="0.19"/>
    <n v="299"/>
    <x v="521"/>
    <x v="2"/>
    <x v="6"/>
    <x v="4"/>
    <n v="0"/>
    <x v="0"/>
  </r>
  <r>
    <x v="13"/>
    <x v="10"/>
    <s v="United States"/>
    <x v="7"/>
    <n v="20"/>
    <s v="NULL"/>
    <n v="187"/>
    <x v="521"/>
    <x v="2"/>
    <x v="6"/>
    <x v="4"/>
    <s v="NULL"/>
    <x v="0"/>
  </r>
  <r>
    <x v="827"/>
    <x v="10"/>
    <s v="United States"/>
    <x v="2"/>
    <n v="12"/>
    <n v="0.3"/>
    <n v="27"/>
    <x v="521"/>
    <x v="2"/>
    <x v="6"/>
    <x v="3"/>
    <n v="0"/>
    <x v="0"/>
  </r>
  <r>
    <x v="331"/>
    <x v="4"/>
    <s v="United States"/>
    <x v="1"/>
    <s v="NULL"/>
    <n v="0.08"/>
    <n v="56"/>
    <x v="521"/>
    <x v="2"/>
    <x v="6"/>
    <x v="3"/>
    <n v="0"/>
    <x v="0"/>
  </r>
  <r>
    <x v="828"/>
    <x v="14"/>
    <s v="Nigeria"/>
    <x v="3"/>
    <s v="NULL"/>
    <n v="1"/>
    <s v="NULL"/>
    <x v="521"/>
    <x v="2"/>
    <x v="6"/>
    <x v="1"/>
    <n v="1"/>
    <x v="0"/>
  </r>
  <r>
    <x v="311"/>
    <x v="0"/>
    <s v="United States"/>
    <x v="0"/>
    <s v="NULL"/>
    <n v="0.06"/>
    <n v="332"/>
    <x v="521"/>
    <x v="2"/>
    <x v="6"/>
    <x v="4"/>
    <n v="0"/>
    <x v="0"/>
  </r>
  <r>
    <x v="829"/>
    <x v="25"/>
    <s v="India"/>
    <x v="4"/>
    <n v="100"/>
    <s v="NULL"/>
    <n v="635"/>
    <x v="522"/>
    <x v="2"/>
    <x v="6"/>
    <x v="4"/>
    <s v="NULL"/>
    <x v="0"/>
  </r>
  <r>
    <x v="253"/>
    <x v="7"/>
    <s v="Germany"/>
    <x v="11"/>
    <n v="100"/>
    <s v="NULL"/>
    <n v="724"/>
    <x v="522"/>
    <x v="2"/>
    <x v="6"/>
    <x v="4"/>
    <s v="NULL"/>
    <x v="0"/>
  </r>
  <r>
    <x v="775"/>
    <x v="4"/>
    <s v="Sweden"/>
    <x v="0"/>
    <n v="80"/>
    <n v="0.13"/>
    <n v="275"/>
    <x v="522"/>
    <x v="2"/>
    <x v="6"/>
    <x v="4"/>
    <n v="0"/>
    <x v="0"/>
  </r>
  <r>
    <x v="830"/>
    <x v="11"/>
    <s v="United States"/>
    <x v="0"/>
    <s v="NULL"/>
    <n v="0.03"/>
    <n v="3700"/>
    <x v="522"/>
    <x v="2"/>
    <x v="6"/>
    <x v="2"/>
    <n v="0"/>
    <x v="0"/>
  </r>
  <r>
    <x v="831"/>
    <x v="0"/>
    <s v="United States"/>
    <x v="0"/>
    <s v="NULL"/>
    <n v="0.2"/>
    <n v="811"/>
    <x v="522"/>
    <x v="2"/>
    <x v="6"/>
    <x v="4"/>
    <n v="0"/>
    <x v="0"/>
  </r>
  <r>
    <x v="832"/>
    <x v="10"/>
    <s v="United States"/>
    <x v="0"/>
    <s v="NULL"/>
    <s v="NULL"/>
    <n v="100"/>
    <x v="522"/>
    <x v="2"/>
    <x v="6"/>
    <x v="4"/>
    <s v="NULL"/>
    <x v="1"/>
  </r>
  <r>
    <x v="833"/>
    <x v="0"/>
    <s v="Germany"/>
    <x v="0"/>
    <n v="8000"/>
    <n v="7.0000000000000007E-2"/>
    <n v="1300"/>
    <x v="523"/>
    <x v="2"/>
    <x v="6"/>
    <x v="2"/>
    <n v="0"/>
    <x v="0"/>
  </r>
  <r>
    <x v="168"/>
    <x v="2"/>
    <s v="United States"/>
    <x v="0"/>
    <n v="1000"/>
    <n v="0.09"/>
    <n v="1200"/>
    <x v="523"/>
    <x v="2"/>
    <x v="6"/>
    <x v="2"/>
    <n v="0"/>
    <x v="0"/>
  </r>
  <r>
    <x v="834"/>
    <x v="11"/>
    <s v="United States"/>
    <x v="0"/>
    <n v="800"/>
    <n v="0.9"/>
    <n v="1300"/>
    <x v="523"/>
    <x v="2"/>
    <x v="6"/>
    <x v="2"/>
    <n v="0"/>
    <x v="0"/>
  </r>
  <r>
    <x v="835"/>
    <x v="14"/>
    <s v="United States"/>
    <x v="7"/>
    <n v="282"/>
    <n v="0.2"/>
    <n v="1500"/>
    <x v="523"/>
    <x v="2"/>
    <x v="6"/>
    <x v="2"/>
    <n v="0"/>
    <x v="0"/>
  </r>
  <r>
    <x v="836"/>
    <x v="25"/>
    <s v="India"/>
    <x v="4"/>
    <n v="120"/>
    <s v="NULL"/>
    <n v="625"/>
    <x v="523"/>
    <x v="2"/>
    <x v="6"/>
    <x v="4"/>
    <s v="NULL"/>
    <x v="0"/>
  </r>
  <r>
    <x v="837"/>
    <x v="21"/>
    <s v="Austria"/>
    <x v="7"/>
    <n v="100"/>
    <s v="NULL"/>
    <n v="686"/>
    <x v="523"/>
    <x v="2"/>
    <x v="6"/>
    <x v="4"/>
    <s v="NULL"/>
    <x v="0"/>
  </r>
  <r>
    <x v="509"/>
    <x v="4"/>
    <s v="France"/>
    <x v="5"/>
    <n v="30"/>
    <s v="NULL"/>
    <n v="22"/>
    <x v="523"/>
    <x v="2"/>
    <x v="6"/>
    <x v="3"/>
    <s v="NULL"/>
    <x v="0"/>
  </r>
  <r>
    <x v="838"/>
    <x v="0"/>
    <s v="United States"/>
    <x v="1"/>
    <n v="29"/>
    <s v="NULL"/>
    <n v="2"/>
    <x v="523"/>
    <x v="2"/>
    <x v="6"/>
    <x v="0"/>
    <s v="NULL"/>
    <x v="0"/>
  </r>
  <r>
    <x v="839"/>
    <x v="14"/>
    <s v="United Kingdom"/>
    <x v="1"/>
    <n v="15"/>
    <s v="NULL"/>
    <n v="28"/>
    <x v="523"/>
    <x v="2"/>
    <x v="6"/>
    <x v="3"/>
    <s v="NULL"/>
    <x v="0"/>
  </r>
  <r>
    <x v="840"/>
    <x v="1"/>
    <s v="United States"/>
    <x v="1"/>
    <n v="530"/>
    <n v="0.11"/>
    <n v="21"/>
    <x v="524"/>
    <x v="2"/>
    <x v="6"/>
    <x v="3"/>
    <n v="0"/>
    <x v="0"/>
  </r>
  <r>
    <x v="841"/>
    <x v="14"/>
    <s v="Indonesia"/>
    <x v="7"/>
    <n v="200"/>
    <s v="NULL"/>
    <n v="534"/>
    <x v="524"/>
    <x v="2"/>
    <x v="6"/>
    <x v="4"/>
    <s v="NULL"/>
    <x v="0"/>
  </r>
  <r>
    <x v="1"/>
    <x v="1"/>
    <s v="United States"/>
    <x v="1"/>
    <n v="60"/>
    <s v="NULL"/>
    <s v="NULL"/>
    <x v="524"/>
    <x v="2"/>
    <x v="6"/>
    <x v="1"/>
    <s v="NULL"/>
    <x v="0"/>
  </r>
  <r>
    <x v="371"/>
    <x v="21"/>
    <s v="United States"/>
    <x v="0"/>
    <s v="NULL"/>
    <s v="NULL"/>
    <n v="426"/>
    <x v="524"/>
    <x v="2"/>
    <x v="6"/>
    <x v="4"/>
    <s v="NULL"/>
    <x v="1"/>
  </r>
  <r>
    <x v="45"/>
    <x v="1"/>
    <s v="United States"/>
    <x v="0"/>
    <s v="NULL"/>
    <s v="NULL"/>
    <n v="26"/>
    <x v="524"/>
    <x v="2"/>
    <x v="6"/>
    <x v="3"/>
    <s v="NULL"/>
    <x v="1"/>
  </r>
  <r>
    <x v="841"/>
    <x v="14"/>
    <s v="Indonesia"/>
    <x v="7"/>
    <s v="NULL"/>
    <s v="NULL"/>
    <n v="534"/>
    <x v="524"/>
    <x v="2"/>
    <x v="6"/>
    <x v="4"/>
    <s v="NULL"/>
    <x v="1"/>
  </r>
  <r>
    <x v="442"/>
    <x v="26"/>
    <s v="Israel"/>
    <x v="0"/>
    <n v="900"/>
    <n v="0.16"/>
    <n v="155"/>
    <x v="525"/>
    <x v="2"/>
    <x v="6"/>
    <x v="4"/>
    <n v="0"/>
    <x v="0"/>
  </r>
  <r>
    <x v="383"/>
    <x v="2"/>
    <s v="United States"/>
    <x v="0"/>
    <n v="1650"/>
    <n v="0.13"/>
    <n v="1700"/>
    <x v="526"/>
    <x v="2"/>
    <x v="6"/>
    <x v="2"/>
    <n v="0"/>
    <x v="0"/>
  </r>
  <r>
    <x v="161"/>
    <x v="2"/>
    <s v="United States"/>
    <x v="0"/>
    <n v="30"/>
    <s v="NULL"/>
    <n v="108"/>
    <x v="527"/>
    <x v="2"/>
    <x v="6"/>
    <x v="4"/>
    <s v="NULL"/>
    <x v="0"/>
  </r>
  <r>
    <x v="842"/>
    <x v="2"/>
    <s v="United States"/>
    <x v="3"/>
    <s v="NULL"/>
    <s v="NULL"/>
    <n v="153"/>
    <x v="527"/>
    <x v="2"/>
    <x v="6"/>
    <x v="4"/>
    <s v="NULL"/>
    <x v="1"/>
  </r>
  <r>
    <x v="843"/>
    <x v="2"/>
    <s v="United States"/>
    <x v="0"/>
    <s v="NULL"/>
    <s v="NULL"/>
    <n v="79"/>
    <x v="527"/>
    <x v="2"/>
    <x v="6"/>
    <x v="3"/>
    <s v="NULL"/>
    <x v="1"/>
  </r>
  <r>
    <x v="844"/>
    <x v="4"/>
    <s v="United States"/>
    <x v="1"/>
    <n v="100"/>
    <s v="NULL"/>
    <n v="11"/>
    <x v="528"/>
    <x v="2"/>
    <x v="6"/>
    <x v="3"/>
    <s v="NULL"/>
    <x v="0"/>
  </r>
  <r>
    <x v="845"/>
    <x v="18"/>
    <s v="Germany"/>
    <x v="6"/>
    <n v="60"/>
    <s v="NULL"/>
    <s v="NULL"/>
    <x v="528"/>
    <x v="2"/>
    <x v="6"/>
    <x v="1"/>
    <s v="NULL"/>
    <x v="0"/>
  </r>
  <r>
    <x v="846"/>
    <x v="5"/>
    <s v="United States"/>
    <x v="5"/>
    <n v="49"/>
    <n v="0.17"/>
    <n v="183"/>
    <x v="529"/>
    <x v="2"/>
    <x v="6"/>
    <x v="4"/>
    <n v="0"/>
    <x v="0"/>
  </r>
  <r>
    <x v="847"/>
    <x v="11"/>
    <s v="United States"/>
    <x v="1"/>
    <n v="48"/>
    <n v="0.2"/>
    <n v="9"/>
    <x v="529"/>
    <x v="2"/>
    <x v="6"/>
    <x v="0"/>
    <n v="0"/>
    <x v="0"/>
  </r>
  <r>
    <x v="848"/>
    <x v="11"/>
    <s v="Japan"/>
    <x v="3"/>
    <s v="NULL"/>
    <n v="1"/>
    <s v="NULL"/>
    <x v="529"/>
    <x v="2"/>
    <x v="6"/>
    <x v="1"/>
    <n v="1"/>
    <x v="0"/>
  </r>
  <r>
    <x v="45"/>
    <x v="1"/>
    <s v="United States"/>
    <x v="0"/>
    <s v="NULL"/>
    <s v="NULL"/>
    <n v="26"/>
    <x v="529"/>
    <x v="2"/>
    <x v="6"/>
    <x v="3"/>
    <s v="NULL"/>
    <x v="1"/>
  </r>
  <r>
    <x v="849"/>
    <x v="1"/>
    <s v="United Kingdom"/>
    <x v="6"/>
    <s v="NULL"/>
    <n v="0.7"/>
    <n v="3"/>
    <x v="529"/>
    <x v="2"/>
    <x v="6"/>
    <x v="0"/>
    <n v="0"/>
    <x v="0"/>
  </r>
  <r>
    <x v="850"/>
    <x v="6"/>
    <s v="United States"/>
    <x v="1"/>
    <n v="300"/>
    <s v="NULL"/>
    <n v="500"/>
    <x v="530"/>
    <x v="2"/>
    <x v="6"/>
    <x v="4"/>
    <s v="NULL"/>
    <x v="0"/>
  </r>
  <r>
    <x v="851"/>
    <x v="0"/>
    <s v="Estonia"/>
    <x v="1"/>
    <n v="13"/>
    <s v="NULL"/>
    <n v="28"/>
    <x v="530"/>
    <x v="2"/>
    <x v="6"/>
    <x v="3"/>
    <s v="NULL"/>
    <x v="0"/>
  </r>
  <r>
    <x v="852"/>
    <x v="4"/>
    <s v="United States"/>
    <x v="3"/>
    <s v="NULL"/>
    <n v="1"/>
    <s v="NULL"/>
    <x v="530"/>
    <x v="2"/>
    <x v="6"/>
    <x v="1"/>
    <n v="1"/>
    <x v="0"/>
  </r>
  <r>
    <x v="853"/>
    <x v="2"/>
    <s v="Pakistan"/>
    <x v="8"/>
    <s v="NULL"/>
    <n v="0.8"/>
    <n v="41"/>
    <x v="530"/>
    <x v="2"/>
    <x v="6"/>
    <x v="3"/>
    <n v="0"/>
    <x v="0"/>
  </r>
  <r>
    <x v="854"/>
    <x v="24"/>
    <s v="United States"/>
    <x v="3"/>
    <s v="NULL"/>
    <s v="NULL"/>
    <n v="82"/>
    <x v="530"/>
    <x v="2"/>
    <x v="6"/>
    <x v="3"/>
    <s v="NULL"/>
    <x v="1"/>
  </r>
  <r>
    <x v="855"/>
    <x v="0"/>
    <s v="United States"/>
    <x v="2"/>
    <s v="NULL"/>
    <s v="NULL"/>
    <n v="216"/>
    <x v="530"/>
    <x v="2"/>
    <x v="6"/>
    <x v="4"/>
    <s v="NULL"/>
    <x v="1"/>
  </r>
  <r>
    <x v="856"/>
    <x v="1"/>
    <s v="Germany"/>
    <x v="0"/>
    <n v="400"/>
    <s v="NULL"/>
    <s v="NULL"/>
    <x v="531"/>
    <x v="2"/>
    <x v="6"/>
    <x v="1"/>
    <s v="NULL"/>
    <x v="0"/>
  </r>
  <r>
    <x v="205"/>
    <x v="1"/>
    <s v="Israel"/>
    <x v="0"/>
    <n v="300"/>
    <n v="0.1"/>
    <s v="NULL"/>
    <x v="531"/>
    <x v="2"/>
    <x v="6"/>
    <x v="1"/>
    <n v="0"/>
    <x v="0"/>
  </r>
  <r>
    <x v="857"/>
    <x v="1"/>
    <s v="United States"/>
    <x v="13"/>
    <n v="170"/>
    <n v="0.17"/>
    <n v="995"/>
    <x v="531"/>
    <x v="2"/>
    <x v="6"/>
    <x v="4"/>
    <n v="0"/>
    <x v="0"/>
  </r>
  <r>
    <x v="858"/>
    <x v="10"/>
    <s v="India"/>
    <x v="3"/>
    <n v="125"/>
    <n v="0.05"/>
    <n v="320"/>
    <x v="531"/>
    <x v="2"/>
    <x v="6"/>
    <x v="4"/>
    <n v="0"/>
    <x v="0"/>
  </r>
  <r>
    <x v="859"/>
    <x v="4"/>
    <s v="United States"/>
    <x v="1"/>
    <n v="100"/>
    <n v="0.05"/>
    <n v="14"/>
    <x v="531"/>
    <x v="2"/>
    <x v="6"/>
    <x v="3"/>
    <n v="0"/>
    <x v="0"/>
  </r>
  <r>
    <x v="860"/>
    <x v="18"/>
    <s v="Canada"/>
    <x v="5"/>
    <n v="68"/>
    <n v="0.19"/>
    <n v="131"/>
    <x v="531"/>
    <x v="2"/>
    <x v="6"/>
    <x v="4"/>
    <n v="0"/>
    <x v="0"/>
  </r>
  <r>
    <x v="861"/>
    <x v="6"/>
    <s v="United States"/>
    <x v="4"/>
    <n v="60"/>
    <n v="0.13"/>
    <n v="274"/>
    <x v="531"/>
    <x v="2"/>
    <x v="6"/>
    <x v="4"/>
    <n v="0"/>
    <x v="0"/>
  </r>
  <r>
    <x v="85"/>
    <x v="3"/>
    <s v="United States"/>
    <x v="0"/>
    <n v="40"/>
    <s v="NULL"/>
    <n v="332"/>
    <x v="531"/>
    <x v="2"/>
    <x v="6"/>
    <x v="4"/>
    <s v="NULL"/>
    <x v="0"/>
  </r>
  <r>
    <x v="862"/>
    <x v="1"/>
    <s v="Israel"/>
    <x v="0"/>
    <s v="NULL"/>
    <s v="NULL"/>
    <s v="NULL"/>
    <x v="531"/>
    <x v="2"/>
    <x v="6"/>
    <x v="1"/>
    <s v="NULL"/>
    <x v="1"/>
  </r>
  <r>
    <x v="863"/>
    <x v="0"/>
    <s v="United States"/>
    <x v="3"/>
    <s v="NULL"/>
    <s v="NULL"/>
    <n v="194"/>
    <x v="531"/>
    <x v="2"/>
    <x v="6"/>
    <x v="4"/>
    <s v="NULL"/>
    <x v="1"/>
  </r>
  <r>
    <x v="510"/>
    <x v="7"/>
    <s v="United States"/>
    <x v="2"/>
    <s v="NULL"/>
    <s v="NULL"/>
    <n v="140"/>
    <x v="531"/>
    <x v="2"/>
    <x v="6"/>
    <x v="4"/>
    <s v="NULL"/>
    <x v="1"/>
  </r>
  <r>
    <x v="864"/>
    <x v="23"/>
    <s v="United States"/>
    <x v="3"/>
    <s v="NULL"/>
    <n v="1"/>
    <s v="NULL"/>
    <x v="531"/>
    <x v="2"/>
    <x v="6"/>
    <x v="1"/>
    <n v="1"/>
    <x v="0"/>
  </r>
  <r>
    <x v="865"/>
    <x v="24"/>
    <s v="United States"/>
    <x v="1"/>
    <n v="1000"/>
    <n v="0.12"/>
    <n v="20"/>
    <x v="532"/>
    <x v="2"/>
    <x v="6"/>
    <x v="3"/>
    <n v="0"/>
    <x v="0"/>
  </r>
  <r>
    <x v="45"/>
    <x v="1"/>
    <s v="United States"/>
    <x v="0"/>
    <n v="1000"/>
    <s v="NULL"/>
    <n v="26"/>
    <x v="532"/>
    <x v="2"/>
    <x v="6"/>
    <x v="3"/>
    <s v="NULL"/>
    <x v="0"/>
  </r>
  <r>
    <x v="127"/>
    <x v="1"/>
    <s v="United States"/>
    <x v="0"/>
    <n v="330"/>
    <s v="NULL"/>
    <s v="NULL"/>
    <x v="532"/>
    <x v="2"/>
    <x v="6"/>
    <x v="1"/>
    <s v="NULL"/>
    <x v="0"/>
  </r>
  <r>
    <x v="866"/>
    <x v="18"/>
    <s v="United States"/>
    <x v="1"/>
    <n v="100"/>
    <n v="0.03"/>
    <n v="280"/>
    <x v="532"/>
    <x v="2"/>
    <x v="6"/>
    <x v="4"/>
    <n v="0"/>
    <x v="0"/>
  </r>
  <r>
    <x v="867"/>
    <x v="5"/>
    <s v="United States"/>
    <x v="11"/>
    <n v="74"/>
    <s v="NULL"/>
    <n v="168"/>
    <x v="532"/>
    <x v="2"/>
    <x v="6"/>
    <x v="4"/>
    <s v="NULL"/>
    <x v="0"/>
  </r>
  <r>
    <x v="868"/>
    <x v="1"/>
    <s v="United States"/>
    <x v="1"/>
    <n v="60"/>
    <s v="NULL"/>
    <n v="57"/>
    <x v="532"/>
    <x v="2"/>
    <x v="6"/>
    <x v="3"/>
    <s v="NULL"/>
    <x v="0"/>
  </r>
  <r>
    <x v="161"/>
    <x v="2"/>
    <s v="United States"/>
    <x v="0"/>
    <s v="NULL"/>
    <s v="NULL"/>
    <n v="108"/>
    <x v="532"/>
    <x v="2"/>
    <x v="6"/>
    <x v="4"/>
    <s v="NULL"/>
    <x v="1"/>
  </r>
  <r>
    <x v="553"/>
    <x v="20"/>
    <s v="United States"/>
    <x v="3"/>
    <s v="NULL"/>
    <n v="0.12"/>
    <n v="1400"/>
    <x v="532"/>
    <x v="2"/>
    <x v="6"/>
    <x v="2"/>
    <n v="0"/>
    <x v="0"/>
  </r>
  <r>
    <x v="869"/>
    <x v="14"/>
    <s v="United States"/>
    <x v="0"/>
    <s v="NULL"/>
    <n v="0.04"/>
    <n v="3000"/>
    <x v="532"/>
    <x v="2"/>
    <x v="6"/>
    <x v="2"/>
    <n v="0"/>
    <x v="0"/>
  </r>
  <r>
    <x v="870"/>
    <x v="1"/>
    <s v="United States"/>
    <x v="1"/>
    <n v="500"/>
    <n v="0.35"/>
    <n v="35"/>
    <x v="533"/>
    <x v="2"/>
    <x v="6"/>
    <x v="3"/>
    <n v="0"/>
    <x v="0"/>
  </r>
  <r>
    <x v="871"/>
    <x v="14"/>
    <s v="United States"/>
    <x v="5"/>
    <n v="85"/>
    <s v="NULL"/>
    <n v="229"/>
    <x v="533"/>
    <x v="2"/>
    <x v="6"/>
    <x v="4"/>
    <s v="NULL"/>
    <x v="0"/>
  </r>
  <r>
    <x v="872"/>
    <x v="5"/>
    <s v="United States"/>
    <x v="0"/>
    <n v="63"/>
    <n v="0.05"/>
    <n v="556"/>
    <x v="533"/>
    <x v="2"/>
    <x v="6"/>
    <x v="4"/>
    <n v="0"/>
    <x v="0"/>
  </r>
  <r>
    <x v="873"/>
    <x v="10"/>
    <s v="United States"/>
    <x v="3"/>
    <n v="50"/>
    <n v="0.1"/>
    <n v="197"/>
    <x v="533"/>
    <x v="2"/>
    <x v="6"/>
    <x v="4"/>
    <n v="0"/>
    <x v="0"/>
  </r>
  <r>
    <x v="874"/>
    <x v="23"/>
    <s v="United States"/>
    <x v="10"/>
    <n v="40"/>
    <s v="NULL"/>
    <n v="2700"/>
    <x v="533"/>
    <x v="2"/>
    <x v="6"/>
    <x v="2"/>
    <s v="NULL"/>
    <x v="0"/>
  </r>
  <r>
    <x v="875"/>
    <x v="2"/>
    <s v="United States"/>
    <x v="0"/>
    <n v="37"/>
    <n v="0.1"/>
    <n v="526"/>
    <x v="533"/>
    <x v="2"/>
    <x v="6"/>
    <x v="4"/>
    <n v="0"/>
    <x v="0"/>
  </r>
  <r>
    <x v="876"/>
    <x v="14"/>
    <s v="United States"/>
    <x v="8"/>
    <n v="14"/>
    <n v="0.6"/>
    <n v="14"/>
    <x v="533"/>
    <x v="2"/>
    <x v="6"/>
    <x v="3"/>
    <n v="0"/>
    <x v="0"/>
  </r>
  <r>
    <x v="877"/>
    <x v="12"/>
    <s v="United States"/>
    <x v="5"/>
    <n v="10"/>
    <n v="0.04"/>
    <n v="230"/>
    <x v="533"/>
    <x v="2"/>
    <x v="6"/>
    <x v="4"/>
    <n v="0"/>
    <x v="0"/>
  </r>
  <r>
    <x v="878"/>
    <x v="26"/>
    <s v="Netherlands"/>
    <x v="0"/>
    <s v="NULL"/>
    <s v="NULL"/>
    <s v="NULL"/>
    <x v="533"/>
    <x v="2"/>
    <x v="6"/>
    <x v="1"/>
    <s v="NULL"/>
    <x v="1"/>
  </r>
  <r>
    <x v="879"/>
    <x v="6"/>
    <s v="United States"/>
    <x v="2"/>
    <s v="NULL"/>
    <s v="NULL"/>
    <n v="91"/>
    <x v="533"/>
    <x v="2"/>
    <x v="6"/>
    <x v="3"/>
    <s v="NULL"/>
    <x v="1"/>
  </r>
  <r>
    <x v="77"/>
    <x v="3"/>
    <s v="Japan"/>
    <x v="3"/>
    <s v="NULL"/>
    <n v="0.02"/>
    <s v="NULL"/>
    <x v="533"/>
    <x v="2"/>
    <x v="6"/>
    <x v="1"/>
    <n v="0"/>
    <x v="0"/>
  </r>
  <r>
    <x v="407"/>
    <x v="0"/>
    <s v="United States"/>
    <x v="0"/>
    <n v="1800"/>
    <n v="0.25"/>
    <n v="1300"/>
    <x v="534"/>
    <x v="2"/>
    <x v="6"/>
    <x v="2"/>
    <n v="0"/>
    <x v="0"/>
  </r>
  <r>
    <x v="156"/>
    <x v="2"/>
    <s v="India"/>
    <x v="1"/>
    <n v="1100"/>
    <n v="0.05"/>
    <n v="12900"/>
    <x v="534"/>
    <x v="2"/>
    <x v="6"/>
    <x v="2"/>
    <n v="0"/>
    <x v="0"/>
  </r>
  <r>
    <x v="880"/>
    <x v="26"/>
    <s v="United States"/>
    <x v="0"/>
    <n v="154"/>
    <n v="0.28000000000000003"/>
    <n v="470"/>
    <x v="534"/>
    <x v="2"/>
    <x v="6"/>
    <x v="4"/>
    <n v="0"/>
    <x v="0"/>
  </r>
  <r>
    <x v="881"/>
    <x v="23"/>
    <s v="United States"/>
    <x v="7"/>
    <n v="99"/>
    <n v="0.38"/>
    <n v="263"/>
    <x v="534"/>
    <x v="2"/>
    <x v="6"/>
    <x v="4"/>
    <n v="0"/>
    <x v="0"/>
  </r>
  <r>
    <x v="882"/>
    <x v="0"/>
    <s v="Germany"/>
    <x v="2"/>
    <n v="80"/>
    <n v="0.67"/>
    <n v="138"/>
    <x v="534"/>
    <x v="2"/>
    <x v="6"/>
    <x v="4"/>
    <n v="0"/>
    <x v="0"/>
  </r>
  <r>
    <x v="292"/>
    <x v="5"/>
    <s v="Canada"/>
    <x v="7"/>
    <n v="70"/>
    <n v="0.17"/>
    <n v="164"/>
    <x v="534"/>
    <x v="2"/>
    <x v="6"/>
    <x v="4"/>
    <n v="0"/>
    <x v="0"/>
  </r>
  <r>
    <x v="883"/>
    <x v="16"/>
    <s v="United States"/>
    <x v="6"/>
    <s v="NULL"/>
    <n v="1"/>
    <n v="5"/>
    <x v="534"/>
    <x v="2"/>
    <x v="6"/>
    <x v="0"/>
    <n v="1"/>
    <x v="0"/>
  </r>
  <r>
    <x v="884"/>
    <x v="14"/>
    <s v="United States"/>
    <x v="2"/>
    <s v="NULL"/>
    <n v="0.25"/>
    <n v="91"/>
    <x v="534"/>
    <x v="2"/>
    <x v="6"/>
    <x v="3"/>
    <n v="0"/>
    <x v="0"/>
  </r>
  <r>
    <x v="885"/>
    <x v="14"/>
    <s v="United States"/>
    <x v="11"/>
    <s v="NULL"/>
    <s v="NULL"/>
    <n v="108"/>
    <x v="534"/>
    <x v="2"/>
    <x v="6"/>
    <x v="4"/>
    <s v="NULL"/>
    <x v="1"/>
  </r>
  <r>
    <x v="886"/>
    <x v="14"/>
    <s v="United States"/>
    <x v="0"/>
    <s v="NULL"/>
    <n v="0.09"/>
    <n v="485"/>
    <x v="534"/>
    <x v="2"/>
    <x v="6"/>
    <x v="4"/>
    <n v="0"/>
    <x v="0"/>
  </r>
  <r>
    <x v="887"/>
    <x v="15"/>
    <s v="United States"/>
    <x v="1"/>
    <s v="NULL"/>
    <s v="NULL"/>
    <n v="12"/>
    <x v="535"/>
    <x v="2"/>
    <x v="6"/>
    <x v="3"/>
    <s v="NULL"/>
    <x v="1"/>
  </r>
  <r>
    <x v="888"/>
    <x v="5"/>
    <s v="United States"/>
    <x v="0"/>
    <n v="50"/>
    <n v="0.09"/>
    <n v="826"/>
    <x v="536"/>
    <x v="2"/>
    <x v="6"/>
    <x v="4"/>
    <n v="0"/>
    <x v="0"/>
  </r>
  <r>
    <x v="660"/>
    <x v="5"/>
    <s v="United States"/>
    <x v="0"/>
    <n v="94"/>
    <n v="0.13"/>
    <n v="899"/>
    <x v="537"/>
    <x v="2"/>
    <x v="6"/>
    <x v="4"/>
    <n v="0"/>
    <x v="0"/>
  </r>
  <r>
    <x v="889"/>
    <x v="8"/>
    <s v="United States"/>
    <x v="1"/>
    <s v="NULL"/>
    <s v="NULL"/>
    <n v="123"/>
    <x v="537"/>
    <x v="2"/>
    <x v="6"/>
    <x v="4"/>
    <s v="NULL"/>
    <x v="1"/>
  </r>
  <r>
    <x v="890"/>
    <x v="2"/>
    <s v="Israel"/>
    <x v="5"/>
    <n v="30"/>
    <n v="0.15"/>
    <n v="199"/>
    <x v="538"/>
    <x v="2"/>
    <x v="6"/>
    <x v="4"/>
    <n v="0"/>
    <x v="0"/>
  </r>
  <r>
    <x v="891"/>
    <x v="22"/>
    <s v="United States"/>
    <x v="4"/>
    <s v="NULL"/>
    <n v="1"/>
    <n v="356"/>
    <x v="538"/>
    <x v="2"/>
    <x v="6"/>
    <x v="4"/>
    <n v="1"/>
    <x v="0"/>
  </r>
  <r>
    <x v="892"/>
    <x v="10"/>
    <s v="United States"/>
    <x v="4"/>
    <s v="NULL"/>
    <n v="0.2"/>
    <n v="456"/>
    <x v="538"/>
    <x v="2"/>
    <x v="6"/>
    <x v="4"/>
    <n v="0"/>
    <x v="0"/>
  </r>
  <r>
    <x v="893"/>
    <x v="12"/>
    <s v="United States"/>
    <x v="0"/>
    <n v="3000"/>
    <n v="0.15"/>
    <n v="27200"/>
    <x v="539"/>
    <x v="2"/>
    <x v="6"/>
    <x v="2"/>
    <n v="0"/>
    <x v="0"/>
  </r>
  <r>
    <x v="20"/>
    <x v="2"/>
    <s v="Singapore"/>
    <x v="1"/>
    <n v="100"/>
    <n v="0.3"/>
    <n v="7200"/>
    <x v="539"/>
    <x v="2"/>
    <x v="6"/>
    <x v="2"/>
    <n v="0"/>
    <x v="0"/>
  </r>
  <r>
    <x v="894"/>
    <x v="3"/>
    <s v="Israel"/>
    <x v="5"/>
    <n v="60"/>
    <n v="0.15"/>
    <n v="632"/>
    <x v="539"/>
    <x v="2"/>
    <x v="6"/>
    <x v="4"/>
    <n v="0"/>
    <x v="0"/>
  </r>
  <r>
    <x v="895"/>
    <x v="13"/>
    <s v="United States"/>
    <x v="3"/>
    <n v="200"/>
    <n v="1"/>
    <n v="26"/>
    <x v="540"/>
    <x v="2"/>
    <x v="6"/>
    <x v="3"/>
    <n v="1"/>
    <x v="0"/>
  </r>
  <r>
    <x v="818"/>
    <x v="4"/>
    <s v="United States"/>
    <x v="3"/>
    <n v="24"/>
    <s v="NULL"/>
    <s v="NULL"/>
    <x v="540"/>
    <x v="2"/>
    <x v="6"/>
    <x v="1"/>
    <s v="NULL"/>
    <x v="0"/>
  </r>
  <r>
    <x v="167"/>
    <x v="18"/>
    <s v="United Kingdom"/>
    <x v="0"/>
    <n v="1000"/>
    <s v="NULL"/>
    <n v="2000"/>
    <x v="541"/>
    <x v="3"/>
    <x v="7"/>
    <x v="2"/>
    <s v="NULL"/>
    <x v="0"/>
  </r>
  <r>
    <x v="715"/>
    <x v="26"/>
    <s v="India"/>
    <x v="2"/>
    <s v="NULL"/>
    <n v="0.2"/>
    <n v="24"/>
    <x v="542"/>
    <x v="3"/>
    <x v="7"/>
    <x v="3"/>
    <n v="0"/>
    <x v="0"/>
  </r>
  <r>
    <x v="896"/>
    <x v="24"/>
    <s v="United States"/>
    <x v="3"/>
    <s v="NULL"/>
    <n v="1"/>
    <s v="NULL"/>
    <x v="543"/>
    <x v="3"/>
    <x v="7"/>
    <x v="1"/>
    <n v="1"/>
    <x v="0"/>
  </r>
  <r>
    <x v="37"/>
    <x v="14"/>
    <s v="India"/>
    <x v="3"/>
    <n v="1000"/>
    <s v="NULL"/>
    <s v="NULL"/>
    <x v="544"/>
    <x v="3"/>
    <x v="7"/>
    <x v="1"/>
    <s v="NULL"/>
    <x v="0"/>
  </r>
  <r>
    <x v="314"/>
    <x v="12"/>
    <s v="United States"/>
    <x v="0"/>
    <n v="311"/>
    <s v="NULL"/>
    <n v="12"/>
    <x v="545"/>
    <x v="3"/>
    <x v="7"/>
    <x v="3"/>
    <s v="NULL"/>
    <x v="0"/>
  </r>
  <r>
    <x v="897"/>
    <x v="11"/>
    <s v="United States"/>
    <x v="3"/>
    <s v="NULL"/>
    <n v="1"/>
    <n v="368"/>
    <x v="545"/>
    <x v="3"/>
    <x v="7"/>
    <x v="4"/>
    <n v="1"/>
    <x v="0"/>
  </r>
  <r>
    <x v="898"/>
    <x v="26"/>
    <s v="United States"/>
    <x v="9"/>
    <s v="NULL"/>
    <s v="NULL"/>
    <n v="628"/>
    <x v="545"/>
    <x v="3"/>
    <x v="7"/>
    <x v="4"/>
    <s v="NULL"/>
    <x v="1"/>
  </r>
  <r>
    <x v="433"/>
    <x v="1"/>
    <s v="India"/>
    <x v="13"/>
    <n v="200"/>
    <n v="0.15"/>
    <n v="1700"/>
    <x v="546"/>
    <x v="3"/>
    <x v="7"/>
    <x v="2"/>
    <n v="0"/>
    <x v="0"/>
  </r>
  <r>
    <x v="899"/>
    <x v="5"/>
    <s v="Israel"/>
    <x v="3"/>
    <n v="100"/>
    <n v="0.2"/>
    <n v="733"/>
    <x v="547"/>
    <x v="3"/>
    <x v="7"/>
    <x v="4"/>
    <n v="0"/>
    <x v="0"/>
  </r>
  <r>
    <x v="900"/>
    <x v="2"/>
    <s v="United States"/>
    <x v="0"/>
    <s v="NULL"/>
    <n v="1"/>
    <n v="52"/>
    <x v="547"/>
    <x v="3"/>
    <x v="7"/>
    <x v="3"/>
    <n v="1"/>
    <x v="0"/>
  </r>
  <r>
    <x v="483"/>
    <x v="26"/>
    <s v="United States"/>
    <x v="0"/>
    <n v="350"/>
    <n v="0.1"/>
    <n v="116"/>
    <x v="548"/>
    <x v="3"/>
    <x v="7"/>
    <x v="4"/>
    <n v="0"/>
    <x v="0"/>
  </r>
  <r>
    <x v="901"/>
    <x v="2"/>
    <s v="India"/>
    <x v="3"/>
    <n v="100"/>
    <n v="0.1"/>
    <n v="1500"/>
    <x v="548"/>
    <x v="3"/>
    <x v="7"/>
    <x v="2"/>
    <n v="0"/>
    <x v="0"/>
  </r>
  <r>
    <x v="902"/>
    <x v="14"/>
    <s v="United Kingdom"/>
    <x v="7"/>
    <n v="80"/>
    <s v="NULL"/>
    <n v="1800"/>
    <x v="548"/>
    <x v="3"/>
    <x v="7"/>
    <x v="2"/>
    <s v="NULL"/>
    <x v="0"/>
  </r>
  <r>
    <x v="903"/>
    <x v="12"/>
    <s v="China"/>
    <x v="0"/>
    <n v="70"/>
    <s v="NULL"/>
    <s v="NULL"/>
    <x v="548"/>
    <x v="3"/>
    <x v="7"/>
    <x v="1"/>
    <s v="NULL"/>
    <x v="0"/>
  </r>
  <r>
    <x v="595"/>
    <x v="18"/>
    <s v="Germany"/>
    <x v="0"/>
    <s v="NULL"/>
    <s v="NULL"/>
    <n v="9900"/>
    <x v="548"/>
    <x v="3"/>
    <x v="7"/>
    <x v="2"/>
    <s v="NULL"/>
    <x v="1"/>
  </r>
  <r>
    <x v="168"/>
    <x v="2"/>
    <s v="Israel"/>
    <x v="0"/>
    <n v="20"/>
    <s v="NULL"/>
    <n v="1200"/>
    <x v="549"/>
    <x v="3"/>
    <x v="7"/>
    <x v="2"/>
    <s v="NULL"/>
    <x v="0"/>
  </r>
  <r>
    <x v="798"/>
    <x v="20"/>
    <s v="United States"/>
    <x v="11"/>
    <n v="30"/>
    <s v="NULL"/>
    <n v="133"/>
    <x v="550"/>
    <x v="3"/>
    <x v="7"/>
    <x v="4"/>
    <s v="NULL"/>
    <x v="0"/>
  </r>
  <r>
    <x v="509"/>
    <x v="4"/>
    <s v="France"/>
    <x v="5"/>
    <s v="NULL"/>
    <s v="NULL"/>
    <n v="22"/>
    <x v="550"/>
    <x v="3"/>
    <x v="7"/>
    <x v="3"/>
    <s v="NULL"/>
    <x v="1"/>
  </r>
  <r>
    <x v="904"/>
    <x v="11"/>
    <s v="United States"/>
    <x v="5"/>
    <s v="NULL"/>
    <s v="NULL"/>
    <n v="262"/>
    <x v="550"/>
    <x v="3"/>
    <x v="7"/>
    <x v="4"/>
    <s v="NULL"/>
    <x v="1"/>
  </r>
  <r>
    <x v="417"/>
    <x v="11"/>
    <s v="United States"/>
    <x v="1"/>
    <n v="900"/>
    <n v="0.24"/>
    <n v="15000"/>
    <x v="551"/>
    <x v="3"/>
    <x v="7"/>
    <x v="2"/>
    <n v="0"/>
    <x v="0"/>
  </r>
  <r>
    <x v="905"/>
    <x v="14"/>
    <s v="Germany"/>
    <x v="3"/>
    <n v="20"/>
    <s v="NULL"/>
    <n v="385"/>
    <x v="551"/>
    <x v="3"/>
    <x v="7"/>
    <x v="4"/>
    <s v="NULL"/>
    <x v="0"/>
  </r>
  <r>
    <x v="130"/>
    <x v="14"/>
    <s v="United States"/>
    <x v="11"/>
    <s v="NULL"/>
    <n v="0.28999999999999998"/>
    <n v="1300"/>
    <x v="551"/>
    <x v="3"/>
    <x v="7"/>
    <x v="2"/>
    <n v="0"/>
    <x v="0"/>
  </r>
  <r>
    <x v="906"/>
    <x v="5"/>
    <s v="Germany"/>
    <x v="3"/>
    <s v="NULL"/>
    <n v="1"/>
    <s v="NULL"/>
    <x v="551"/>
    <x v="3"/>
    <x v="7"/>
    <x v="1"/>
    <n v="1"/>
    <x v="0"/>
  </r>
  <r>
    <x v="907"/>
    <x v="16"/>
    <s v="United States"/>
    <x v="2"/>
    <s v="NULL"/>
    <s v="NULL"/>
    <n v="76"/>
    <x v="551"/>
    <x v="3"/>
    <x v="7"/>
    <x v="3"/>
    <s v="NULL"/>
    <x v="1"/>
  </r>
  <r>
    <x v="908"/>
    <x v="16"/>
    <s v="United States"/>
    <x v="5"/>
    <s v="NULL"/>
    <s v="NULL"/>
    <n v="310"/>
    <x v="551"/>
    <x v="3"/>
    <x v="7"/>
    <x v="4"/>
    <s v="NULL"/>
    <x v="1"/>
  </r>
  <r>
    <x v="909"/>
    <x v="18"/>
    <s v="United States"/>
    <x v="8"/>
    <s v="NULL"/>
    <n v="0.5"/>
    <n v="25"/>
    <x v="551"/>
    <x v="3"/>
    <x v="7"/>
    <x v="3"/>
    <n v="0"/>
    <x v="0"/>
  </r>
  <r>
    <x v="910"/>
    <x v="5"/>
    <s v="United States"/>
    <x v="0"/>
    <n v="235"/>
    <n v="0.15"/>
    <n v="2500"/>
    <x v="552"/>
    <x v="3"/>
    <x v="7"/>
    <x v="2"/>
    <n v="0"/>
    <x v="0"/>
  </r>
  <r>
    <x v="911"/>
    <x v="2"/>
    <s v="United States"/>
    <x v="0"/>
    <n v="225"/>
    <n v="0.11"/>
    <n v="97"/>
    <x v="552"/>
    <x v="3"/>
    <x v="7"/>
    <x v="3"/>
    <n v="0"/>
    <x v="0"/>
  </r>
  <r>
    <x v="912"/>
    <x v="20"/>
    <s v="United States"/>
    <x v="0"/>
    <n v="111"/>
    <s v="NULL"/>
    <s v="NULL"/>
    <x v="552"/>
    <x v="3"/>
    <x v="7"/>
    <x v="1"/>
    <s v="NULL"/>
    <x v="0"/>
  </r>
  <r>
    <x v="913"/>
    <x v="0"/>
    <s v="United States"/>
    <x v="1"/>
    <n v="109"/>
    <s v="NULL"/>
    <n v="234"/>
    <x v="552"/>
    <x v="3"/>
    <x v="7"/>
    <x v="4"/>
    <s v="NULL"/>
    <x v="0"/>
  </r>
  <r>
    <x v="914"/>
    <x v="20"/>
    <s v="United States"/>
    <x v="3"/>
    <n v="31"/>
    <s v="NULL"/>
    <s v="NULL"/>
    <x v="552"/>
    <x v="3"/>
    <x v="7"/>
    <x v="1"/>
    <s v="NULL"/>
    <x v="0"/>
  </r>
  <r>
    <x v="915"/>
    <x v="23"/>
    <s v="United States"/>
    <x v="3"/>
    <s v="NULL"/>
    <n v="0.15"/>
    <n v="241"/>
    <x v="552"/>
    <x v="3"/>
    <x v="7"/>
    <x v="4"/>
    <n v="0"/>
    <x v="0"/>
  </r>
  <r>
    <x v="916"/>
    <x v="10"/>
    <s v="United States"/>
    <x v="3"/>
    <s v="NULL"/>
    <n v="0.2"/>
    <n v="172"/>
    <x v="552"/>
    <x v="3"/>
    <x v="7"/>
    <x v="4"/>
    <n v="0"/>
    <x v="0"/>
  </r>
  <r>
    <x v="322"/>
    <x v="11"/>
    <s v="Poland"/>
    <x v="0"/>
    <n v="45"/>
    <s v="NULL"/>
    <s v="NULL"/>
    <x v="553"/>
    <x v="3"/>
    <x v="7"/>
    <x v="1"/>
    <s v="NULL"/>
    <x v="0"/>
  </r>
  <r>
    <x v="737"/>
    <x v="14"/>
    <s v="United States"/>
    <x v="5"/>
    <n v="15"/>
    <n v="0.33"/>
    <n v="302"/>
    <x v="554"/>
    <x v="3"/>
    <x v="7"/>
    <x v="4"/>
    <n v="0"/>
    <x v="0"/>
  </r>
  <r>
    <x v="917"/>
    <x v="2"/>
    <s v="United States"/>
    <x v="9"/>
    <s v="NULL"/>
    <s v="NULL"/>
    <n v="110"/>
    <x v="555"/>
    <x v="3"/>
    <x v="7"/>
    <x v="4"/>
    <s v="NULL"/>
    <x v="1"/>
  </r>
  <r>
    <x v="918"/>
    <x v="5"/>
    <s v="United States"/>
    <x v="0"/>
    <s v="NULL"/>
    <n v="1"/>
    <n v="694"/>
    <x v="555"/>
    <x v="3"/>
    <x v="7"/>
    <x v="4"/>
    <n v="1"/>
    <x v="0"/>
  </r>
  <r>
    <x v="919"/>
    <x v="26"/>
    <s v="United States"/>
    <x v="2"/>
    <s v="NULL"/>
    <n v="1"/>
    <n v="32"/>
    <x v="555"/>
    <x v="3"/>
    <x v="7"/>
    <x v="3"/>
    <n v="1"/>
    <x v="0"/>
  </r>
  <r>
    <x v="920"/>
    <x v="2"/>
    <s v="United States"/>
    <x v="1"/>
    <n v="839"/>
    <n v="1"/>
    <n v="194"/>
    <x v="556"/>
    <x v="3"/>
    <x v="7"/>
    <x v="4"/>
    <n v="1"/>
    <x v="0"/>
  </r>
  <r>
    <x v="921"/>
    <x v="24"/>
    <s v="United States"/>
    <x v="7"/>
    <s v="NULL"/>
    <n v="1"/>
    <n v="247"/>
    <x v="556"/>
    <x v="3"/>
    <x v="7"/>
    <x v="4"/>
    <n v="1"/>
    <x v="0"/>
  </r>
  <r>
    <x v="922"/>
    <x v="21"/>
    <s v="India"/>
    <x v="1"/>
    <n v="200"/>
    <s v="NULL"/>
    <n v="76"/>
    <x v="557"/>
    <x v="3"/>
    <x v="7"/>
    <x v="3"/>
    <s v="NULL"/>
    <x v="0"/>
  </r>
  <r>
    <x v="31"/>
    <x v="11"/>
    <s v="United States"/>
    <x v="0"/>
    <n v="20"/>
    <s v="NULL"/>
    <n v="10700"/>
    <x v="557"/>
    <x v="3"/>
    <x v="7"/>
    <x v="2"/>
    <s v="NULL"/>
    <x v="0"/>
  </r>
  <r>
    <x v="669"/>
    <x v="0"/>
    <s v="United States"/>
    <x v="7"/>
    <s v="NULL"/>
    <s v="NULL"/>
    <n v="214"/>
    <x v="557"/>
    <x v="3"/>
    <x v="7"/>
    <x v="4"/>
    <s v="NULL"/>
    <x v="1"/>
  </r>
  <r>
    <x v="923"/>
    <x v="13"/>
    <s v="United States"/>
    <x v="3"/>
    <n v="145"/>
    <s v="NULL"/>
    <n v="2200"/>
    <x v="558"/>
    <x v="3"/>
    <x v="7"/>
    <x v="2"/>
    <s v="NULL"/>
    <x v="0"/>
  </r>
  <r>
    <x v="499"/>
    <x v="1"/>
    <s v="United States"/>
    <x v="1"/>
    <n v="40"/>
    <n v="0.1"/>
    <s v="NULL"/>
    <x v="558"/>
    <x v="3"/>
    <x v="7"/>
    <x v="1"/>
    <n v="0"/>
    <x v="0"/>
  </r>
  <r>
    <x v="28"/>
    <x v="14"/>
    <s v="United Kingdom"/>
    <x v="9"/>
    <n v="240"/>
    <s v="NULL"/>
    <n v="3500"/>
    <x v="559"/>
    <x v="3"/>
    <x v="7"/>
    <x v="2"/>
    <s v="NULL"/>
    <x v="0"/>
  </r>
  <r>
    <x v="924"/>
    <x v="14"/>
    <s v="India"/>
    <x v="5"/>
    <n v="150"/>
    <n v="1"/>
    <n v="120"/>
    <x v="559"/>
    <x v="3"/>
    <x v="7"/>
    <x v="4"/>
    <n v="1"/>
    <x v="0"/>
  </r>
  <r>
    <x v="923"/>
    <x v="14"/>
    <s v="United States"/>
    <x v="3"/>
    <n v="145"/>
    <n v="0.05"/>
    <n v="2200"/>
    <x v="559"/>
    <x v="3"/>
    <x v="7"/>
    <x v="2"/>
    <n v="0"/>
    <x v="0"/>
  </r>
  <r>
    <x v="495"/>
    <x v="22"/>
    <s v="Israel"/>
    <x v="2"/>
    <n v="40"/>
    <n v="0.2"/>
    <n v="35"/>
    <x v="559"/>
    <x v="3"/>
    <x v="7"/>
    <x v="3"/>
    <n v="0"/>
    <x v="0"/>
  </r>
  <r>
    <x v="86"/>
    <x v="14"/>
    <s v="United States"/>
    <x v="0"/>
    <s v="NULL"/>
    <n v="0.15"/>
    <n v="280"/>
    <x v="559"/>
    <x v="3"/>
    <x v="7"/>
    <x v="4"/>
    <n v="0"/>
    <x v="0"/>
  </r>
  <r>
    <x v="925"/>
    <x v="10"/>
    <s v="Germany"/>
    <x v="4"/>
    <s v="NULL"/>
    <s v="NULL"/>
    <n v="350"/>
    <x v="559"/>
    <x v="3"/>
    <x v="7"/>
    <x v="4"/>
    <s v="NULL"/>
    <x v="1"/>
  </r>
  <r>
    <x v="926"/>
    <x v="21"/>
    <s v="United States"/>
    <x v="5"/>
    <s v="NULL"/>
    <n v="0.25"/>
    <n v="477"/>
    <x v="559"/>
    <x v="3"/>
    <x v="7"/>
    <x v="4"/>
    <n v="0"/>
    <x v="0"/>
  </r>
  <r>
    <x v="927"/>
    <x v="14"/>
    <s v="Nigeria"/>
    <x v="6"/>
    <s v="NULL"/>
    <n v="1"/>
    <n v="3"/>
    <x v="559"/>
    <x v="3"/>
    <x v="7"/>
    <x v="0"/>
    <n v="1"/>
    <x v="0"/>
  </r>
  <r>
    <x v="452"/>
    <x v="1"/>
    <s v="United States"/>
    <x v="1"/>
    <s v="NULL"/>
    <s v="NULL"/>
    <n v="6"/>
    <x v="559"/>
    <x v="3"/>
    <x v="7"/>
    <x v="0"/>
    <s v="NULL"/>
    <x v="1"/>
  </r>
  <r>
    <x v="145"/>
    <x v="4"/>
    <s v="Sweden"/>
    <x v="0"/>
    <n v="1500"/>
    <n v="0.17"/>
    <n v="2100"/>
    <x v="560"/>
    <x v="3"/>
    <x v="7"/>
    <x v="2"/>
    <n v="0"/>
    <x v="0"/>
  </r>
  <r>
    <x v="928"/>
    <x v="11"/>
    <s v="United States"/>
    <x v="0"/>
    <n v="150"/>
    <s v="NULL"/>
    <n v="648"/>
    <x v="560"/>
    <x v="3"/>
    <x v="7"/>
    <x v="4"/>
    <s v="NULL"/>
    <x v="0"/>
  </r>
  <r>
    <x v="929"/>
    <x v="4"/>
    <s v="United States"/>
    <x v="3"/>
    <n v="8"/>
    <s v="NULL"/>
    <n v="185"/>
    <x v="560"/>
    <x v="3"/>
    <x v="7"/>
    <x v="4"/>
    <s v="NULL"/>
    <x v="0"/>
  </r>
  <r>
    <x v="930"/>
    <x v="16"/>
    <s v="United States"/>
    <x v="6"/>
    <s v="NULL"/>
    <n v="1"/>
    <n v="6"/>
    <x v="560"/>
    <x v="3"/>
    <x v="7"/>
    <x v="0"/>
    <n v="1"/>
    <x v="0"/>
  </r>
  <r>
    <x v="931"/>
    <x v="0"/>
    <s v="United States"/>
    <x v="0"/>
    <s v="NULL"/>
    <n v="0.05"/>
    <n v="614"/>
    <x v="560"/>
    <x v="3"/>
    <x v="7"/>
    <x v="4"/>
    <n v="0"/>
    <x v="0"/>
  </r>
  <r>
    <x v="932"/>
    <x v="0"/>
    <s v="United States"/>
    <x v="1"/>
    <s v="NULL"/>
    <n v="1"/>
    <s v="NULL"/>
    <x v="561"/>
    <x v="3"/>
    <x v="7"/>
    <x v="1"/>
    <n v="1"/>
    <x v="0"/>
  </r>
  <r>
    <x v="933"/>
    <x v="1"/>
    <s v="India"/>
    <x v="1"/>
    <n v="40"/>
    <n v="0.36"/>
    <n v="52"/>
    <x v="562"/>
    <x v="3"/>
    <x v="8"/>
    <x v="3"/>
    <n v="0"/>
    <x v="0"/>
  </r>
  <r>
    <x v="405"/>
    <x v="14"/>
    <s v="United Kingdom"/>
    <x v="11"/>
    <n v="30"/>
    <n v="0.02"/>
    <n v="700"/>
    <x v="562"/>
    <x v="3"/>
    <x v="8"/>
    <x v="4"/>
    <n v="0"/>
    <x v="0"/>
  </r>
  <r>
    <x v="934"/>
    <x v="6"/>
    <s v="United States"/>
    <x v="0"/>
    <s v="NULL"/>
    <n v="7.0000000000000007E-2"/>
    <n v="689"/>
    <x v="562"/>
    <x v="3"/>
    <x v="8"/>
    <x v="4"/>
    <n v="0"/>
    <x v="0"/>
  </r>
  <r>
    <x v="935"/>
    <x v="1"/>
    <s v="United States"/>
    <x v="3"/>
    <s v="NULL"/>
    <s v="NULL"/>
    <n v="100"/>
    <x v="562"/>
    <x v="3"/>
    <x v="8"/>
    <x v="4"/>
    <s v="NULL"/>
    <x v="1"/>
  </r>
  <r>
    <x v="936"/>
    <x v="19"/>
    <s v="Estonia"/>
    <x v="9"/>
    <s v="NULL"/>
    <s v="NULL"/>
    <n v="90"/>
    <x v="562"/>
    <x v="3"/>
    <x v="8"/>
    <x v="3"/>
    <s v="NULL"/>
    <x v="1"/>
  </r>
  <r>
    <x v="462"/>
    <x v="4"/>
    <s v="United States"/>
    <x v="4"/>
    <s v="NULL"/>
    <n v="0.04"/>
    <n v="307"/>
    <x v="562"/>
    <x v="3"/>
    <x v="8"/>
    <x v="4"/>
    <n v="0"/>
    <x v="0"/>
  </r>
  <r>
    <x v="407"/>
    <x v="0"/>
    <s v="United States"/>
    <x v="0"/>
    <n v="265"/>
    <n v="0.04"/>
    <n v="1300"/>
    <x v="563"/>
    <x v="3"/>
    <x v="8"/>
    <x v="2"/>
    <n v="0"/>
    <x v="0"/>
  </r>
  <r>
    <x v="937"/>
    <x v="17"/>
    <s v="United States"/>
    <x v="4"/>
    <n v="150"/>
    <n v="0.2"/>
    <n v="1100"/>
    <x v="563"/>
    <x v="3"/>
    <x v="8"/>
    <x v="2"/>
    <n v="0"/>
    <x v="0"/>
  </r>
  <r>
    <x v="216"/>
    <x v="21"/>
    <s v="United Kingdom"/>
    <x v="7"/>
    <s v="NULL"/>
    <n v="0.05"/>
    <n v="414"/>
    <x v="563"/>
    <x v="3"/>
    <x v="8"/>
    <x v="4"/>
    <n v="0"/>
    <x v="0"/>
  </r>
  <r>
    <x v="938"/>
    <x v="11"/>
    <s v="Germany"/>
    <x v="7"/>
    <s v="NULL"/>
    <n v="0.22"/>
    <n v="646"/>
    <x v="563"/>
    <x v="3"/>
    <x v="8"/>
    <x v="4"/>
    <n v="0"/>
    <x v="0"/>
  </r>
  <r>
    <x v="939"/>
    <x v="24"/>
    <s v="United States"/>
    <x v="1"/>
    <n v="2837"/>
    <s v="NULL"/>
    <n v="393"/>
    <x v="564"/>
    <x v="3"/>
    <x v="8"/>
    <x v="4"/>
    <s v="NULL"/>
    <x v="0"/>
  </r>
  <r>
    <x v="514"/>
    <x v="1"/>
    <s v="China"/>
    <x v="3"/>
    <n v="1000"/>
    <s v="NULL"/>
    <n v="9400"/>
    <x v="564"/>
    <x v="3"/>
    <x v="8"/>
    <x v="2"/>
    <s v="NULL"/>
    <x v="0"/>
  </r>
  <r>
    <x v="751"/>
    <x v="11"/>
    <s v="United States"/>
    <x v="2"/>
    <n v="128"/>
    <n v="0.25"/>
    <n v="390"/>
    <x v="564"/>
    <x v="3"/>
    <x v="8"/>
    <x v="4"/>
    <n v="0"/>
    <x v="0"/>
  </r>
  <r>
    <x v="940"/>
    <x v="30"/>
    <s v="United States"/>
    <x v="7"/>
    <s v="NULL"/>
    <n v="1"/>
    <n v="597"/>
    <x v="565"/>
    <x v="3"/>
    <x v="8"/>
    <x v="4"/>
    <n v="1"/>
    <x v="0"/>
  </r>
  <r>
    <x v="941"/>
    <x v="10"/>
    <s v="India"/>
    <x v="6"/>
    <s v="NULL"/>
    <n v="1"/>
    <n v="6"/>
    <x v="566"/>
    <x v="3"/>
    <x v="8"/>
    <x v="0"/>
    <n v="1"/>
    <x v="0"/>
  </r>
  <r>
    <x v="942"/>
    <x v="2"/>
    <s v="Nigeria"/>
    <x v="2"/>
    <n v="100"/>
    <s v="NULL"/>
    <n v="16"/>
    <x v="567"/>
    <x v="3"/>
    <x v="8"/>
    <x v="3"/>
    <s v="NULL"/>
    <x v="0"/>
  </r>
  <r>
    <x v="943"/>
    <x v="16"/>
    <s v="Germany"/>
    <x v="3"/>
    <n v="60"/>
    <s v="NULL"/>
    <n v="214"/>
    <x v="567"/>
    <x v="3"/>
    <x v="8"/>
    <x v="4"/>
    <s v="NULL"/>
    <x v="0"/>
  </r>
  <r>
    <x v="944"/>
    <x v="2"/>
    <s v="Canada"/>
    <x v="5"/>
    <n v="25"/>
    <s v="NULL"/>
    <n v="79"/>
    <x v="567"/>
    <x v="3"/>
    <x v="8"/>
    <x v="3"/>
    <s v="NULL"/>
    <x v="0"/>
  </r>
  <r>
    <x v="945"/>
    <x v="14"/>
    <s v="India"/>
    <x v="8"/>
    <n v="100"/>
    <s v="NULL"/>
    <n v="19"/>
    <x v="568"/>
    <x v="3"/>
    <x v="8"/>
    <x v="3"/>
    <s v="NULL"/>
    <x v="0"/>
  </r>
  <r>
    <x v="169"/>
    <x v="17"/>
    <s v="United States"/>
    <x v="4"/>
    <s v="NULL"/>
    <s v="NULL"/>
    <n v="228"/>
    <x v="568"/>
    <x v="3"/>
    <x v="8"/>
    <x v="4"/>
    <s v="NULL"/>
    <x v="1"/>
  </r>
  <r>
    <x v="946"/>
    <x v="18"/>
    <s v="United States"/>
    <x v="0"/>
    <s v="NULL"/>
    <n v="0.17"/>
    <n v="167"/>
    <x v="568"/>
    <x v="3"/>
    <x v="8"/>
    <x v="4"/>
    <n v="0"/>
    <x v="0"/>
  </r>
  <r>
    <x v="947"/>
    <x v="21"/>
    <s v="India"/>
    <x v="8"/>
    <n v="120"/>
    <n v="0.01"/>
    <n v="100"/>
    <x v="569"/>
    <x v="3"/>
    <x v="8"/>
    <x v="4"/>
    <n v="0"/>
    <x v="0"/>
  </r>
  <r>
    <x v="948"/>
    <x v="5"/>
    <s v="United States"/>
    <x v="1"/>
    <n v="84"/>
    <s v="NULL"/>
    <s v="NULL"/>
    <x v="570"/>
    <x v="3"/>
    <x v="8"/>
    <x v="1"/>
    <s v="NULL"/>
    <x v="0"/>
  </r>
  <r>
    <x v="161"/>
    <x v="2"/>
    <s v="United States"/>
    <x v="0"/>
    <s v="NULL"/>
    <s v="NULL"/>
    <n v="108"/>
    <x v="570"/>
    <x v="3"/>
    <x v="8"/>
    <x v="4"/>
    <s v="NULL"/>
    <x v="1"/>
  </r>
  <r>
    <x v="949"/>
    <x v="30"/>
    <s v="United States"/>
    <x v="3"/>
    <s v="NULL"/>
    <n v="0.16"/>
    <s v="NULL"/>
    <x v="570"/>
    <x v="3"/>
    <x v="8"/>
    <x v="1"/>
    <n v="0"/>
    <x v="0"/>
  </r>
  <r>
    <x v="950"/>
    <x v="2"/>
    <s v="United States"/>
    <x v="8"/>
    <s v="NULL"/>
    <n v="1"/>
    <n v="40"/>
    <x v="570"/>
    <x v="3"/>
    <x v="8"/>
    <x v="3"/>
    <n v="1"/>
    <x v="0"/>
  </r>
  <r>
    <x v="951"/>
    <x v="14"/>
    <s v="United Kingdom"/>
    <x v="3"/>
    <s v="NULL"/>
    <s v="NULL"/>
    <s v="NULL"/>
    <x v="570"/>
    <x v="3"/>
    <x v="8"/>
    <x v="1"/>
    <s v="NULL"/>
    <x v="1"/>
  </r>
  <r>
    <x v="952"/>
    <x v="29"/>
    <s v="United States"/>
    <x v="2"/>
    <n v="115"/>
    <s v="NULL"/>
    <n v="1700"/>
    <x v="571"/>
    <x v="3"/>
    <x v="8"/>
    <x v="2"/>
    <s v="NULL"/>
    <x v="0"/>
  </r>
  <r>
    <x v="953"/>
    <x v="14"/>
    <s v="Nigeria"/>
    <x v="1"/>
    <n v="33"/>
    <s v="NULL"/>
    <n v="10"/>
    <x v="571"/>
    <x v="3"/>
    <x v="8"/>
    <x v="3"/>
    <s v="NULL"/>
    <x v="0"/>
  </r>
  <r>
    <x v="954"/>
    <x v="7"/>
    <s v="United Kingdom"/>
    <x v="7"/>
    <s v="NULL"/>
    <n v="0.25"/>
    <n v="223"/>
    <x v="571"/>
    <x v="3"/>
    <x v="8"/>
    <x v="4"/>
    <n v="0"/>
    <x v="0"/>
  </r>
  <r>
    <x v="14"/>
    <x v="1"/>
    <s v="United States"/>
    <x v="0"/>
    <s v="NULL"/>
    <s v="NULL"/>
    <n v="455.2"/>
    <x v="571"/>
    <x v="3"/>
    <x v="8"/>
    <x v="4"/>
    <s v="NULL"/>
    <x v="1"/>
  </r>
  <r>
    <x v="955"/>
    <x v="14"/>
    <s v="Romania"/>
    <x v="2"/>
    <s v="NULL"/>
    <s v="NULL"/>
    <n v="91"/>
    <x v="572"/>
    <x v="3"/>
    <x v="8"/>
    <x v="3"/>
    <s v="NULL"/>
    <x v="1"/>
  </r>
  <r>
    <x v="529"/>
    <x v="14"/>
    <s v="Canada"/>
    <x v="3"/>
    <s v="NULL"/>
    <n v="0.06"/>
    <n v="331"/>
    <x v="572"/>
    <x v="3"/>
    <x v="8"/>
    <x v="4"/>
    <n v="0"/>
    <x v="0"/>
  </r>
  <r>
    <x v="956"/>
    <x v="16"/>
    <s v="United States"/>
    <x v="5"/>
    <s v="NULL"/>
    <s v="NULL"/>
    <n v="347"/>
    <x v="572"/>
    <x v="3"/>
    <x v="8"/>
    <x v="4"/>
    <s v="NULL"/>
    <x v="1"/>
  </r>
  <r>
    <x v="734"/>
    <x v="5"/>
    <s v="United States"/>
    <x v="0"/>
    <s v="NULL"/>
    <n v="0.1"/>
    <n v="176"/>
    <x v="572"/>
    <x v="3"/>
    <x v="8"/>
    <x v="4"/>
    <n v="0"/>
    <x v="0"/>
  </r>
  <r>
    <x v="957"/>
    <x v="5"/>
    <s v="United States"/>
    <x v="3"/>
    <s v="NULL"/>
    <n v="1"/>
    <s v="NULL"/>
    <x v="572"/>
    <x v="3"/>
    <x v="8"/>
    <x v="1"/>
    <n v="1"/>
    <x v="0"/>
  </r>
  <r>
    <x v="958"/>
    <x v="2"/>
    <s v="United States"/>
    <x v="0"/>
    <n v="200"/>
    <s v="NULL"/>
    <n v="451"/>
    <x v="573"/>
    <x v="3"/>
    <x v="8"/>
    <x v="4"/>
    <s v="NULL"/>
    <x v="0"/>
  </r>
  <r>
    <x v="959"/>
    <x v="29"/>
    <s v="United States"/>
    <x v="0"/>
    <n v="150"/>
    <s v="NULL"/>
    <n v="316"/>
    <x v="573"/>
    <x v="3"/>
    <x v="8"/>
    <x v="4"/>
    <s v="NULL"/>
    <x v="0"/>
  </r>
  <r>
    <x v="960"/>
    <x v="9"/>
    <s v="Singapore"/>
    <x v="3"/>
    <n v="50"/>
    <n v="0.3"/>
    <s v="NULL"/>
    <x v="573"/>
    <x v="3"/>
    <x v="8"/>
    <x v="1"/>
    <n v="0"/>
    <x v="0"/>
  </r>
  <r>
    <x v="961"/>
    <x v="5"/>
    <s v="India"/>
    <x v="7"/>
    <s v="NULL"/>
    <s v="NULL"/>
    <n v="245"/>
    <x v="573"/>
    <x v="3"/>
    <x v="8"/>
    <x v="4"/>
    <s v="NULL"/>
    <x v="1"/>
  </r>
  <r>
    <x v="962"/>
    <x v="20"/>
    <s v="United States"/>
    <x v="0"/>
    <s v="NULL"/>
    <s v="NULL"/>
    <n v="347"/>
    <x v="573"/>
    <x v="3"/>
    <x v="8"/>
    <x v="4"/>
    <s v="NULL"/>
    <x v="1"/>
  </r>
  <r>
    <x v="963"/>
    <x v="3"/>
    <s v="United States"/>
    <x v="1"/>
    <s v="NULL"/>
    <s v="NULL"/>
    <n v="128"/>
    <x v="573"/>
    <x v="3"/>
    <x v="8"/>
    <x v="4"/>
    <s v="NULL"/>
    <x v="1"/>
  </r>
  <r>
    <x v="161"/>
    <x v="2"/>
    <s v="United States"/>
    <x v="0"/>
    <n v="180"/>
    <s v="NULL"/>
    <n v="108"/>
    <x v="574"/>
    <x v="3"/>
    <x v="8"/>
    <x v="4"/>
    <s v="NULL"/>
    <x v="0"/>
  </r>
  <r>
    <x v="251"/>
    <x v="13"/>
    <s v="United States"/>
    <x v="0"/>
    <n v="125"/>
    <n v="0.04"/>
    <n v="3"/>
    <x v="575"/>
    <x v="3"/>
    <x v="8"/>
    <x v="0"/>
    <n v="0"/>
    <x v="0"/>
  </r>
  <r>
    <x v="498"/>
    <x v="18"/>
    <s v="United States"/>
    <x v="3"/>
    <s v="NULL"/>
    <s v="NULL"/>
    <n v="626"/>
    <x v="576"/>
    <x v="3"/>
    <x v="8"/>
    <x v="4"/>
    <s v="NULL"/>
    <x v="1"/>
  </r>
  <r>
    <x v="964"/>
    <x v="7"/>
    <s v="United States"/>
    <x v="12"/>
    <s v="NULL"/>
    <s v="NULL"/>
    <n v="1100"/>
    <x v="577"/>
    <x v="3"/>
    <x v="8"/>
    <x v="2"/>
    <s v="NULL"/>
    <x v="1"/>
  </r>
  <r>
    <x v="965"/>
    <x v="5"/>
    <s v="United States"/>
    <x v="3"/>
    <s v="NULL"/>
    <s v="NULL"/>
    <n v="1900"/>
    <x v="577"/>
    <x v="3"/>
    <x v="8"/>
    <x v="2"/>
    <s v="NULL"/>
    <x v="1"/>
  </r>
  <r>
    <x v="966"/>
    <x v="0"/>
    <s v="India"/>
    <x v="6"/>
    <s v="NULL"/>
    <n v="1"/>
    <n v="7"/>
    <x v="577"/>
    <x v="3"/>
    <x v="8"/>
    <x v="0"/>
    <n v="1"/>
    <x v="0"/>
  </r>
  <r>
    <x v="113"/>
    <x v="1"/>
    <s v="United States"/>
    <x v="0"/>
    <n v="20"/>
    <s v="NULL"/>
    <n v="4900"/>
    <x v="578"/>
    <x v="3"/>
    <x v="8"/>
    <x v="2"/>
    <s v="NULL"/>
    <x v="0"/>
  </r>
  <r>
    <x v="161"/>
    <x v="2"/>
    <s v="United States"/>
    <x v="0"/>
    <s v="NULL"/>
    <s v="NULL"/>
    <n v="108"/>
    <x v="578"/>
    <x v="3"/>
    <x v="8"/>
    <x v="4"/>
    <s v="NULL"/>
    <x v="1"/>
  </r>
  <r>
    <x v="486"/>
    <x v="2"/>
    <s v="United States"/>
    <x v="0"/>
    <s v="NULL"/>
    <n v="7.0000000000000007E-2"/>
    <n v="224"/>
    <x v="578"/>
    <x v="3"/>
    <x v="8"/>
    <x v="4"/>
    <n v="0"/>
    <x v="0"/>
  </r>
  <r>
    <x v="967"/>
    <x v="16"/>
    <s v="United States"/>
    <x v="3"/>
    <s v="NULL"/>
    <s v="NULL"/>
    <n v="1300"/>
    <x v="578"/>
    <x v="3"/>
    <x v="8"/>
    <x v="2"/>
    <s v="NULL"/>
    <x v="1"/>
  </r>
  <r>
    <x v="45"/>
    <x v="1"/>
    <s v="United States"/>
    <x v="0"/>
    <s v="NULL"/>
    <s v="NULL"/>
    <n v="26"/>
    <x v="578"/>
    <x v="3"/>
    <x v="8"/>
    <x v="3"/>
    <s v="NULL"/>
    <x v="1"/>
  </r>
  <r>
    <x v="968"/>
    <x v="14"/>
    <s v="United States"/>
    <x v="0"/>
    <n v="185"/>
    <n v="7.0000000000000007E-2"/>
    <n v="766"/>
    <x v="579"/>
    <x v="3"/>
    <x v="8"/>
    <x v="4"/>
    <n v="0"/>
    <x v="0"/>
  </r>
  <r>
    <x v="188"/>
    <x v="16"/>
    <s v="United States"/>
    <x v="0"/>
    <n v="23"/>
    <s v="NULL"/>
    <n v="97"/>
    <x v="579"/>
    <x v="3"/>
    <x v="8"/>
    <x v="3"/>
    <s v="NULL"/>
    <x v="0"/>
  </r>
  <r>
    <x v="295"/>
    <x v="1"/>
    <s v="United States"/>
    <x v="0"/>
    <s v="NULL"/>
    <n v="0.25"/>
    <n v="736"/>
    <x v="579"/>
    <x v="3"/>
    <x v="8"/>
    <x v="4"/>
    <n v="0"/>
    <x v="0"/>
  </r>
  <r>
    <x v="969"/>
    <x v="16"/>
    <s v="United States"/>
    <x v="5"/>
    <s v="NULL"/>
    <n v="1"/>
    <n v="151"/>
    <x v="579"/>
    <x v="3"/>
    <x v="8"/>
    <x v="4"/>
    <n v="1"/>
    <x v="0"/>
  </r>
  <r>
    <x v="970"/>
    <x v="9"/>
    <s v="United States"/>
    <x v="3"/>
    <s v="NULL"/>
    <n v="0.12"/>
    <n v="640"/>
    <x v="580"/>
    <x v="3"/>
    <x v="8"/>
    <x v="4"/>
    <n v="0"/>
    <x v="0"/>
  </r>
  <r>
    <x v="699"/>
    <x v="16"/>
    <s v="United States"/>
    <x v="2"/>
    <s v="NULL"/>
    <s v="NULL"/>
    <n v="35"/>
    <x v="580"/>
    <x v="3"/>
    <x v="8"/>
    <x v="3"/>
    <s v="NULL"/>
    <x v="1"/>
  </r>
  <r>
    <x v="971"/>
    <x v="12"/>
    <s v="China"/>
    <x v="2"/>
    <s v="NULL"/>
    <s v="NULL"/>
    <s v="NULL"/>
    <x v="580"/>
    <x v="3"/>
    <x v="8"/>
    <x v="1"/>
    <s v="NULL"/>
    <x v="1"/>
  </r>
  <r>
    <x v="972"/>
    <x v="0"/>
    <s v="United States"/>
    <x v="1"/>
    <s v="NULL"/>
    <s v="NULL"/>
    <n v="62"/>
    <x v="580"/>
    <x v="3"/>
    <x v="8"/>
    <x v="3"/>
    <s v="NULL"/>
    <x v="1"/>
  </r>
  <r>
    <x v="290"/>
    <x v="3"/>
    <s v="United States"/>
    <x v="0"/>
    <n v="120"/>
    <n v="0.02"/>
    <s v="NULL"/>
    <x v="581"/>
    <x v="3"/>
    <x v="8"/>
    <x v="1"/>
    <n v="0"/>
    <x v="0"/>
  </r>
  <r>
    <x v="973"/>
    <x v="11"/>
    <s v="China"/>
    <x v="0"/>
    <s v="NULL"/>
    <n v="0.1"/>
    <n v="7200"/>
    <x v="581"/>
    <x v="3"/>
    <x v="8"/>
    <x v="2"/>
    <n v="0"/>
    <x v="0"/>
  </r>
  <r>
    <x v="974"/>
    <x v="9"/>
    <s v="United States"/>
    <x v="5"/>
    <s v="NULL"/>
    <n v="0.5"/>
    <n v="427"/>
    <x v="581"/>
    <x v="3"/>
    <x v="8"/>
    <x v="4"/>
    <n v="0"/>
    <x v="0"/>
  </r>
  <r>
    <x v="975"/>
    <x v="0"/>
    <s v="United States"/>
    <x v="0"/>
    <n v="800"/>
    <n v="0.1"/>
    <n v="366"/>
    <x v="582"/>
    <x v="3"/>
    <x v="8"/>
    <x v="4"/>
    <n v="0"/>
    <x v="0"/>
  </r>
  <r>
    <x v="976"/>
    <x v="18"/>
    <s v="United States"/>
    <x v="0"/>
    <n v="65"/>
    <n v="0.08"/>
    <n v="122"/>
    <x v="582"/>
    <x v="3"/>
    <x v="8"/>
    <x v="4"/>
    <n v="0"/>
    <x v="0"/>
  </r>
  <r>
    <x v="977"/>
    <x v="30"/>
    <s v="United States"/>
    <x v="7"/>
    <s v="NULL"/>
    <s v="NULL"/>
    <n v="200"/>
    <x v="582"/>
    <x v="3"/>
    <x v="8"/>
    <x v="4"/>
    <s v="NULL"/>
    <x v="1"/>
  </r>
  <r>
    <x v="978"/>
    <x v="16"/>
    <s v="United States"/>
    <x v="7"/>
    <s v="NULL"/>
    <s v="NULL"/>
    <n v="472"/>
    <x v="582"/>
    <x v="3"/>
    <x v="8"/>
    <x v="4"/>
    <s v="NULL"/>
    <x v="1"/>
  </r>
  <r>
    <x v="979"/>
    <x v="6"/>
    <s v="Switzerland"/>
    <x v="0"/>
    <s v="NULL"/>
    <n v="0.1"/>
    <n v="84"/>
    <x v="582"/>
    <x v="3"/>
    <x v="8"/>
    <x v="3"/>
    <n v="0"/>
    <x v="0"/>
  </r>
  <r>
    <x v="204"/>
    <x v="6"/>
    <s v="United States"/>
    <x v="0"/>
    <n v="545"/>
    <n v="0.1"/>
    <s v="NULL"/>
    <x v="583"/>
    <x v="3"/>
    <x v="8"/>
    <x v="1"/>
    <n v="0"/>
    <x v="0"/>
  </r>
  <r>
    <x v="980"/>
    <x v="6"/>
    <s v="United States"/>
    <x v="0"/>
    <n v="500"/>
    <n v="7.0000000000000007E-2"/>
    <n v="2400"/>
    <x v="583"/>
    <x v="3"/>
    <x v="8"/>
    <x v="2"/>
    <n v="0"/>
    <x v="0"/>
  </r>
  <r>
    <x v="981"/>
    <x v="2"/>
    <s v="United States"/>
    <x v="12"/>
    <n v="250"/>
    <n v="0.2"/>
    <n v="1700"/>
    <x v="583"/>
    <x v="3"/>
    <x v="8"/>
    <x v="2"/>
    <n v="0"/>
    <x v="0"/>
  </r>
  <r>
    <x v="982"/>
    <x v="7"/>
    <s v="United States"/>
    <x v="2"/>
    <n v="73"/>
    <n v="0.5"/>
    <n v="106"/>
    <x v="583"/>
    <x v="3"/>
    <x v="8"/>
    <x v="4"/>
    <n v="0"/>
    <x v="0"/>
  </r>
  <r>
    <x v="983"/>
    <x v="5"/>
    <s v="United States"/>
    <x v="13"/>
    <s v="NULL"/>
    <n v="1"/>
    <n v="856"/>
    <x v="584"/>
    <x v="3"/>
    <x v="9"/>
    <x v="4"/>
    <n v="1"/>
    <x v="0"/>
  </r>
  <r>
    <x v="984"/>
    <x v="8"/>
    <s v="Germany"/>
    <x v="1"/>
    <n v="215"/>
    <n v="0.05"/>
    <s v="NULL"/>
    <x v="585"/>
    <x v="3"/>
    <x v="9"/>
    <x v="1"/>
    <n v="0"/>
    <x v="0"/>
  </r>
  <r>
    <x v="11"/>
    <x v="1"/>
    <s v="United States"/>
    <x v="1"/>
    <n v="100"/>
    <n v="0.08"/>
    <n v="100"/>
    <x v="585"/>
    <x v="3"/>
    <x v="9"/>
    <x v="4"/>
    <n v="0"/>
    <x v="0"/>
  </r>
  <r>
    <x v="985"/>
    <x v="0"/>
    <s v="United States"/>
    <x v="2"/>
    <n v="50"/>
    <s v="NULL"/>
    <n v="153"/>
    <x v="585"/>
    <x v="3"/>
    <x v="9"/>
    <x v="4"/>
    <s v="NULL"/>
    <x v="0"/>
  </r>
  <r>
    <x v="986"/>
    <x v="14"/>
    <s v="United States"/>
    <x v="2"/>
    <s v="NULL"/>
    <s v="NULL"/>
    <n v="116"/>
    <x v="586"/>
    <x v="3"/>
    <x v="9"/>
    <x v="4"/>
    <s v="NULL"/>
    <x v="1"/>
  </r>
  <r>
    <x v="987"/>
    <x v="14"/>
    <s v="United States"/>
    <x v="0"/>
    <n v="120"/>
    <n v="0.2"/>
    <n v="1300"/>
    <x v="587"/>
    <x v="3"/>
    <x v="9"/>
    <x v="2"/>
    <n v="0"/>
    <x v="0"/>
  </r>
  <r>
    <x v="988"/>
    <x v="21"/>
    <s v="India"/>
    <x v="10"/>
    <n v="50"/>
    <n v="0.2"/>
    <s v="NULL"/>
    <x v="587"/>
    <x v="3"/>
    <x v="9"/>
    <x v="1"/>
    <n v="0"/>
    <x v="0"/>
  </r>
  <r>
    <x v="989"/>
    <x v="2"/>
    <s v="United States"/>
    <x v="3"/>
    <n v="110"/>
    <s v="NULL"/>
    <n v="453"/>
    <x v="588"/>
    <x v="3"/>
    <x v="9"/>
    <x v="4"/>
    <s v="NULL"/>
    <x v="0"/>
  </r>
  <r>
    <x v="990"/>
    <x v="3"/>
    <s v="Finland"/>
    <x v="0"/>
    <n v="70"/>
    <s v="NULL"/>
    <s v="NULL"/>
    <x v="588"/>
    <x v="3"/>
    <x v="9"/>
    <x v="1"/>
    <s v="NULL"/>
    <x v="0"/>
  </r>
  <r>
    <x v="991"/>
    <x v="2"/>
    <s v="India"/>
    <x v="8"/>
    <n v="20"/>
    <n v="0.33"/>
    <s v="NULL"/>
    <x v="588"/>
    <x v="3"/>
    <x v="9"/>
    <x v="1"/>
    <n v="0"/>
    <x v="0"/>
  </r>
  <r>
    <x v="992"/>
    <x v="3"/>
    <s v="United States"/>
    <x v="4"/>
    <s v="NULL"/>
    <n v="0.2"/>
    <n v="391"/>
    <x v="588"/>
    <x v="3"/>
    <x v="9"/>
    <x v="4"/>
    <n v="0"/>
    <x v="0"/>
  </r>
  <r>
    <x v="216"/>
    <x v="21"/>
    <s v="United Kingdom"/>
    <x v="7"/>
    <s v="NULL"/>
    <s v="NULL"/>
    <n v="414"/>
    <x v="588"/>
    <x v="3"/>
    <x v="9"/>
    <x v="4"/>
    <s v="NULL"/>
    <x v="1"/>
  </r>
  <r>
    <x v="993"/>
    <x v="23"/>
    <s v="United States"/>
    <x v="2"/>
    <s v="NULL"/>
    <n v="1"/>
    <n v="76"/>
    <x v="588"/>
    <x v="3"/>
    <x v="9"/>
    <x v="3"/>
    <n v="1"/>
    <x v="0"/>
  </r>
  <r>
    <x v="994"/>
    <x v="12"/>
    <s v="United States"/>
    <x v="4"/>
    <n v="130"/>
    <n v="0.2"/>
    <n v="365"/>
    <x v="589"/>
    <x v="3"/>
    <x v="9"/>
    <x v="4"/>
    <n v="0"/>
    <x v="0"/>
  </r>
  <r>
    <x v="995"/>
    <x v="1"/>
    <s v="United States"/>
    <x v="6"/>
    <s v="NULL"/>
    <n v="1"/>
    <n v="1"/>
    <x v="589"/>
    <x v="3"/>
    <x v="9"/>
    <x v="0"/>
    <n v="1"/>
    <x v="0"/>
  </r>
  <r>
    <x v="996"/>
    <x v="2"/>
    <s v="United States"/>
    <x v="1"/>
    <s v="NULL"/>
    <n v="0.03"/>
    <n v="65"/>
    <x v="589"/>
    <x v="3"/>
    <x v="9"/>
    <x v="3"/>
    <n v="0"/>
    <x v="0"/>
  </r>
  <r>
    <x v="997"/>
    <x v="9"/>
    <s v="United Kingdom"/>
    <x v="3"/>
    <n v="100"/>
    <n v="0.3"/>
    <s v="NULL"/>
    <x v="590"/>
    <x v="3"/>
    <x v="9"/>
    <x v="1"/>
    <n v="0"/>
    <x v="0"/>
  </r>
  <r>
    <x v="998"/>
    <x v="1"/>
    <s v="China"/>
    <x v="10"/>
    <n v="15"/>
    <s v="NULL"/>
    <s v="NULL"/>
    <x v="590"/>
    <x v="3"/>
    <x v="9"/>
    <x v="1"/>
    <s v="NULL"/>
    <x v="0"/>
  </r>
  <r>
    <x v="805"/>
    <x v="5"/>
    <s v="United States"/>
    <x v="3"/>
    <n v="119"/>
    <n v="0.17"/>
    <n v="218"/>
    <x v="591"/>
    <x v="3"/>
    <x v="9"/>
    <x v="4"/>
    <n v="0"/>
    <x v="0"/>
  </r>
  <r>
    <x v="650"/>
    <x v="14"/>
    <s v="United States"/>
    <x v="2"/>
    <n v="26"/>
    <s v="NULL"/>
    <n v="67"/>
    <x v="591"/>
    <x v="3"/>
    <x v="9"/>
    <x v="3"/>
    <s v="NULL"/>
    <x v="0"/>
  </r>
  <r>
    <x v="805"/>
    <x v="5"/>
    <s v="United States"/>
    <x v="3"/>
    <s v="NULL"/>
    <n v="0.25"/>
    <n v="218"/>
    <x v="591"/>
    <x v="3"/>
    <x v="9"/>
    <x v="4"/>
    <n v="0"/>
    <x v="0"/>
  </r>
  <r>
    <x v="999"/>
    <x v="23"/>
    <s v="United States"/>
    <x v="11"/>
    <n v="500"/>
    <n v="1"/>
    <n v="1100"/>
    <x v="592"/>
    <x v="3"/>
    <x v="9"/>
    <x v="2"/>
    <n v="1"/>
    <x v="0"/>
  </r>
  <r>
    <x v="1000"/>
    <x v="19"/>
    <s v="United States"/>
    <x v="1"/>
    <n v="140"/>
    <n v="0.09"/>
    <n v="32"/>
    <x v="592"/>
    <x v="3"/>
    <x v="9"/>
    <x v="3"/>
    <n v="0"/>
    <x v="0"/>
  </r>
  <r>
    <x v="588"/>
    <x v="27"/>
    <s v="United States"/>
    <x v="0"/>
    <n v="100"/>
    <s v="NULL"/>
    <n v="951"/>
    <x v="592"/>
    <x v="3"/>
    <x v="9"/>
    <x v="4"/>
    <s v="NULL"/>
    <x v="0"/>
  </r>
  <r>
    <x v="1001"/>
    <x v="6"/>
    <s v="Canada"/>
    <x v="8"/>
    <n v="21"/>
    <n v="0.28000000000000003"/>
    <n v="16"/>
    <x v="592"/>
    <x v="3"/>
    <x v="9"/>
    <x v="3"/>
    <n v="0"/>
    <x v="0"/>
  </r>
  <r>
    <x v="1002"/>
    <x v="2"/>
    <s v="France"/>
    <x v="4"/>
    <n v="230"/>
    <n v="0.25"/>
    <n v="705"/>
    <x v="593"/>
    <x v="3"/>
    <x v="9"/>
    <x v="4"/>
    <n v="0"/>
    <x v="0"/>
  </r>
  <r>
    <x v="45"/>
    <x v="1"/>
    <s v="United States"/>
    <x v="0"/>
    <n v="40"/>
    <s v="NULL"/>
    <n v="26"/>
    <x v="593"/>
    <x v="3"/>
    <x v="9"/>
    <x v="3"/>
    <s v="NULL"/>
    <x v="0"/>
  </r>
  <r>
    <x v="549"/>
    <x v="0"/>
    <s v="Netherlands"/>
    <x v="8"/>
    <n v="35"/>
    <n v="0.1"/>
    <n v="64"/>
    <x v="593"/>
    <x v="3"/>
    <x v="9"/>
    <x v="3"/>
    <n v="0"/>
    <x v="0"/>
  </r>
  <r>
    <x v="1003"/>
    <x v="5"/>
    <s v="United States"/>
    <x v="2"/>
    <n v="24"/>
    <s v="NULL"/>
    <n v="38"/>
    <x v="593"/>
    <x v="3"/>
    <x v="9"/>
    <x v="3"/>
    <s v="NULL"/>
    <x v="0"/>
  </r>
  <r>
    <x v="1004"/>
    <x v="2"/>
    <s v="India"/>
    <x v="6"/>
    <s v="NULL"/>
    <n v="1"/>
    <s v="NULL"/>
    <x v="593"/>
    <x v="3"/>
    <x v="9"/>
    <x v="1"/>
    <n v="1"/>
    <x v="0"/>
  </r>
  <r>
    <x v="1005"/>
    <x v="30"/>
    <s v="United States"/>
    <x v="6"/>
    <s v="NULL"/>
    <n v="1"/>
    <n v="9"/>
    <x v="593"/>
    <x v="3"/>
    <x v="9"/>
    <x v="0"/>
    <n v="1"/>
    <x v="0"/>
  </r>
  <r>
    <x v="1006"/>
    <x v="11"/>
    <s v="Sweden"/>
    <x v="5"/>
    <s v="NULL"/>
    <n v="1"/>
    <n v="391"/>
    <x v="593"/>
    <x v="3"/>
    <x v="9"/>
    <x v="4"/>
    <n v="1"/>
    <x v="0"/>
  </r>
  <r>
    <x v="190"/>
    <x v="13"/>
    <s v="United States"/>
    <x v="0"/>
    <n v="100"/>
    <s v="NULL"/>
    <n v="3300"/>
    <x v="594"/>
    <x v="3"/>
    <x v="9"/>
    <x v="2"/>
    <s v="NULL"/>
    <x v="0"/>
  </r>
  <r>
    <x v="1007"/>
    <x v="11"/>
    <s v="United States"/>
    <x v="10"/>
    <s v="NULL"/>
    <s v="NULL"/>
    <n v="5500"/>
    <x v="594"/>
    <x v="3"/>
    <x v="9"/>
    <x v="2"/>
    <s v="NULL"/>
    <x v="1"/>
  </r>
  <r>
    <x v="73"/>
    <x v="8"/>
    <s v="United States"/>
    <x v="1"/>
    <n v="660"/>
    <n v="0.03"/>
    <n v="154"/>
    <x v="595"/>
    <x v="3"/>
    <x v="9"/>
    <x v="4"/>
    <n v="0"/>
    <x v="0"/>
  </r>
  <r>
    <x v="1008"/>
    <x v="2"/>
    <s v="India"/>
    <x v="5"/>
    <n v="90"/>
    <s v="NULL"/>
    <n v="112"/>
    <x v="595"/>
    <x v="3"/>
    <x v="9"/>
    <x v="4"/>
    <s v="NULL"/>
    <x v="0"/>
  </r>
  <r>
    <x v="631"/>
    <x v="14"/>
    <s v="United States"/>
    <x v="13"/>
    <n v="80"/>
    <n v="0.03"/>
    <n v="537"/>
    <x v="595"/>
    <x v="3"/>
    <x v="9"/>
    <x v="4"/>
    <n v="0"/>
    <x v="0"/>
  </r>
  <r>
    <x v="1009"/>
    <x v="13"/>
    <s v="United States"/>
    <x v="1"/>
    <n v="80"/>
    <s v="NULL"/>
    <n v="229"/>
    <x v="595"/>
    <x v="3"/>
    <x v="9"/>
    <x v="4"/>
    <s v="NULL"/>
    <x v="0"/>
  </r>
  <r>
    <x v="1010"/>
    <x v="0"/>
    <s v="United States"/>
    <x v="1"/>
    <n v="58"/>
    <n v="0.5"/>
    <s v="NULL"/>
    <x v="595"/>
    <x v="3"/>
    <x v="9"/>
    <x v="1"/>
    <n v="0"/>
    <x v="0"/>
  </r>
  <r>
    <x v="1011"/>
    <x v="8"/>
    <s v="United States"/>
    <x v="1"/>
    <s v="NULL"/>
    <n v="0.28000000000000003"/>
    <n v="153"/>
    <x v="595"/>
    <x v="3"/>
    <x v="9"/>
    <x v="4"/>
    <n v="0"/>
    <x v="0"/>
  </r>
  <r>
    <x v="1012"/>
    <x v="1"/>
    <s v="United Kingdom"/>
    <x v="1"/>
    <s v="NULL"/>
    <s v="NULL"/>
    <s v="NULL"/>
    <x v="596"/>
    <x v="3"/>
    <x v="9"/>
    <x v="1"/>
    <s v="NULL"/>
    <x v="1"/>
  </r>
  <r>
    <x v="82"/>
    <x v="21"/>
    <s v="India"/>
    <x v="2"/>
    <n v="300"/>
    <s v="NULL"/>
    <n v="61"/>
    <x v="597"/>
    <x v="3"/>
    <x v="9"/>
    <x v="3"/>
    <s v="NULL"/>
    <x v="0"/>
  </r>
  <r>
    <x v="527"/>
    <x v="23"/>
    <s v="United States"/>
    <x v="11"/>
    <s v="NULL"/>
    <n v="0.2"/>
    <n v="2400"/>
    <x v="598"/>
    <x v="3"/>
    <x v="9"/>
    <x v="2"/>
    <n v="0"/>
    <x v="0"/>
  </r>
  <r>
    <x v="1013"/>
    <x v="5"/>
    <s v="United States"/>
    <x v="3"/>
    <s v="NULL"/>
    <s v="NULL"/>
    <s v="NULL"/>
    <x v="598"/>
    <x v="3"/>
    <x v="9"/>
    <x v="1"/>
    <s v="NULL"/>
    <x v="1"/>
  </r>
  <r>
    <x v="124"/>
    <x v="12"/>
    <s v="United States"/>
    <x v="0"/>
    <n v="1258"/>
    <n v="0.02"/>
    <s v="NULL"/>
    <x v="599"/>
    <x v="3"/>
    <x v="9"/>
    <x v="1"/>
    <n v="0"/>
    <x v="0"/>
  </r>
  <r>
    <x v="1014"/>
    <x v="14"/>
    <s v="United States"/>
    <x v="0"/>
    <n v="172"/>
    <n v="0.14000000000000001"/>
    <n v="392"/>
    <x v="599"/>
    <x v="3"/>
    <x v="9"/>
    <x v="4"/>
    <n v="0"/>
    <x v="0"/>
  </r>
  <r>
    <x v="1015"/>
    <x v="6"/>
    <s v="United States"/>
    <x v="0"/>
    <n v="84"/>
    <n v="0.28000000000000003"/>
    <n v="272"/>
    <x v="599"/>
    <x v="3"/>
    <x v="9"/>
    <x v="4"/>
    <n v="0"/>
    <x v="0"/>
  </r>
  <r>
    <x v="1016"/>
    <x v="17"/>
    <s v="United States"/>
    <x v="2"/>
    <n v="20"/>
    <n v="0.2"/>
    <n v="86"/>
    <x v="600"/>
    <x v="3"/>
    <x v="9"/>
    <x v="3"/>
    <n v="0"/>
    <x v="0"/>
  </r>
  <r>
    <x v="1017"/>
    <x v="3"/>
    <s v="Switzerland"/>
    <x v="9"/>
    <s v="NULL"/>
    <s v="NULL"/>
    <n v="658"/>
    <x v="600"/>
    <x v="3"/>
    <x v="9"/>
    <x v="4"/>
    <s v="NULL"/>
    <x v="1"/>
  </r>
  <r>
    <x v="1018"/>
    <x v="14"/>
    <s v="Brazil"/>
    <x v="7"/>
    <n v="180"/>
    <s v="NULL"/>
    <n v="727"/>
    <x v="601"/>
    <x v="3"/>
    <x v="9"/>
    <x v="4"/>
    <s v="NULL"/>
    <x v="0"/>
  </r>
  <r>
    <x v="843"/>
    <x v="2"/>
    <s v="United States"/>
    <x v="0"/>
    <n v="558"/>
    <s v="NULL"/>
    <n v="79"/>
    <x v="602"/>
    <x v="3"/>
    <x v="9"/>
    <x v="3"/>
    <s v="NULL"/>
    <x v="0"/>
  </r>
  <r>
    <x v="761"/>
    <x v="5"/>
    <s v="United States"/>
    <x v="7"/>
    <n v="114"/>
    <n v="0.05"/>
    <n v="522"/>
    <x v="602"/>
    <x v="3"/>
    <x v="9"/>
    <x v="4"/>
    <n v="0"/>
    <x v="0"/>
  </r>
  <r>
    <x v="401"/>
    <x v="29"/>
    <s v="United States"/>
    <x v="3"/>
    <n v="40"/>
    <s v="NULL"/>
    <n v="167"/>
    <x v="602"/>
    <x v="3"/>
    <x v="9"/>
    <x v="4"/>
    <s v="NULL"/>
    <x v="0"/>
  </r>
  <r>
    <x v="1019"/>
    <x v="14"/>
    <s v="United States"/>
    <x v="3"/>
    <s v="NULL"/>
    <n v="1"/>
    <s v="NULL"/>
    <x v="602"/>
    <x v="3"/>
    <x v="9"/>
    <x v="1"/>
    <n v="1"/>
    <x v="0"/>
  </r>
  <r>
    <x v="1020"/>
    <x v="1"/>
    <s v="United States"/>
    <x v="1"/>
    <s v="NULL"/>
    <n v="0.6"/>
    <s v="NULL"/>
    <x v="602"/>
    <x v="3"/>
    <x v="9"/>
    <x v="1"/>
    <n v="0"/>
    <x v="0"/>
  </r>
  <r>
    <x v="1021"/>
    <x v="13"/>
    <s v="United States"/>
    <x v="9"/>
    <n v="75"/>
    <n v="0.09"/>
    <s v="NULL"/>
    <x v="603"/>
    <x v="3"/>
    <x v="9"/>
    <x v="1"/>
    <n v="0"/>
    <x v="0"/>
  </r>
  <r>
    <x v="1022"/>
    <x v="12"/>
    <s v="United States"/>
    <x v="0"/>
    <n v="440"/>
    <n v="0.04"/>
    <n v="39"/>
    <x v="604"/>
    <x v="3"/>
    <x v="9"/>
    <x v="3"/>
    <n v="0"/>
    <x v="0"/>
  </r>
  <r>
    <x v="155"/>
    <x v="14"/>
    <s v="United States"/>
    <x v="9"/>
    <n v="80"/>
    <n v="0.05"/>
    <n v="54"/>
    <x v="604"/>
    <x v="3"/>
    <x v="9"/>
    <x v="3"/>
    <n v="0"/>
    <x v="0"/>
  </r>
  <r>
    <x v="560"/>
    <x v="1"/>
    <s v="United States"/>
    <x v="2"/>
    <s v="NULL"/>
    <n v="0.09"/>
    <n v="42"/>
    <x v="604"/>
    <x v="3"/>
    <x v="9"/>
    <x v="3"/>
    <n v="0"/>
    <x v="0"/>
  </r>
  <r>
    <x v="1023"/>
    <x v="14"/>
    <s v="United States"/>
    <x v="3"/>
    <s v="NULL"/>
    <n v="1"/>
    <n v="86"/>
    <x v="604"/>
    <x v="3"/>
    <x v="9"/>
    <x v="3"/>
    <n v="1"/>
    <x v="0"/>
  </r>
  <r>
    <x v="1024"/>
    <x v="11"/>
    <s v="United States"/>
    <x v="0"/>
    <s v="NULL"/>
    <n v="1"/>
    <n v="504"/>
    <x v="604"/>
    <x v="3"/>
    <x v="9"/>
    <x v="4"/>
    <n v="1"/>
    <x v="0"/>
  </r>
  <r>
    <x v="1025"/>
    <x v="9"/>
    <s v="United States"/>
    <x v="3"/>
    <s v="NULL"/>
    <s v="NULL"/>
    <n v="450"/>
    <x v="604"/>
    <x v="3"/>
    <x v="9"/>
    <x v="4"/>
    <s v="NULL"/>
    <x v="1"/>
  </r>
  <r>
    <x v="681"/>
    <x v="26"/>
    <s v="United States"/>
    <x v="0"/>
    <n v="185"/>
    <s v="NULL"/>
    <n v="516"/>
    <x v="605"/>
    <x v="3"/>
    <x v="9"/>
    <x v="4"/>
    <s v="NULL"/>
    <x v="0"/>
  </r>
  <r>
    <x v="1026"/>
    <x v="2"/>
    <s v="India"/>
    <x v="11"/>
    <n v="50"/>
    <s v="NULL"/>
    <n v="315"/>
    <x v="605"/>
    <x v="3"/>
    <x v="9"/>
    <x v="4"/>
    <s v="NULL"/>
    <x v="0"/>
  </r>
  <r>
    <x v="1027"/>
    <x v="21"/>
    <s v="United States"/>
    <x v="1"/>
    <n v="29"/>
    <n v="0.14000000000000001"/>
    <n v="8"/>
    <x v="605"/>
    <x v="3"/>
    <x v="9"/>
    <x v="0"/>
    <n v="0"/>
    <x v="0"/>
  </r>
  <r>
    <x v="668"/>
    <x v="8"/>
    <s v="United States"/>
    <x v="5"/>
    <n v="16"/>
    <n v="7.0000000000000007E-2"/>
    <s v="NULL"/>
    <x v="605"/>
    <x v="3"/>
    <x v="9"/>
    <x v="1"/>
    <n v="0"/>
    <x v="0"/>
  </r>
  <r>
    <x v="381"/>
    <x v="11"/>
    <s v="United Kingdom"/>
    <x v="0"/>
    <s v="NULL"/>
    <n v="0.25"/>
    <n v="629"/>
    <x v="605"/>
    <x v="3"/>
    <x v="9"/>
    <x v="4"/>
    <n v="0"/>
    <x v="0"/>
  </r>
  <r>
    <x v="1028"/>
    <x v="9"/>
    <s v="France"/>
    <x v="5"/>
    <s v="NULL"/>
    <n v="0.12"/>
    <n v="577"/>
    <x v="605"/>
    <x v="3"/>
    <x v="9"/>
    <x v="4"/>
    <n v="0"/>
    <x v="0"/>
  </r>
  <r>
    <x v="1029"/>
    <x v="0"/>
    <s v="United States"/>
    <x v="1"/>
    <n v="780"/>
    <n v="0.14000000000000001"/>
    <n v="400"/>
    <x v="606"/>
    <x v="3"/>
    <x v="9"/>
    <x v="4"/>
    <n v="0"/>
    <x v="0"/>
  </r>
  <r>
    <x v="472"/>
    <x v="13"/>
    <s v="Canada"/>
    <x v="3"/>
    <n v="250"/>
    <n v="0.3"/>
    <n v="730"/>
    <x v="606"/>
    <x v="3"/>
    <x v="9"/>
    <x v="4"/>
    <n v="0"/>
    <x v="0"/>
  </r>
  <r>
    <x v="1030"/>
    <x v="11"/>
    <s v="United States"/>
    <x v="0"/>
    <s v="NULL"/>
    <s v="NULL"/>
    <n v="916"/>
    <x v="606"/>
    <x v="3"/>
    <x v="9"/>
    <x v="4"/>
    <s v="NULL"/>
    <x v="1"/>
  </r>
  <r>
    <x v="166"/>
    <x v="14"/>
    <s v="United States"/>
    <x v="0"/>
    <s v="NULL"/>
    <s v="NULL"/>
    <n v="150"/>
    <x v="606"/>
    <x v="3"/>
    <x v="9"/>
    <x v="4"/>
    <s v="NULL"/>
    <x v="1"/>
  </r>
  <r>
    <x v="65"/>
    <x v="1"/>
    <s v="United States"/>
    <x v="0"/>
    <s v="NULL"/>
    <s v="NULL"/>
    <n v="26000"/>
    <x v="606"/>
    <x v="3"/>
    <x v="9"/>
    <x v="2"/>
    <s v="NULL"/>
    <x v="1"/>
  </r>
  <r>
    <x v="1031"/>
    <x v="26"/>
    <s v="United Kingdom"/>
    <x v="3"/>
    <s v="NULL"/>
    <s v="NULL"/>
    <s v="NULL"/>
    <x v="607"/>
    <x v="3"/>
    <x v="9"/>
    <x v="1"/>
    <s v="NULL"/>
    <x v="1"/>
  </r>
  <r>
    <x v="1032"/>
    <x v="10"/>
    <s v="United States"/>
    <x v="5"/>
    <s v="NULL"/>
    <s v="NULL"/>
    <n v="152"/>
    <x v="607"/>
    <x v="3"/>
    <x v="9"/>
    <x v="4"/>
    <s v="NULL"/>
    <x v="1"/>
  </r>
  <r>
    <x v="870"/>
    <x v="1"/>
    <s v="United States"/>
    <x v="1"/>
    <s v="NULL"/>
    <s v="NULL"/>
    <n v="35"/>
    <x v="607"/>
    <x v="3"/>
    <x v="9"/>
    <x v="3"/>
    <s v="NULL"/>
    <x v="1"/>
  </r>
  <r>
    <x v="1033"/>
    <x v="9"/>
    <s v="United States"/>
    <x v="4"/>
    <n v="150"/>
    <n v="0.15"/>
    <n v="536"/>
    <x v="608"/>
    <x v="3"/>
    <x v="9"/>
    <x v="4"/>
    <n v="0"/>
    <x v="0"/>
  </r>
  <r>
    <x v="1034"/>
    <x v="14"/>
    <s v="United States"/>
    <x v="2"/>
    <n v="86"/>
    <n v="0.4"/>
    <n v="50"/>
    <x v="608"/>
    <x v="3"/>
    <x v="9"/>
    <x v="3"/>
    <n v="0"/>
    <x v="0"/>
  </r>
  <r>
    <x v="1035"/>
    <x v="9"/>
    <s v="United States"/>
    <x v="7"/>
    <n v="26"/>
    <n v="0.37"/>
    <n v="70"/>
    <x v="608"/>
    <x v="3"/>
    <x v="9"/>
    <x v="3"/>
    <n v="0"/>
    <x v="0"/>
  </r>
  <r>
    <x v="1036"/>
    <x v="3"/>
    <s v="United States"/>
    <x v="0"/>
    <s v="NULL"/>
    <n v="1"/>
    <n v="428"/>
    <x v="608"/>
    <x v="3"/>
    <x v="9"/>
    <x v="4"/>
    <n v="1"/>
    <x v="0"/>
  </r>
  <r>
    <x v="1037"/>
    <x v="11"/>
    <s v="Germany"/>
    <x v="0"/>
    <s v="NULL"/>
    <s v="NULL"/>
    <n v="127"/>
    <x v="608"/>
    <x v="3"/>
    <x v="9"/>
    <x v="4"/>
    <s v="NULL"/>
    <x v="1"/>
  </r>
  <r>
    <x v="1038"/>
    <x v="14"/>
    <s v="United States"/>
    <x v="2"/>
    <n v="28"/>
    <n v="0.12"/>
    <n v="123"/>
    <x v="609"/>
    <x v="3"/>
    <x v="10"/>
    <x v="4"/>
    <n v="0"/>
    <x v="0"/>
  </r>
  <r>
    <x v="1039"/>
    <x v="14"/>
    <s v="Germany"/>
    <x v="11"/>
    <n v="14"/>
    <s v="NULL"/>
    <n v="1700"/>
    <x v="609"/>
    <x v="3"/>
    <x v="10"/>
    <x v="2"/>
    <s v="NULL"/>
    <x v="0"/>
  </r>
  <r>
    <x v="1040"/>
    <x v="7"/>
    <s v="Canada"/>
    <x v="8"/>
    <n v="9"/>
    <s v="NULL"/>
    <n v="5"/>
    <x v="609"/>
    <x v="3"/>
    <x v="10"/>
    <x v="0"/>
    <s v="NULL"/>
    <x v="0"/>
  </r>
  <r>
    <x v="1041"/>
    <x v="10"/>
    <s v="Canada"/>
    <x v="7"/>
    <s v="NULL"/>
    <s v="NULL"/>
    <n v="178"/>
    <x v="609"/>
    <x v="3"/>
    <x v="10"/>
    <x v="4"/>
    <s v="NULL"/>
    <x v="1"/>
  </r>
  <r>
    <x v="142"/>
    <x v="1"/>
    <s v="United States"/>
    <x v="3"/>
    <n v="870"/>
    <n v="0.16"/>
    <n v="6400"/>
    <x v="610"/>
    <x v="3"/>
    <x v="10"/>
    <x v="2"/>
    <n v="0"/>
    <x v="0"/>
  </r>
  <r>
    <x v="1042"/>
    <x v="25"/>
    <s v="United States"/>
    <x v="1"/>
    <n v="120"/>
    <s v="NULL"/>
    <n v="75"/>
    <x v="610"/>
    <x v="3"/>
    <x v="10"/>
    <x v="3"/>
    <s v="NULL"/>
    <x v="0"/>
  </r>
  <r>
    <x v="371"/>
    <x v="21"/>
    <s v="United States"/>
    <x v="0"/>
    <s v="NULL"/>
    <s v="NULL"/>
    <n v="426"/>
    <x v="610"/>
    <x v="3"/>
    <x v="10"/>
    <x v="4"/>
    <s v="NULL"/>
    <x v="1"/>
  </r>
  <r>
    <x v="1043"/>
    <x v="2"/>
    <m/>
    <x v="1"/>
    <s v="NULL"/>
    <n v="1"/>
    <s v="NULL"/>
    <x v="610"/>
    <x v="3"/>
    <x v="10"/>
    <x v="1"/>
    <n v="1"/>
    <x v="0"/>
  </r>
  <r>
    <x v="113"/>
    <x v="1"/>
    <s v="United States"/>
    <x v="0"/>
    <n v="170"/>
    <s v="NULL"/>
    <n v="4900"/>
    <x v="611"/>
    <x v="3"/>
    <x v="10"/>
    <x v="2"/>
    <s v="NULL"/>
    <x v="0"/>
  </r>
  <r>
    <x v="184"/>
    <x v="14"/>
    <s v="India"/>
    <x v="5"/>
    <n v="30"/>
    <n v="0.1"/>
    <n v="137"/>
    <x v="611"/>
    <x v="3"/>
    <x v="10"/>
    <x v="4"/>
    <n v="0"/>
    <x v="0"/>
  </r>
  <r>
    <x v="558"/>
    <x v="18"/>
    <s v="India"/>
    <x v="3"/>
    <n v="150"/>
    <n v="0.3"/>
    <n v="458"/>
    <x v="612"/>
    <x v="3"/>
    <x v="10"/>
    <x v="4"/>
    <n v="0"/>
    <x v="0"/>
  </r>
  <r>
    <x v="881"/>
    <x v="23"/>
    <s v="United States"/>
    <x v="7"/>
    <n v="131"/>
    <n v="0.33"/>
    <n v="263"/>
    <x v="612"/>
    <x v="3"/>
    <x v="10"/>
    <x v="4"/>
    <n v="0"/>
    <x v="0"/>
  </r>
  <r>
    <x v="1044"/>
    <x v="15"/>
    <s v="United States"/>
    <x v="7"/>
    <s v="NULL"/>
    <s v="NULL"/>
    <n v="497"/>
    <x v="612"/>
    <x v="3"/>
    <x v="10"/>
    <x v="4"/>
    <s v="NULL"/>
    <x v="1"/>
  </r>
  <r>
    <x v="1045"/>
    <x v="0"/>
    <s v="United States"/>
    <x v="11"/>
    <n v="75"/>
    <n v="7.0000000000000007E-2"/>
    <n v="170"/>
    <x v="613"/>
    <x v="3"/>
    <x v="10"/>
    <x v="4"/>
    <n v="0"/>
    <x v="0"/>
  </r>
  <r>
    <x v="1046"/>
    <x v="18"/>
    <s v="United States"/>
    <x v="3"/>
    <n v="40"/>
    <s v="NULL"/>
    <n v="465"/>
    <x v="614"/>
    <x v="3"/>
    <x v="10"/>
    <x v="4"/>
    <s v="NULL"/>
    <x v="0"/>
  </r>
  <r>
    <x v="1047"/>
    <x v="28"/>
    <s v="United States"/>
    <x v="2"/>
    <n v="35"/>
    <n v="0.25"/>
    <n v="51"/>
    <x v="614"/>
    <x v="3"/>
    <x v="10"/>
    <x v="3"/>
    <n v="0"/>
    <x v="0"/>
  </r>
  <r>
    <x v="1048"/>
    <x v="1"/>
    <s v="United States"/>
    <x v="0"/>
    <n v="30"/>
    <s v="NULL"/>
    <n v="857"/>
    <x v="614"/>
    <x v="3"/>
    <x v="10"/>
    <x v="4"/>
    <s v="NULL"/>
    <x v="0"/>
  </r>
  <r>
    <x v="1049"/>
    <x v="18"/>
    <s v="Singapore"/>
    <x v="1"/>
    <s v="NULL"/>
    <s v="NULL"/>
    <n v="749"/>
    <x v="614"/>
    <x v="3"/>
    <x v="10"/>
    <x v="4"/>
    <s v="NULL"/>
    <x v="1"/>
  </r>
  <r>
    <x v="1050"/>
    <x v="4"/>
    <s v="United Kingdom"/>
    <x v="8"/>
    <s v="NULL"/>
    <n v="1"/>
    <n v="14"/>
    <x v="614"/>
    <x v="3"/>
    <x v="10"/>
    <x v="3"/>
    <n v="1"/>
    <x v="0"/>
  </r>
  <r>
    <x v="1051"/>
    <x v="2"/>
    <s v="India"/>
    <x v="11"/>
    <n v="130"/>
    <s v="NULL"/>
    <n v="390"/>
    <x v="615"/>
    <x v="3"/>
    <x v="10"/>
    <x v="4"/>
    <s v="NULL"/>
    <x v="0"/>
  </r>
  <r>
    <x v="1052"/>
    <x v="5"/>
    <s v="Ireland"/>
    <x v="1"/>
    <n v="100"/>
    <s v="NULL"/>
    <s v="NULL"/>
    <x v="615"/>
    <x v="3"/>
    <x v="10"/>
    <x v="1"/>
    <s v="NULL"/>
    <x v="0"/>
  </r>
  <r>
    <x v="26"/>
    <x v="14"/>
    <s v="United States"/>
    <x v="0"/>
    <s v="NULL"/>
    <s v="NULL"/>
    <n v="5600"/>
    <x v="615"/>
    <x v="3"/>
    <x v="10"/>
    <x v="2"/>
    <s v="NULL"/>
    <x v="1"/>
  </r>
  <r>
    <x v="1053"/>
    <x v="14"/>
    <s v="India"/>
    <x v="6"/>
    <s v="NULL"/>
    <n v="1"/>
    <n v="4"/>
    <x v="616"/>
    <x v="3"/>
    <x v="10"/>
    <x v="0"/>
    <n v="1"/>
    <x v="0"/>
  </r>
  <r>
    <x v="492"/>
    <x v="19"/>
    <s v="United States"/>
    <x v="12"/>
    <s v="NULL"/>
    <n v="0.12"/>
    <n v="489"/>
    <x v="616"/>
    <x v="3"/>
    <x v="10"/>
    <x v="4"/>
    <n v="0"/>
    <x v="0"/>
  </r>
  <r>
    <x v="1054"/>
    <x v="16"/>
    <s v="United States"/>
    <x v="3"/>
    <s v="NULL"/>
    <s v="NULL"/>
    <s v="NULL"/>
    <x v="616"/>
    <x v="3"/>
    <x v="10"/>
    <x v="1"/>
    <s v="NULL"/>
    <x v="1"/>
  </r>
  <r>
    <x v="1055"/>
    <x v="18"/>
    <s v="United States"/>
    <x v="6"/>
    <s v="NULL"/>
    <n v="1"/>
    <n v="10"/>
    <x v="617"/>
    <x v="3"/>
    <x v="10"/>
    <x v="3"/>
    <n v="1"/>
    <x v="0"/>
  </r>
  <r>
    <x v="72"/>
    <x v="24"/>
    <s v="United States"/>
    <x v="0"/>
    <n v="350"/>
    <s v="NULL"/>
    <n v="2"/>
    <x v="618"/>
    <x v="3"/>
    <x v="10"/>
    <x v="0"/>
    <s v="NULL"/>
    <x v="0"/>
  </r>
  <r>
    <x v="1056"/>
    <x v="18"/>
    <s v="United States"/>
    <x v="6"/>
    <s v="NULL"/>
    <n v="1"/>
    <n v="7"/>
    <x v="618"/>
    <x v="3"/>
    <x v="10"/>
    <x v="0"/>
    <n v="1"/>
    <x v="0"/>
  </r>
  <r>
    <x v="1057"/>
    <x v="5"/>
    <s v="United States"/>
    <x v="0"/>
    <n v="290"/>
    <s v="NULL"/>
    <n v="438"/>
    <x v="619"/>
    <x v="3"/>
    <x v="10"/>
    <x v="4"/>
    <s v="NULL"/>
    <x v="0"/>
  </r>
  <r>
    <x v="860"/>
    <x v="18"/>
    <s v="Canada"/>
    <x v="5"/>
    <n v="30"/>
    <n v="7.0000000000000007E-2"/>
    <n v="131"/>
    <x v="619"/>
    <x v="3"/>
    <x v="10"/>
    <x v="4"/>
    <n v="0"/>
    <x v="0"/>
  </r>
  <r>
    <x v="1058"/>
    <x v="14"/>
    <s v="India"/>
    <x v="8"/>
    <s v="NULL"/>
    <n v="0.14000000000000001"/>
    <n v="30"/>
    <x v="619"/>
    <x v="3"/>
    <x v="10"/>
    <x v="3"/>
    <n v="0"/>
    <x v="0"/>
  </r>
  <r>
    <x v="1059"/>
    <x v="22"/>
    <s v="United States"/>
    <x v="4"/>
    <n v="237"/>
    <n v="0.27"/>
    <n v="1400"/>
    <x v="620"/>
    <x v="3"/>
    <x v="10"/>
    <x v="2"/>
    <n v="0"/>
    <x v="0"/>
  </r>
  <r>
    <x v="1060"/>
    <x v="23"/>
    <s v="United States"/>
    <x v="3"/>
    <n v="116"/>
    <s v="NULL"/>
    <n v="817"/>
    <x v="620"/>
    <x v="3"/>
    <x v="10"/>
    <x v="4"/>
    <s v="NULL"/>
    <x v="0"/>
  </r>
  <r>
    <x v="892"/>
    <x v="10"/>
    <s v="United States"/>
    <x v="4"/>
    <n v="40"/>
    <n v="0.1"/>
    <n v="456"/>
    <x v="620"/>
    <x v="3"/>
    <x v="10"/>
    <x v="4"/>
    <n v="0"/>
    <x v="0"/>
  </r>
  <r>
    <x v="1061"/>
    <x v="9"/>
    <s v="United States"/>
    <x v="8"/>
    <s v="NULL"/>
    <n v="0.2"/>
    <n v="112"/>
    <x v="620"/>
    <x v="3"/>
    <x v="10"/>
    <x v="4"/>
    <n v="0"/>
    <x v="0"/>
  </r>
  <r>
    <x v="45"/>
    <x v="1"/>
    <s v="United States"/>
    <x v="0"/>
    <n v="75"/>
    <s v="NULL"/>
    <n v="26"/>
    <x v="621"/>
    <x v="3"/>
    <x v="10"/>
    <x v="3"/>
    <s v="NULL"/>
    <x v="0"/>
  </r>
  <r>
    <x v="1062"/>
    <x v="5"/>
    <s v="United States"/>
    <x v="0"/>
    <s v="NULL"/>
    <n v="0.4"/>
    <n v="301"/>
    <x v="621"/>
    <x v="3"/>
    <x v="10"/>
    <x v="4"/>
    <n v="0"/>
    <x v="0"/>
  </r>
  <r>
    <x v="1063"/>
    <x v="13"/>
    <s v="United States"/>
    <x v="4"/>
    <n v="175"/>
    <n v="0.2"/>
    <n v="224"/>
    <x v="622"/>
    <x v="3"/>
    <x v="10"/>
    <x v="4"/>
    <n v="0"/>
    <x v="0"/>
  </r>
  <r>
    <x v="1064"/>
    <x v="9"/>
    <s v="United States"/>
    <x v="10"/>
    <n v="100"/>
    <n v="0.33"/>
    <s v="NULL"/>
    <x v="622"/>
    <x v="3"/>
    <x v="10"/>
    <x v="1"/>
    <n v="0"/>
    <x v="0"/>
  </r>
  <r>
    <x v="570"/>
    <x v="21"/>
    <s v="Canada"/>
    <x v="7"/>
    <n v="87"/>
    <n v="0.03"/>
    <n v="389"/>
    <x v="622"/>
    <x v="3"/>
    <x v="10"/>
    <x v="4"/>
    <n v="0"/>
    <x v="0"/>
  </r>
  <r>
    <x v="1065"/>
    <x v="16"/>
    <s v="Germany"/>
    <x v="3"/>
    <n v="40"/>
    <n v="0.2"/>
    <n v="71"/>
    <x v="622"/>
    <x v="3"/>
    <x v="10"/>
    <x v="3"/>
    <n v="0"/>
    <x v="0"/>
  </r>
  <r>
    <x v="162"/>
    <x v="3"/>
    <s v="United States"/>
    <x v="3"/>
    <n v="27"/>
    <n v="0.09"/>
    <n v="296"/>
    <x v="622"/>
    <x v="3"/>
    <x v="10"/>
    <x v="4"/>
    <n v="0"/>
    <x v="0"/>
  </r>
  <r>
    <x v="1066"/>
    <x v="0"/>
    <s v="Estonia"/>
    <x v="8"/>
    <n v="111"/>
    <s v="NULL"/>
    <n v="42"/>
    <x v="623"/>
    <x v="3"/>
    <x v="10"/>
    <x v="3"/>
    <s v="NULL"/>
    <x v="0"/>
  </r>
  <r>
    <x v="1067"/>
    <x v="14"/>
    <s v="United States"/>
    <x v="13"/>
    <n v="100"/>
    <n v="0.1"/>
    <n v="468"/>
    <x v="623"/>
    <x v="3"/>
    <x v="10"/>
    <x v="4"/>
    <n v="0"/>
    <x v="0"/>
  </r>
  <r>
    <x v="1068"/>
    <x v="16"/>
    <s v="United States"/>
    <x v="2"/>
    <n v="94"/>
    <s v="NULL"/>
    <n v="180"/>
    <x v="623"/>
    <x v="3"/>
    <x v="10"/>
    <x v="4"/>
    <s v="NULL"/>
    <x v="0"/>
  </r>
  <r>
    <x v="520"/>
    <x v="18"/>
    <s v="United States"/>
    <x v="3"/>
    <n v="34"/>
    <n v="0.4"/>
    <n v="94"/>
    <x v="623"/>
    <x v="3"/>
    <x v="10"/>
    <x v="3"/>
    <n v="0"/>
    <x v="0"/>
  </r>
  <r>
    <x v="1069"/>
    <x v="0"/>
    <s v="United States"/>
    <x v="3"/>
    <s v="NULL"/>
    <s v="NULL"/>
    <s v="NULL"/>
    <x v="623"/>
    <x v="3"/>
    <x v="10"/>
    <x v="1"/>
    <s v="NULL"/>
    <x v="1"/>
  </r>
  <r>
    <x v="1070"/>
    <x v="14"/>
    <s v="Netherlands"/>
    <x v="5"/>
    <s v="NULL"/>
    <s v="NULL"/>
    <n v="928"/>
    <x v="623"/>
    <x v="3"/>
    <x v="10"/>
    <x v="4"/>
    <s v="NULL"/>
    <x v="1"/>
  </r>
  <r>
    <x v="1071"/>
    <x v="7"/>
    <s v="United States"/>
    <x v="5"/>
    <s v="NULL"/>
    <s v="NULL"/>
    <n v="224"/>
    <x v="623"/>
    <x v="3"/>
    <x v="10"/>
    <x v="4"/>
    <s v="NULL"/>
    <x v="1"/>
  </r>
  <r>
    <x v="553"/>
    <x v="20"/>
    <s v="United States"/>
    <x v="3"/>
    <s v="NULL"/>
    <n v="0.1"/>
    <n v="1400"/>
    <x v="624"/>
    <x v="3"/>
    <x v="10"/>
    <x v="2"/>
    <n v="0"/>
    <x v="0"/>
  </r>
  <r>
    <x v="1072"/>
    <x v="10"/>
    <s v="United States"/>
    <x v="9"/>
    <s v="NULL"/>
    <s v="NULL"/>
    <n v="46"/>
    <x v="624"/>
    <x v="3"/>
    <x v="10"/>
    <x v="3"/>
    <s v="NULL"/>
    <x v="1"/>
  </r>
  <r>
    <x v="1073"/>
    <x v="10"/>
    <s v="United States"/>
    <x v="1"/>
    <n v="100"/>
    <n v="0.25"/>
    <n v="107"/>
    <x v="625"/>
    <x v="3"/>
    <x v="10"/>
    <x v="4"/>
    <n v="0"/>
    <x v="0"/>
  </r>
  <r>
    <x v="1074"/>
    <x v="14"/>
    <s v="Indonesia"/>
    <x v="3"/>
    <s v="NULL"/>
    <s v="NULL"/>
    <n v="67"/>
    <x v="625"/>
    <x v="3"/>
    <x v="10"/>
    <x v="3"/>
    <s v="NULL"/>
    <x v="1"/>
  </r>
  <r>
    <x v="1075"/>
    <x v="4"/>
    <s v="United States"/>
    <x v="0"/>
    <n v="360"/>
    <n v="0.1"/>
    <n v="208"/>
    <x v="626"/>
    <x v="3"/>
    <x v="10"/>
    <x v="4"/>
    <n v="0"/>
    <x v="0"/>
  </r>
  <r>
    <x v="1076"/>
    <x v="3"/>
    <s v="Israel"/>
    <x v="1"/>
    <n v="40"/>
    <s v="NULL"/>
    <n v="125"/>
    <x v="626"/>
    <x v="3"/>
    <x v="10"/>
    <x v="4"/>
    <s v="NULL"/>
    <x v="0"/>
  </r>
  <r>
    <x v="1077"/>
    <x v="16"/>
    <s v="United States"/>
    <x v="3"/>
    <s v="NULL"/>
    <s v="NULL"/>
    <n v="905"/>
    <x v="626"/>
    <x v="3"/>
    <x v="10"/>
    <x v="4"/>
    <s v="NULL"/>
    <x v="1"/>
  </r>
  <r>
    <x v="401"/>
    <x v="29"/>
    <s v="United States"/>
    <x v="3"/>
    <s v="NULL"/>
    <s v="NULL"/>
    <n v="167"/>
    <x v="626"/>
    <x v="3"/>
    <x v="10"/>
    <x v="4"/>
    <s v="NULL"/>
    <x v="1"/>
  </r>
  <r>
    <x v="1078"/>
    <x v="5"/>
    <s v="United States"/>
    <x v="0"/>
    <s v="NULL"/>
    <n v="0.2"/>
    <n v="31"/>
    <x v="626"/>
    <x v="3"/>
    <x v="10"/>
    <x v="3"/>
    <n v="0"/>
    <x v="0"/>
  </r>
  <r>
    <x v="1079"/>
    <x v="13"/>
    <s v="Brazil"/>
    <x v="3"/>
    <n v="82"/>
    <n v="0.18"/>
    <s v="NULL"/>
    <x v="627"/>
    <x v="3"/>
    <x v="10"/>
    <x v="1"/>
    <n v="0"/>
    <x v="0"/>
  </r>
  <r>
    <x v="1080"/>
    <x v="5"/>
    <s v="United States"/>
    <x v="0"/>
    <n v="30"/>
    <n v="0.15"/>
    <n v="238"/>
    <x v="627"/>
    <x v="3"/>
    <x v="10"/>
    <x v="4"/>
    <n v="0"/>
    <x v="0"/>
  </r>
  <r>
    <x v="1081"/>
    <x v="2"/>
    <s v="United States"/>
    <x v="6"/>
    <n v="24"/>
    <n v="0.2"/>
    <n v="40"/>
    <x v="627"/>
    <x v="3"/>
    <x v="10"/>
    <x v="3"/>
    <n v="0"/>
    <x v="0"/>
  </r>
  <r>
    <x v="1082"/>
    <x v="8"/>
    <s v="Canada"/>
    <x v="2"/>
    <s v="NULL"/>
    <s v="NULL"/>
    <n v="150"/>
    <x v="627"/>
    <x v="3"/>
    <x v="10"/>
    <x v="4"/>
    <s v="NULL"/>
    <x v="1"/>
  </r>
  <r>
    <x v="1083"/>
    <x v="5"/>
    <s v="Ghana"/>
    <x v="7"/>
    <n v="150"/>
    <s v="NULL"/>
    <n v="90"/>
    <x v="628"/>
    <x v="3"/>
    <x v="10"/>
    <x v="3"/>
    <s v="NULL"/>
    <x v="0"/>
  </r>
  <r>
    <x v="1084"/>
    <x v="14"/>
    <s v="Estonia"/>
    <x v="8"/>
    <n v="24"/>
    <s v="NULL"/>
    <n v="11"/>
    <x v="628"/>
    <x v="3"/>
    <x v="10"/>
    <x v="3"/>
    <s v="NULL"/>
    <x v="0"/>
  </r>
  <r>
    <x v="1085"/>
    <x v="11"/>
    <s v="United States"/>
    <x v="7"/>
    <n v="17"/>
    <n v="0.14000000000000001"/>
    <n v="149"/>
    <x v="628"/>
    <x v="3"/>
    <x v="10"/>
    <x v="4"/>
    <n v="0"/>
    <x v="0"/>
  </r>
  <r>
    <x v="1086"/>
    <x v="14"/>
    <s v="India"/>
    <x v="5"/>
    <n v="42"/>
    <s v="NULL"/>
    <n v="187"/>
    <x v="629"/>
    <x v="3"/>
    <x v="10"/>
    <x v="4"/>
    <s v="NULL"/>
    <x v="0"/>
  </r>
  <r>
    <x v="1087"/>
    <x v="14"/>
    <s v="United States"/>
    <x v="7"/>
    <s v="NULL"/>
    <n v="0.28000000000000003"/>
    <n v="304"/>
    <x v="629"/>
    <x v="3"/>
    <x v="10"/>
    <x v="4"/>
    <n v="0"/>
    <x v="0"/>
  </r>
  <r>
    <x v="1088"/>
    <x v="0"/>
    <s v="United States"/>
    <x v="6"/>
    <s v="NULL"/>
    <n v="1"/>
    <n v="3"/>
    <x v="629"/>
    <x v="3"/>
    <x v="10"/>
    <x v="0"/>
    <n v="1"/>
    <x v="0"/>
  </r>
  <r>
    <x v="1089"/>
    <x v="18"/>
    <s v="Czech Republic"/>
    <x v="1"/>
    <s v="NULL"/>
    <n v="1"/>
    <s v="NULL"/>
    <x v="629"/>
    <x v="3"/>
    <x v="10"/>
    <x v="1"/>
    <n v="1"/>
    <x v="0"/>
  </r>
  <r>
    <x v="1090"/>
    <x v="7"/>
    <s v="United States"/>
    <x v="0"/>
    <n v="240"/>
    <n v="0.04"/>
    <s v="NULL"/>
    <x v="630"/>
    <x v="3"/>
    <x v="11"/>
    <x v="1"/>
    <n v="0"/>
    <x v="0"/>
  </r>
  <r>
    <x v="1091"/>
    <x v="5"/>
    <s v="United States"/>
    <x v="7"/>
    <n v="120"/>
    <s v="NULL"/>
    <n v="464"/>
    <x v="630"/>
    <x v="3"/>
    <x v="11"/>
    <x v="4"/>
    <s v="NULL"/>
    <x v="0"/>
  </r>
  <r>
    <x v="1092"/>
    <x v="3"/>
    <s v="United States"/>
    <x v="2"/>
    <n v="100"/>
    <s v="NULL"/>
    <n v="80"/>
    <x v="630"/>
    <x v="3"/>
    <x v="11"/>
    <x v="3"/>
    <s v="NULL"/>
    <x v="0"/>
  </r>
  <r>
    <x v="190"/>
    <x v="13"/>
    <s v="United States"/>
    <x v="0"/>
    <s v="NULL"/>
    <s v="NULL"/>
    <n v="3300"/>
    <x v="630"/>
    <x v="3"/>
    <x v="11"/>
    <x v="2"/>
    <s v="NULL"/>
    <x v="1"/>
  </r>
  <r>
    <x v="118"/>
    <x v="22"/>
    <s v="United States"/>
    <x v="7"/>
    <s v="NULL"/>
    <n v="0.1"/>
    <s v="NULL"/>
    <x v="630"/>
    <x v="3"/>
    <x v="11"/>
    <x v="1"/>
    <n v="0"/>
    <x v="0"/>
  </r>
  <r>
    <x v="1093"/>
    <x v="0"/>
    <s v="United States"/>
    <x v="3"/>
    <n v="140"/>
    <s v="NULL"/>
    <n v="198"/>
    <x v="631"/>
    <x v="3"/>
    <x v="11"/>
    <x v="4"/>
    <s v="NULL"/>
    <x v="0"/>
  </r>
  <r>
    <x v="1094"/>
    <x v="2"/>
    <s v="India"/>
    <x v="1"/>
    <n v="60"/>
    <n v="0.35"/>
    <n v="10"/>
    <x v="631"/>
    <x v="3"/>
    <x v="11"/>
    <x v="3"/>
    <n v="0"/>
    <x v="0"/>
  </r>
  <r>
    <x v="563"/>
    <x v="5"/>
    <s v="India"/>
    <x v="8"/>
    <n v="50"/>
    <n v="0.2"/>
    <n v="14"/>
    <x v="631"/>
    <x v="3"/>
    <x v="11"/>
    <x v="3"/>
    <n v="0"/>
    <x v="0"/>
  </r>
  <r>
    <x v="1095"/>
    <x v="5"/>
    <s v="United Kingdom"/>
    <x v="3"/>
    <n v="45"/>
    <n v="0.1"/>
    <n v="217"/>
    <x v="631"/>
    <x v="3"/>
    <x v="11"/>
    <x v="4"/>
    <n v="0"/>
    <x v="0"/>
  </r>
  <r>
    <x v="1096"/>
    <x v="22"/>
    <s v="United States"/>
    <x v="6"/>
    <n v="37"/>
    <n v="0.35"/>
    <n v="1"/>
    <x v="631"/>
    <x v="3"/>
    <x v="11"/>
    <x v="0"/>
    <n v="0"/>
    <x v="0"/>
  </r>
  <r>
    <x v="563"/>
    <x v="5"/>
    <s v="India"/>
    <x v="3"/>
    <n v="50"/>
    <n v="0.2"/>
    <n v="14"/>
    <x v="632"/>
    <x v="3"/>
    <x v="11"/>
    <x v="3"/>
    <n v="0"/>
    <x v="0"/>
  </r>
  <r>
    <x v="1097"/>
    <x v="13"/>
    <s v="Brazil"/>
    <x v="3"/>
    <s v="NULL"/>
    <s v="NULL"/>
    <s v="NULL"/>
    <x v="632"/>
    <x v="3"/>
    <x v="11"/>
    <x v="1"/>
    <s v="NULL"/>
    <x v="1"/>
  </r>
  <r>
    <x v="221"/>
    <x v="20"/>
    <s v="United States"/>
    <x v="0"/>
    <n v="700"/>
    <n v="7.0000000000000007E-2"/>
    <n v="2000"/>
    <x v="633"/>
    <x v="3"/>
    <x v="11"/>
    <x v="2"/>
    <n v="0"/>
    <x v="0"/>
  </r>
  <r>
    <x v="1098"/>
    <x v="9"/>
    <s v="India"/>
    <x v="5"/>
    <n v="44"/>
    <s v="NULL"/>
    <n v="301"/>
    <x v="633"/>
    <x v="3"/>
    <x v="11"/>
    <x v="4"/>
    <s v="NULL"/>
    <x v="0"/>
  </r>
  <r>
    <x v="1099"/>
    <x v="9"/>
    <s v="United States"/>
    <x v="6"/>
    <s v="NULL"/>
    <n v="1"/>
    <n v="4"/>
    <x v="633"/>
    <x v="3"/>
    <x v="11"/>
    <x v="0"/>
    <n v="1"/>
    <x v="0"/>
  </r>
  <r>
    <x v="1100"/>
    <x v="17"/>
    <s v="Hong Kong"/>
    <x v="0"/>
    <s v="NULL"/>
    <s v="NULL"/>
    <n v="2600"/>
    <x v="633"/>
    <x v="3"/>
    <x v="11"/>
    <x v="2"/>
    <s v="NULL"/>
    <x v="1"/>
  </r>
  <r>
    <x v="1101"/>
    <x v="8"/>
    <s v="United States"/>
    <x v="7"/>
    <n v="53"/>
    <s v="NULL"/>
    <n v="103"/>
    <x v="634"/>
    <x v="3"/>
    <x v="11"/>
    <x v="4"/>
    <s v="NULL"/>
    <x v="0"/>
  </r>
  <r>
    <x v="1102"/>
    <x v="21"/>
    <s v="India"/>
    <x v="3"/>
    <n v="100"/>
    <s v="NULL"/>
    <n v="121"/>
    <x v="635"/>
    <x v="3"/>
    <x v="11"/>
    <x v="4"/>
    <s v="NULL"/>
    <x v="0"/>
  </r>
  <r>
    <x v="1103"/>
    <x v="3"/>
    <s v="United States"/>
    <x v="0"/>
    <s v="NULL"/>
    <s v="NULL"/>
    <n v="89"/>
    <x v="636"/>
    <x v="3"/>
    <x v="11"/>
    <x v="3"/>
    <s v="NULL"/>
    <x v="1"/>
  </r>
  <r>
    <x v="1104"/>
    <x v="10"/>
    <s v="United States"/>
    <x v="3"/>
    <n v="8"/>
    <n v="0.03"/>
    <n v="4"/>
    <x v="637"/>
    <x v="3"/>
    <x v="11"/>
    <x v="0"/>
    <n v="0"/>
    <x v="0"/>
  </r>
  <r>
    <x v="1105"/>
    <x v="4"/>
    <s v="India"/>
    <x v="3"/>
    <s v="NULL"/>
    <n v="0.5"/>
    <n v="88"/>
    <x v="637"/>
    <x v="3"/>
    <x v="11"/>
    <x v="3"/>
    <n v="0"/>
    <x v="0"/>
  </r>
  <r>
    <x v="1106"/>
    <x v="7"/>
    <s v="United States"/>
    <x v="2"/>
    <n v="150"/>
    <n v="0.3"/>
    <n v="220"/>
    <x v="638"/>
    <x v="3"/>
    <x v="11"/>
    <x v="4"/>
    <n v="0"/>
    <x v="0"/>
  </r>
  <r>
    <x v="1107"/>
    <x v="3"/>
    <s v="Estonia"/>
    <x v="5"/>
    <n v="101"/>
    <n v="0.21"/>
    <n v="192"/>
    <x v="638"/>
    <x v="3"/>
    <x v="11"/>
    <x v="4"/>
    <n v="0"/>
    <x v="0"/>
  </r>
  <r>
    <x v="1108"/>
    <x v="14"/>
    <s v="United States"/>
    <x v="0"/>
    <n v="95"/>
    <n v="0.05"/>
    <n v="220"/>
    <x v="638"/>
    <x v="3"/>
    <x v="11"/>
    <x v="4"/>
    <n v="0"/>
    <x v="0"/>
  </r>
  <r>
    <x v="1109"/>
    <x v="12"/>
    <s v="United States"/>
    <x v="3"/>
    <n v="24"/>
    <n v="0.06"/>
    <s v="NULL"/>
    <x v="638"/>
    <x v="3"/>
    <x v="11"/>
    <x v="1"/>
    <n v="0"/>
    <x v="0"/>
  </r>
  <r>
    <x v="1110"/>
    <x v="14"/>
    <s v="Kenya"/>
    <x v="5"/>
    <s v="NULL"/>
    <n v="0.2"/>
    <n v="54"/>
    <x v="638"/>
    <x v="3"/>
    <x v="11"/>
    <x v="3"/>
    <n v="0"/>
    <x v="0"/>
  </r>
  <r>
    <x v="1111"/>
    <x v="8"/>
    <s v="Germany"/>
    <x v="3"/>
    <s v="NULL"/>
    <s v="NULL"/>
    <s v="NULL"/>
    <x v="638"/>
    <x v="3"/>
    <x v="11"/>
    <x v="1"/>
    <s v="NULL"/>
    <x v="1"/>
  </r>
  <r>
    <x v="689"/>
    <x v="18"/>
    <s v="United Kingdom"/>
    <x v="11"/>
    <n v="2500"/>
    <n v="0.11"/>
    <n v="1800"/>
    <x v="639"/>
    <x v="3"/>
    <x v="11"/>
    <x v="2"/>
    <n v="0"/>
    <x v="0"/>
  </r>
  <r>
    <x v="1112"/>
    <x v="9"/>
    <s v="India"/>
    <x v="7"/>
    <s v="NULL"/>
    <n v="0.12"/>
    <n v="247"/>
    <x v="639"/>
    <x v="3"/>
    <x v="11"/>
    <x v="4"/>
    <n v="0"/>
    <x v="0"/>
  </r>
  <r>
    <x v="1113"/>
    <x v="17"/>
    <s v="Israel"/>
    <x v="2"/>
    <s v="NULL"/>
    <s v="NULL"/>
    <n v="72"/>
    <x v="639"/>
    <x v="3"/>
    <x v="11"/>
    <x v="3"/>
    <s v="NULL"/>
    <x v="1"/>
  </r>
  <r>
    <x v="1114"/>
    <x v="2"/>
    <s v="Indonesia"/>
    <x v="8"/>
    <s v="NULL"/>
    <n v="0.3"/>
    <n v="33"/>
    <x v="639"/>
    <x v="3"/>
    <x v="11"/>
    <x v="3"/>
    <n v="0"/>
    <x v="0"/>
  </r>
  <r>
    <x v="1115"/>
    <x v="0"/>
    <s v="United States"/>
    <x v="0"/>
    <s v="NULL"/>
    <s v="NULL"/>
    <n v="154"/>
    <x v="639"/>
    <x v="3"/>
    <x v="11"/>
    <x v="4"/>
    <s v="NULL"/>
    <x v="1"/>
  </r>
  <r>
    <x v="1116"/>
    <x v="9"/>
    <s v="United States"/>
    <x v="8"/>
    <s v="NULL"/>
    <s v="NULL"/>
    <n v="55"/>
    <x v="640"/>
    <x v="3"/>
    <x v="11"/>
    <x v="3"/>
    <s v="NULL"/>
    <x v="1"/>
  </r>
  <r>
    <x v="1117"/>
    <x v="5"/>
    <s v="United States"/>
    <x v="5"/>
    <s v="NULL"/>
    <s v="NULL"/>
    <n v="196"/>
    <x v="640"/>
    <x v="3"/>
    <x v="11"/>
    <x v="4"/>
    <s v="NULL"/>
    <x v="1"/>
  </r>
  <r>
    <x v="1118"/>
    <x v="18"/>
    <s v="Kenya"/>
    <x v="5"/>
    <n v="283"/>
    <n v="0.33"/>
    <n v="157"/>
    <x v="641"/>
    <x v="3"/>
    <x v="11"/>
    <x v="4"/>
    <n v="0"/>
    <x v="0"/>
  </r>
  <r>
    <x v="1119"/>
    <x v="1"/>
    <s v="India"/>
    <x v="3"/>
    <n v="125"/>
    <n v="0.4"/>
    <s v="NULL"/>
    <x v="642"/>
    <x v="3"/>
    <x v="11"/>
    <x v="1"/>
    <n v="0"/>
    <x v="0"/>
  </r>
  <r>
    <x v="1120"/>
    <x v="4"/>
    <s v="India"/>
    <x v="10"/>
    <n v="100"/>
    <n v="0.05"/>
    <s v="NULL"/>
    <x v="643"/>
    <x v="3"/>
    <x v="11"/>
    <x v="1"/>
    <n v="0"/>
    <x v="0"/>
  </r>
  <r>
    <x v="1121"/>
    <x v="3"/>
    <s v="Sweden"/>
    <x v="3"/>
    <n v="30"/>
    <s v="NULL"/>
    <n v="42"/>
    <x v="643"/>
    <x v="3"/>
    <x v="11"/>
    <x v="3"/>
    <s v="NULL"/>
    <x v="0"/>
  </r>
  <r>
    <x v="1122"/>
    <x v="22"/>
    <s v="United States"/>
    <x v="3"/>
    <s v="NULL"/>
    <s v="NULL"/>
    <n v="77"/>
    <x v="643"/>
    <x v="3"/>
    <x v="11"/>
    <x v="3"/>
    <s v="NULL"/>
    <x v="1"/>
  </r>
  <r>
    <x v="1123"/>
    <x v="0"/>
    <s v="United States"/>
    <x v="5"/>
    <s v="NULL"/>
    <n v="0.1"/>
    <n v="72"/>
    <x v="643"/>
    <x v="3"/>
    <x v="11"/>
    <x v="3"/>
    <n v="0"/>
    <x v="0"/>
  </r>
  <r>
    <x v="812"/>
    <x v="5"/>
    <s v="United States"/>
    <x v="0"/>
    <n v="151"/>
    <s v="NULL"/>
    <n v="28"/>
    <x v="644"/>
    <x v="3"/>
    <x v="11"/>
    <x v="3"/>
    <s v="NULL"/>
    <x v="0"/>
  </r>
  <r>
    <x v="1124"/>
    <x v="16"/>
    <s v="United States"/>
    <x v="0"/>
    <n v="149"/>
    <n v="0.09"/>
    <n v="30"/>
    <x v="644"/>
    <x v="3"/>
    <x v="11"/>
    <x v="3"/>
    <n v="0"/>
    <x v="0"/>
  </r>
  <r>
    <x v="314"/>
    <x v="12"/>
    <s v="United States"/>
    <x v="0"/>
    <n v="140"/>
    <s v="NULL"/>
    <n v="12"/>
    <x v="644"/>
    <x v="3"/>
    <x v="11"/>
    <x v="3"/>
    <s v="NULL"/>
    <x v="0"/>
  </r>
  <r>
    <x v="1125"/>
    <x v="4"/>
    <s v="Israel"/>
    <x v="2"/>
    <n v="60"/>
    <n v="0.35"/>
    <n v="111"/>
    <x v="644"/>
    <x v="3"/>
    <x v="11"/>
    <x v="4"/>
    <n v="0"/>
    <x v="0"/>
  </r>
  <r>
    <x v="816"/>
    <x v="22"/>
    <s v="United States"/>
    <x v="4"/>
    <s v="NULL"/>
    <s v="NULL"/>
    <n v="315"/>
    <x v="644"/>
    <x v="3"/>
    <x v="11"/>
    <x v="4"/>
    <s v="NULL"/>
    <x v="1"/>
  </r>
  <r>
    <x v="1126"/>
    <x v="11"/>
    <s v="United States"/>
    <x v="3"/>
    <n v="20"/>
    <s v="NULL"/>
    <n v="297"/>
    <x v="645"/>
    <x v="3"/>
    <x v="11"/>
    <x v="4"/>
    <s v="NULL"/>
    <x v="0"/>
  </r>
  <r>
    <x v="841"/>
    <x v="14"/>
    <s v="Indonesia"/>
    <x v="7"/>
    <s v="NULL"/>
    <s v="NULL"/>
    <n v="534"/>
    <x v="645"/>
    <x v="3"/>
    <x v="11"/>
    <x v="4"/>
    <s v="NULL"/>
    <x v="1"/>
  </r>
  <r>
    <x v="1127"/>
    <x v="1"/>
    <s v="Finland"/>
    <x v="6"/>
    <s v="NULL"/>
    <s v="NULL"/>
    <n v="5"/>
    <x v="646"/>
    <x v="3"/>
    <x v="11"/>
    <x v="0"/>
    <s v="NULL"/>
    <x v="1"/>
  </r>
  <r>
    <x v="1128"/>
    <x v="3"/>
    <s v="United States"/>
    <x v="0"/>
    <n v="300"/>
    <n v="0.15"/>
    <n v="83"/>
    <x v="647"/>
    <x v="3"/>
    <x v="11"/>
    <x v="3"/>
    <n v="0"/>
    <x v="0"/>
  </r>
  <r>
    <x v="1129"/>
    <x v="26"/>
    <s v="Norway"/>
    <x v="3"/>
    <n v="200"/>
    <n v="0.56999999999999995"/>
    <s v="NULL"/>
    <x v="647"/>
    <x v="3"/>
    <x v="11"/>
    <x v="1"/>
    <n v="0"/>
    <x v="0"/>
  </r>
  <r>
    <x v="1130"/>
    <x v="9"/>
    <s v="United States"/>
    <x v="1"/>
    <s v="NULL"/>
    <s v="NULL"/>
    <s v="NULL"/>
    <x v="647"/>
    <x v="3"/>
    <x v="11"/>
    <x v="1"/>
    <s v="NULL"/>
    <x v="1"/>
  </r>
  <r>
    <x v="1131"/>
    <x v="0"/>
    <s v="China"/>
    <x v="5"/>
    <s v="NULL"/>
    <s v="NULL"/>
    <s v="NULL"/>
    <x v="647"/>
    <x v="3"/>
    <x v="11"/>
    <x v="1"/>
    <s v="NULL"/>
    <x v="1"/>
  </r>
  <r>
    <x v="1132"/>
    <x v="21"/>
    <s v="Singapore"/>
    <x v="5"/>
    <s v="NULL"/>
    <s v="NULL"/>
    <n v="180"/>
    <x v="648"/>
    <x v="3"/>
    <x v="11"/>
    <x v="4"/>
    <s v="NULL"/>
    <x v="1"/>
  </r>
  <r>
    <x v="111"/>
    <x v="20"/>
    <s v="United States"/>
    <x v="0"/>
    <n v="246"/>
    <s v="NULL"/>
    <n v="50"/>
    <x v="649"/>
    <x v="3"/>
    <x v="11"/>
    <x v="3"/>
    <s v="NULL"/>
    <x v="0"/>
  </r>
  <r>
    <x v="1133"/>
    <x v="0"/>
    <s v="United States"/>
    <x v="5"/>
    <n v="59"/>
    <s v="NULL"/>
    <n v="672"/>
    <x v="649"/>
    <x v="3"/>
    <x v="11"/>
    <x v="4"/>
    <s v="NULL"/>
    <x v="0"/>
  </r>
  <r>
    <x v="273"/>
    <x v="1"/>
    <s v="India"/>
    <x v="3"/>
    <n v="55"/>
    <s v="NULL"/>
    <n v="261"/>
    <x v="649"/>
    <x v="3"/>
    <x v="11"/>
    <x v="4"/>
    <s v="NULL"/>
    <x v="0"/>
  </r>
  <r>
    <x v="1134"/>
    <x v="3"/>
    <s v="United Kingdom"/>
    <x v="0"/>
    <s v="NULL"/>
    <s v="NULL"/>
    <s v="NULL"/>
    <x v="649"/>
    <x v="3"/>
    <x v="11"/>
    <x v="1"/>
    <s v="NULL"/>
    <x v="1"/>
  </r>
  <r>
    <x v="1135"/>
    <x v="14"/>
    <s v="United States"/>
    <x v="0"/>
    <n v="150"/>
    <n v="0.19"/>
    <n v="665"/>
    <x v="650"/>
    <x v="3"/>
    <x v="11"/>
    <x v="4"/>
    <n v="0"/>
    <x v="0"/>
  </r>
  <r>
    <x v="373"/>
    <x v="0"/>
    <s v="United States"/>
    <x v="7"/>
    <n v="100"/>
    <s v="NULL"/>
    <n v="770"/>
    <x v="650"/>
    <x v="3"/>
    <x v="11"/>
    <x v="4"/>
    <s v="NULL"/>
    <x v="0"/>
  </r>
  <r>
    <x v="1136"/>
    <x v="5"/>
    <s v="United Kingdom"/>
    <x v="0"/>
    <n v="94"/>
    <s v="NULL"/>
    <n v="1200"/>
    <x v="650"/>
    <x v="3"/>
    <x v="11"/>
    <x v="2"/>
    <s v="NULL"/>
    <x v="0"/>
  </r>
  <r>
    <x v="1137"/>
    <x v="19"/>
    <s v="Israel"/>
    <x v="1"/>
    <n v="70"/>
    <n v="1"/>
    <n v="2"/>
    <x v="650"/>
    <x v="3"/>
    <x v="11"/>
    <x v="0"/>
    <n v="1"/>
    <x v="0"/>
  </r>
  <r>
    <x v="1138"/>
    <x v="2"/>
    <s v="Indonesia"/>
    <x v="0"/>
    <s v="NULL"/>
    <s v="NULL"/>
    <n v="925"/>
    <x v="650"/>
    <x v="3"/>
    <x v="11"/>
    <x v="4"/>
    <s v="NULL"/>
    <x v="1"/>
  </r>
  <r>
    <x v="1139"/>
    <x v="15"/>
    <s v="United States"/>
    <x v="7"/>
    <s v="NULL"/>
    <s v="NULL"/>
    <n v="419"/>
    <x v="650"/>
    <x v="3"/>
    <x v="11"/>
    <x v="4"/>
    <s v="NULL"/>
    <x v="1"/>
  </r>
  <r>
    <x v="1140"/>
    <x v="1"/>
    <s v="India"/>
    <x v="6"/>
    <s v="NULL"/>
    <n v="1"/>
    <s v="NULL"/>
    <x v="650"/>
    <x v="3"/>
    <x v="11"/>
    <x v="1"/>
    <n v="1"/>
    <x v="0"/>
  </r>
  <r>
    <x v="1141"/>
    <x v="1"/>
    <s v="United States"/>
    <x v="5"/>
    <s v="NULL"/>
    <n v="0.17"/>
    <n v="40"/>
    <x v="650"/>
    <x v="3"/>
    <x v="11"/>
    <x v="3"/>
    <n v="0"/>
    <x v="0"/>
  </r>
  <r>
    <x v="1142"/>
    <x v="0"/>
    <s v="United States"/>
    <x v="0"/>
    <n v="579"/>
    <n v="0.05"/>
    <n v="748"/>
    <x v="651"/>
    <x v="3"/>
    <x v="11"/>
    <x v="4"/>
    <n v="0"/>
    <x v="0"/>
  </r>
  <r>
    <x v="1143"/>
    <x v="3"/>
    <s v="United States"/>
    <x v="0"/>
    <n v="470"/>
    <n v="0.18"/>
    <n v="89"/>
    <x v="651"/>
    <x v="3"/>
    <x v="11"/>
    <x v="3"/>
    <n v="0"/>
    <x v="0"/>
  </r>
  <r>
    <x v="1144"/>
    <x v="1"/>
    <s v="India"/>
    <x v="3"/>
    <n v="350"/>
    <s v="NULL"/>
    <n v="375"/>
    <x v="651"/>
    <x v="3"/>
    <x v="11"/>
    <x v="4"/>
    <s v="NULL"/>
    <x v="0"/>
  </r>
  <r>
    <x v="1145"/>
    <x v="5"/>
    <s v="United States"/>
    <x v="0"/>
    <n v="100"/>
    <n v="0.1"/>
    <n v="82"/>
    <x v="651"/>
    <x v="3"/>
    <x v="11"/>
    <x v="3"/>
    <n v="0"/>
    <x v="0"/>
  </r>
  <r>
    <x v="484"/>
    <x v="5"/>
    <s v="United States"/>
    <x v="0"/>
    <n v="71"/>
    <n v="0.11"/>
    <n v="1100"/>
    <x v="651"/>
    <x v="3"/>
    <x v="11"/>
    <x v="2"/>
    <n v="0"/>
    <x v="0"/>
  </r>
  <r>
    <x v="1146"/>
    <x v="2"/>
    <s v="United States"/>
    <x v="2"/>
    <n v="54"/>
    <s v="NULL"/>
    <n v="75"/>
    <x v="651"/>
    <x v="3"/>
    <x v="11"/>
    <x v="3"/>
    <s v="NULL"/>
    <x v="0"/>
  </r>
  <r>
    <x v="1147"/>
    <x v="23"/>
    <s v="Kenya"/>
    <x v="2"/>
    <s v="NULL"/>
    <n v="1"/>
    <n v="26"/>
    <x v="651"/>
    <x v="3"/>
    <x v="11"/>
    <x v="3"/>
    <n v="1"/>
    <x v="0"/>
  </r>
  <r>
    <x v="150"/>
    <x v="12"/>
    <s v="United States"/>
    <x v="0"/>
    <s v="NULL"/>
    <s v="NULL"/>
    <s v="NULL"/>
    <x v="652"/>
    <x v="3"/>
    <x v="11"/>
    <x v="1"/>
    <s v="NULL"/>
    <x v="1"/>
  </r>
  <r>
    <x v="1148"/>
    <x v="14"/>
    <s v="Spain"/>
    <x v="1"/>
    <s v="NULL"/>
    <n v="1"/>
    <n v="38"/>
    <x v="652"/>
    <x v="3"/>
    <x v="11"/>
    <x v="3"/>
    <n v="1"/>
    <x v="0"/>
  </r>
  <r>
    <x v="1149"/>
    <x v="17"/>
    <s v="United States"/>
    <x v="8"/>
    <n v="60"/>
    <s v="NULL"/>
    <n v="107"/>
    <x v="653"/>
    <x v="3"/>
    <x v="11"/>
    <x v="4"/>
    <s v="NULL"/>
    <x v="0"/>
  </r>
  <r>
    <x v="1150"/>
    <x v="21"/>
    <s v="United Kingdom"/>
    <x v="6"/>
    <n v="57"/>
    <n v="1"/>
    <s v="NULL"/>
    <x v="653"/>
    <x v="3"/>
    <x v="11"/>
    <x v="1"/>
    <n v="1"/>
    <x v="0"/>
  </r>
  <r>
    <x v="807"/>
    <x v="21"/>
    <s v="Canada"/>
    <x v="11"/>
    <n v="42"/>
    <n v="7.0000000000000007E-2"/>
    <n v="234"/>
    <x v="653"/>
    <x v="3"/>
    <x v="11"/>
    <x v="4"/>
    <n v="0"/>
    <x v="0"/>
  </r>
  <r>
    <x v="300"/>
    <x v="29"/>
    <s v="United States"/>
    <x v="0"/>
    <s v="NULL"/>
    <n v="0.25"/>
    <n v="300"/>
    <x v="653"/>
    <x v="3"/>
    <x v="11"/>
    <x v="4"/>
    <n v="0"/>
    <x v="0"/>
  </r>
  <r>
    <x v="1151"/>
    <x v="4"/>
    <s v="Nigeria"/>
    <x v="6"/>
    <s v="NULL"/>
    <n v="0.19"/>
    <n v="3"/>
    <x v="653"/>
    <x v="3"/>
    <x v="11"/>
    <x v="0"/>
    <n v="0"/>
    <x v="0"/>
  </r>
  <r>
    <x v="857"/>
    <x v="1"/>
    <s v="United States"/>
    <x v="13"/>
    <n v="37"/>
    <n v="0.04"/>
    <n v="995"/>
    <x v="654"/>
    <x v="3"/>
    <x v="11"/>
    <x v="4"/>
    <n v="0"/>
    <x v="0"/>
  </r>
  <r>
    <x v="1152"/>
    <x v="18"/>
    <s v="Australia"/>
    <x v="6"/>
    <n v="30"/>
    <s v="NULL"/>
    <n v="5"/>
    <x v="654"/>
    <x v="3"/>
    <x v="11"/>
    <x v="0"/>
    <s v="NULL"/>
    <x v="0"/>
  </r>
  <r>
    <x v="1153"/>
    <x v="3"/>
    <s v="United States"/>
    <x v="5"/>
    <s v="NULL"/>
    <s v="NULL"/>
    <n v="88"/>
    <x v="654"/>
    <x v="3"/>
    <x v="11"/>
    <x v="3"/>
    <s v="NULL"/>
    <x v="1"/>
  </r>
  <r>
    <x v="1154"/>
    <x v="14"/>
    <s v="Indonesia"/>
    <x v="2"/>
    <s v="NULL"/>
    <n v="0.1"/>
    <n v="43"/>
    <x v="654"/>
    <x v="3"/>
    <x v="11"/>
    <x v="3"/>
    <n v="0"/>
    <x v="0"/>
  </r>
  <r>
    <x v="1155"/>
    <x v="14"/>
    <s v="Israel"/>
    <x v="3"/>
    <s v="NULL"/>
    <s v="NULL"/>
    <s v="NULL"/>
    <x v="654"/>
    <x v="3"/>
    <x v="11"/>
    <x v="1"/>
    <s v="NULL"/>
    <x v="1"/>
  </r>
  <r>
    <x v="1156"/>
    <x v="11"/>
    <s v="India"/>
    <x v="11"/>
    <n v="300"/>
    <n v="0.05"/>
    <n v="513"/>
    <x v="655"/>
    <x v="3"/>
    <x v="11"/>
    <x v="4"/>
    <n v="0"/>
    <x v="0"/>
  </r>
  <r>
    <x v="1157"/>
    <x v="0"/>
    <s v="India"/>
    <x v="7"/>
    <n v="300"/>
    <n v="0.1"/>
    <n v="435"/>
    <x v="655"/>
    <x v="3"/>
    <x v="11"/>
    <x v="4"/>
    <n v="0"/>
    <x v="0"/>
  </r>
  <r>
    <x v="1158"/>
    <x v="7"/>
    <s v="United States"/>
    <x v="11"/>
    <n v="100"/>
    <n v="0.16"/>
    <n v="567"/>
    <x v="655"/>
    <x v="3"/>
    <x v="11"/>
    <x v="4"/>
    <n v="0"/>
    <x v="0"/>
  </r>
  <r>
    <x v="317"/>
    <x v="20"/>
    <s v="United States"/>
    <x v="11"/>
    <n v="70"/>
    <n v="0.18"/>
    <n v="274"/>
    <x v="655"/>
    <x v="3"/>
    <x v="11"/>
    <x v="4"/>
    <n v="0"/>
    <x v="0"/>
  </r>
  <r>
    <x v="1159"/>
    <x v="8"/>
    <s v="United States"/>
    <x v="5"/>
    <n v="70"/>
    <s v="NULL"/>
    <n v="148"/>
    <x v="655"/>
    <x v="3"/>
    <x v="11"/>
    <x v="4"/>
    <s v="NULL"/>
    <x v="0"/>
  </r>
  <r>
    <x v="1160"/>
    <x v="7"/>
    <s v="Brazil"/>
    <x v="2"/>
    <n v="58"/>
    <n v="0.08"/>
    <n v="105"/>
    <x v="655"/>
    <x v="3"/>
    <x v="11"/>
    <x v="4"/>
    <n v="0"/>
    <x v="0"/>
  </r>
  <r>
    <x v="38"/>
    <x v="19"/>
    <s v="Ireland"/>
    <x v="0"/>
    <n v="50"/>
    <s v="NULL"/>
    <n v="65"/>
    <x v="655"/>
    <x v="3"/>
    <x v="11"/>
    <x v="3"/>
    <s v="NULL"/>
    <x v="0"/>
  </r>
  <r>
    <x v="1161"/>
    <x v="14"/>
    <s v="India"/>
    <x v="8"/>
    <n v="18"/>
    <s v="NULL"/>
    <n v="42"/>
    <x v="655"/>
    <x v="3"/>
    <x v="11"/>
    <x v="3"/>
    <s v="NULL"/>
    <x v="0"/>
  </r>
  <r>
    <x v="1162"/>
    <x v="14"/>
    <s v="India"/>
    <x v="6"/>
    <s v="NULL"/>
    <n v="0.6"/>
    <n v="12"/>
    <x v="655"/>
    <x v="3"/>
    <x v="11"/>
    <x v="3"/>
    <n v="0"/>
    <x v="0"/>
  </r>
  <r>
    <x v="1163"/>
    <x v="5"/>
    <s v="India"/>
    <x v="6"/>
    <s v="NULL"/>
    <n v="1"/>
    <n v="2"/>
    <x v="655"/>
    <x v="3"/>
    <x v="11"/>
    <x v="0"/>
    <n v="1"/>
    <x v="0"/>
  </r>
  <r>
    <x v="1164"/>
    <x v="1"/>
    <s v="United Kingdom"/>
    <x v="5"/>
    <s v="NULL"/>
    <s v="NULL"/>
    <n v="135"/>
    <x v="655"/>
    <x v="3"/>
    <x v="11"/>
    <x v="4"/>
    <s v="NULL"/>
    <x v="1"/>
  </r>
  <r>
    <x v="1165"/>
    <x v="3"/>
    <s v="United States"/>
    <x v="11"/>
    <s v="NULL"/>
    <n v="0.12"/>
    <n v="159"/>
    <x v="655"/>
    <x v="3"/>
    <x v="11"/>
    <x v="4"/>
    <n v="0"/>
    <x v="0"/>
  </r>
  <r>
    <x v="1166"/>
    <x v="25"/>
    <s v="Canada"/>
    <x v="8"/>
    <s v="NULL"/>
    <n v="1"/>
    <n v="19"/>
    <x v="655"/>
    <x v="3"/>
    <x v="11"/>
    <x v="3"/>
    <n v="1"/>
    <x v="0"/>
  </r>
  <r>
    <x v="251"/>
    <x v="13"/>
    <s v="United States"/>
    <x v="0"/>
    <s v="NULL"/>
    <s v="NULL"/>
    <n v="3"/>
    <x v="655"/>
    <x v="3"/>
    <x v="11"/>
    <x v="0"/>
    <s v="NULL"/>
    <x v="1"/>
  </r>
  <r>
    <x v="1167"/>
    <x v="14"/>
    <s v="Israel"/>
    <x v="5"/>
    <n v="150"/>
    <n v="0.75"/>
    <n v="110"/>
    <x v="656"/>
    <x v="3"/>
    <x v="11"/>
    <x v="4"/>
    <n v="0"/>
    <x v="0"/>
  </r>
  <r>
    <x v="622"/>
    <x v="29"/>
    <s v="United States"/>
    <x v="0"/>
    <n v="117"/>
    <n v="0.1"/>
    <n v="574"/>
    <x v="656"/>
    <x v="3"/>
    <x v="11"/>
    <x v="4"/>
    <n v="0"/>
    <x v="0"/>
  </r>
  <r>
    <x v="570"/>
    <x v="21"/>
    <s v="Canada"/>
    <x v="7"/>
    <n v="106"/>
    <n v="0.04"/>
    <n v="389"/>
    <x v="656"/>
    <x v="3"/>
    <x v="11"/>
    <x v="4"/>
    <n v="0"/>
    <x v="0"/>
  </r>
  <r>
    <x v="1168"/>
    <x v="16"/>
    <s v="United States"/>
    <x v="2"/>
    <n v="40"/>
    <n v="0.3"/>
    <n v="57"/>
    <x v="656"/>
    <x v="3"/>
    <x v="11"/>
    <x v="3"/>
    <n v="0"/>
    <x v="0"/>
  </r>
  <r>
    <x v="1169"/>
    <x v="2"/>
    <s v="India"/>
    <x v="2"/>
    <s v="NULL"/>
    <n v="0.2"/>
    <n v="17"/>
    <x v="656"/>
    <x v="3"/>
    <x v="11"/>
    <x v="3"/>
    <n v="0"/>
    <x v="0"/>
  </r>
  <r>
    <x v="813"/>
    <x v="0"/>
    <s v="United States"/>
    <x v="4"/>
    <s v="NULL"/>
    <s v="NULL"/>
    <n v="1200"/>
    <x v="656"/>
    <x v="3"/>
    <x v="11"/>
    <x v="2"/>
    <s v="NULL"/>
    <x v="1"/>
  </r>
  <r>
    <x v="1170"/>
    <x v="11"/>
    <s v="United States"/>
    <x v="3"/>
    <s v="NULL"/>
    <n v="0.1"/>
    <n v="387"/>
    <x v="656"/>
    <x v="3"/>
    <x v="11"/>
    <x v="4"/>
    <n v="0"/>
    <x v="0"/>
  </r>
  <r>
    <x v="492"/>
    <x v="19"/>
    <s v="United States"/>
    <x v="12"/>
    <s v="NULL"/>
    <n v="0.05"/>
    <n v="489"/>
    <x v="656"/>
    <x v="3"/>
    <x v="11"/>
    <x v="4"/>
    <n v="0"/>
    <x v="0"/>
  </r>
  <r>
    <x v="1171"/>
    <x v="14"/>
    <s v="Indonesia"/>
    <x v="2"/>
    <n v="80"/>
    <s v="NULL"/>
    <n v="89"/>
    <x v="657"/>
    <x v="3"/>
    <x v="0"/>
    <x v="3"/>
    <s v="NULL"/>
    <x v="0"/>
  </r>
  <r>
    <x v="513"/>
    <x v="0"/>
    <s v="Canada"/>
    <x v="8"/>
    <n v="13"/>
    <n v="0.09"/>
    <n v="12"/>
    <x v="657"/>
    <x v="3"/>
    <x v="0"/>
    <x v="3"/>
    <n v="0"/>
    <x v="0"/>
  </r>
  <r>
    <x v="1085"/>
    <x v="11"/>
    <s v="United States"/>
    <x v="7"/>
    <n v="12"/>
    <s v="NULL"/>
    <n v="149"/>
    <x v="657"/>
    <x v="3"/>
    <x v="0"/>
    <x v="4"/>
    <s v="NULL"/>
    <x v="0"/>
  </r>
  <r>
    <x v="1172"/>
    <x v="12"/>
    <s v="China"/>
    <x v="2"/>
    <s v="NULL"/>
    <s v="NULL"/>
    <n v="200"/>
    <x v="657"/>
    <x v="3"/>
    <x v="0"/>
    <x v="4"/>
    <s v="NULL"/>
    <x v="1"/>
  </r>
  <r>
    <x v="1173"/>
    <x v="3"/>
    <s v="United Kingdom"/>
    <x v="0"/>
    <n v="200"/>
    <n v="0.3"/>
    <n v="188"/>
    <x v="658"/>
    <x v="3"/>
    <x v="0"/>
    <x v="4"/>
    <n v="0"/>
    <x v="0"/>
  </r>
  <r>
    <x v="1174"/>
    <x v="11"/>
    <s v="New Zealand"/>
    <x v="3"/>
    <n v="200"/>
    <n v="0.31"/>
    <n v="46"/>
    <x v="659"/>
    <x v="3"/>
    <x v="0"/>
    <x v="3"/>
    <n v="0"/>
    <x v="0"/>
  </r>
  <r>
    <x v="1175"/>
    <x v="3"/>
    <s v="United Kingdom"/>
    <x v="0"/>
    <n v="180"/>
    <s v="NULL"/>
    <n v="188"/>
    <x v="659"/>
    <x v="3"/>
    <x v="0"/>
    <x v="4"/>
    <s v="NULL"/>
    <x v="0"/>
  </r>
  <r>
    <x v="1176"/>
    <x v="5"/>
    <s v="United States"/>
    <x v="0"/>
    <s v="NULL"/>
    <s v="NULL"/>
    <n v="187"/>
    <x v="659"/>
    <x v="3"/>
    <x v="0"/>
    <x v="4"/>
    <s v="NULL"/>
    <x v="1"/>
  </r>
  <r>
    <x v="1177"/>
    <x v="18"/>
    <s v="India"/>
    <x v="1"/>
    <n v="400"/>
    <n v="0.67"/>
    <n v="39"/>
    <x v="660"/>
    <x v="3"/>
    <x v="0"/>
    <x v="3"/>
    <n v="0"/>
    <x v="0"/>
  </r>
  <r>
    <x v="1178"/>
    <x v="2"/>
    <s v="United States"/>
    <x v="0"/>
    <n v="255"/>
    <n v="0.34"/>
    <n v="1600"/>
    <x v="660"/>
    <x v="3"/>
    <x v="0"/>
    <x v="2"/>
    <n v="0"/>
    <x v="0"/>
  </r>
  <r>
    <x v="1179"/>
    <x v="16"/>
    <s v="United States"/>
    <x v="5"/>
    <n v="61"/>
    <n v="0.28000000000000003"/>
    <n v="149"/>
    <x v="660"/>
    <x v="3"/>
    <x v="0"/>
    <x v="4"/>
    <n v="0"/>
    <x v="0"/>
  </r>
  <r>
    <x v="1180"/>
    <x v="14"/>
    <s v="Indonesia"/>
    <x v="8"/>
    <n v="60"/>
    <s v="NULL"/>
    <n v="9"/>
    <x v="660"/>
    <x v="3"/>
    <x v="0"/>
    <x v="0"/>
    <s v="NULL"/>
    <x v="0"/>
  </r>
  <r>
    <x v="275"/>
    <x v="6"/>
    <s v="United States"/>
    <x v="11"/>
    <n v="60"/>
    <n v="0.06"/>
    <n v="569"/>
    <x v="660"/>
    <x v="3"/>
    <x v="0"/>
    <x v="4"/>
    <n v="0"/>
    <x v="0"/>
  </r>
  <r>
    <x v="1181"/>
    <x v="0"/>
    <s v="United States"/>
    <x v="6"/>
    <s v="NULL"/>
    <n v="1"/>
    <n v="11"/>
    <x v="660"/>
    <x v="3"/>
    <x v="0"/>
    <x v="3"/>
    <n v="1"/>
    <x v="0"/>
  </r>
  <r>
    <x v="1182"/>
    <x v="21"/>
    <s v="United States"/>
    <x v="3"/>
    <s v="NULL"/>
    <s v="NULL"/>
    <n v="463"/>
    <x v="660"/>
    <x v="3"/>
    <x v="0"/>
    <x v="4"/>
    <s v="NULL"/>
    <x v="1"/>
  </r>
  <r>
    <x v="644"/>
    <x v="2"/>
    <s v="Kenya"/>
    <x v="5"/>
    <n v="350"/>
    <n v="0.25"/>
    <n v="103"/>
    <x v="661"/>
    <x v="3"/>
    <x v="0"/>
    <x v="4"/>
    <n v="0"/>
    <x v="0"/>
  </r>
  <r>
    <x v="1183"/>
    <x v="9"/>
    <s v="United States"/>
    <x v="3"/>
    <n v="90"/>
    <n v="0.2"/>
    <n v="1500"/>
    <x v="661"/>
    <x v="3"/>
    <x v="0"/>
    <x v="2"/>
    <n v="0"/>
    <x v="0"/>
  </r>
  <r>
    <x v="454"/>
    <x v="0"/>
    <s v="United States"/>
    <x v="2"/>
    <n v="60"/>
    <n v="0.1"/>
    <n v="351"/>
    <x v="661"/>
    <x v="3"/>
    <x v="0"/>
    <x v="4"/>
    <n v="0"/>
    <x v="0"/>
  </r>
  <r>
    <x v="1184"/>
    <x v="2"/>
    <s v="India"/>
    <x v="1"/>
    <n v="50"/>
    <s v="NULL"/>
    <n v="516"/>
    <x v="661"/>
    <x v="3"/>
    <x v="0"/>
    <x v="4"/>
    <s v="NULL"/>
    <x v="0"/>
  </r>
  <r>
    <x v="1185"/>
    <x v="29"/>
    <s v="Luxembourg"/>
    <x v="0"/>
    <s v="NULL"/>
    <n v="1"/>
    <n v="17"/>
    <x v="661"/>
    <x v="3"/>
    <x v="0"/>
    <x v="3"/>
    <n v="1"/>
    <x v="0"/>
  </r>
  <r>
    <x v="1186"/>
    <x v="10"/>
    <s v="United States"/>
    <x v="3"/>
    <s v="NULL"/>
    <s v="NULL"/>
    <n v="9"/>
    <x v="661"/>
    <x v="3"/>
    <x v="0"/>
    <x v="0"/>
    <s v="NULL"/>
    <x v="1"/>
  </r>
  <r>
    <x v="1187"/>
    <x v="3"/>
    <s v="United States"/>
    <x v="3"/>
    <n v="46"/>
    <n v="0.15"/>
    <n v="322"/>
    <x v="662"/>
    <x v="3"/>
    <x v="0"/>
    <x v="4"/>
    <n v="0"/>
    <x v="0"/>
  </r>
  <r>
    <x v="325"/>
    <x v="21"/>
    <s v="United States"/>
    <x v="1"/>
    <s v="NULL"/>
    <s v="NULL"/>
    <n v="192"/>
    <x v="662"/>
    <x v="3"/>
    <x v="0"/>
    <x v="4"/>
    <s v="NULL"/>
    <x v="1"/>
  </r>
  <r>
    <x v="1188"/>
    <x v="18"/>
    <s v="United States"/>
    <x v="0"/>
    <s v="NULL"/>
    <n v="1"/>
    <n v="692"/>
    <x v="663"/>
    <x v="3"/>
    <x v="0"/>
    <x v="4"/>
    <n v="1"/>
    <x v="0"/>
  </r>
  <r>
    <x v="1189"/>
    <x v="2"/>
    <s v="Germany"/>
    <x v="3"/>
    <s v="NULL"/>
    <s v="NULL"/>
    <n v="37"/>
    <x v="663"/>
    <x v="3"/>
    <x v="0"/>
    <x v="3"/>
    <s v="NULL"/>
    <x v="1"/>
  </r>
  <r>
    <x v="1190"/>
    <x v="14"/>
    <s v="United Kingdom"/>
    <x v="7"/>
    <s v="NULL"/>
    <s v="NULL"/>
    <n v="182"/>
    <x v="663"/>
    <x v="3"/>
    <x v="0"/>
    <x v="4"/>
    <s v="NULL"/>
    <x v="1"/>
  </r>
  <r>
    <x v="1191"/>
    <x v="5"/>
    <s v="United States"/>
    <x v="5"/>
    <n v="87"/>
    <s v="NULL"/>
    <n v="255"/>
    <x v="664"/>
    <x v="3"/>
    <x v="0"/>
    <x v="4"/>
    <s v="NULL"/>
    <x v="0"/>
  </r>
  <r>
    <x v="1192"/>
    <x v="9"/>
    <s v="Nigeria"/>
    <x v="6"/>
    <s v="NULL"/>
    <n v="1"/>
    <n v="1"/>
    <x v="664"/>
    <x v="3"/>
    <x v="0"/>
    <x v="0"/>
    <n v="1"/>
    <x v="0"/>
  </r>
  <r>
    <x v="1193"/>
    <x v="4"/>
    <s v="Sweden"/>
    <x v="3"/>
    <n v="450"/>
    <n v="0.25"/>
    <s v="NULL"/>
    <x v="665"/>
    <x v="3"/>
    <x v="0"/>
    <x v="1"/>
    <n v="0"/>
    <x v="0"/>
  </r>
  <r>
    <x v="482"/>
    <x v="16"/>
    <s v="United States"/>
    <x v="3"/>
    <n v="80"/>
    <n v="0.8"/>
    <s v="NULL"/>
    <x v="665"/>
    <x v="3"/>
    <x v="0"/>
    <x v="1"/>
    <n v="0"/>
    <x v="0"/>
  </r>
  <r>
    <x v="558"/>
    <x v="18"/>
    <s v="India"/>
    <x v="3"/>
    <s v="NULL"/>
    <s v="NULL"/>
    <n v="382"/>
    <x v="665"/>
    <x v="3"/>
    <x v="0"/>
    <x v="4"/>
    <s v="NULL"/>
    <x v="1"/>
  </r>
  <r>
    <x v="1194"/>
    <x v="10"/>
    <s v="United Kingdom"/>
    <x v="9"/>
    <s v="NULL"/>
    <s v="NULL"/>
    <s v="NULL"/>
    <x v="665"/>
    <x v="3"/>
    <x v="0"/>
    <x v="1"/>
    <s v="NULL"/>
    <x v="1"/>
  </r>
  <r>
    <x v="1195"/>
    <x v="0"/>
    <s v="United States"/>
    <x v="0"/>
    <s v="NULL"/>
    <s v="NULL"/>
    <n v="87"/>
    <x v="665"/>
    <x v="3"/>
    <x v="0"/>
    <x v="3"/>
    <s v="NULL"/>
    <x v="1"/>
  </r>
  <r>
    <x v="1196"/>
    <x v="15"/>
    <s v="India"/>
    <x v="3"/>
    <s v="NULL"/>
    <s v="NULL"/>
    <s v="NULL"/>
    <x v="665"/>
    <x v="3"/>
    <x v="0"/>
    <x v="1"/>
    <s v="NULL"/>
    <x v="1"/>
  </r>
  <r>
    <x v="1197"/>
    <x v="14"/>
    <s v="United States"/>
    <x v="2"/>
    <n v="67"/>
    <n v="0.24"/>
    <n v="111"/>
    <x v="666"/>
    <x v="3"/>
    <x v="0"/>
    <x v="4"/>
    <n v="0"/>
    <x v="0"/>
  </r>
  <r>
    <x v="1198"/>
    <x v="13"/>
    <s v="United States"/>
    <x v="0"/>
    <n v="50"/>
    <n v="0.06"/>
    <n v="179"/>
    <x v="666"/>
    <x v="3"/>
    <x v="0"/>
    <x v="4"/>
    <n v="0"/>
    <x v="0"/>
  </r>
  <r>
    <x v="1199"/>
    <x v="14"/>
    <s v="United States"/>
    <x v="3"/>
    <n v="28"/>
    <n v="0.32"/>
    <n v="32"/>
    <x v="666"/>
    <x v="3"/>
    <x v="0"/>
    <x v="3"/>
    <n v="0"/>
    <x v="0"/>
  </r>
  <r>
    <x v="1200"/>
    <x v="18"/>
    <s v="United States"/>
    <x v="0"/>
    <s v="NULL"/>
    <n v="0.2"/>
    <n v="422"/>
    <x v="666"/>
    <x v="3"/>
    <x v="0"/>
    <x v="4"/>
    <n v="0"/>
    <x v="0"/>
  </r>
  <r>
    <x v="0"/>
    <x v="0"/>
    <s v="United States"/>
    <x v="0"/>
    <n v="1000"/>
    <s v="NULL"/>
    <n v="1"/>
    <x v="667"/>
    <x v="3"/>
    <x v="0"/>
    <x v="0"/>
    <s v="NULL"/>
    <x v="0"/>
  </r>
  <r>
    <x v="1201"/>
    <x v="1"/>
    <s v="United States"/>
    <x v="3"/>
    <n v="80"/>
    <s v="NULL"/>
    <n v="165"/>
    <x v="667"/>
    <x v="3"/>
    <x v="0"/>
    <x v="4"/>
    <s v="NULL"/>
    <x v="0"/>
  </r>
  <r>
    <x v="1202"/>
    <x v="18"/>
    <s v="United States"/>
    <x v="3"/>
    <s v="NULL"/>
    <s v="NULL"/>
    <n v="91"/>
    <x v="667"/>
    <x v="3"/>
    <x v="0"/>
    <x v="3"/>
    <s v="NULL"/>
    <x v="1"/>
  </r>
  <r>
    <x v="959"/>
    <x v="29"/>
    <s v="United States"/>
    <x v="0"/>
    <n v="75"/>
    <n v="0.25"/>
    <n v="316"/>
    <x v="668"/>
    <x v="3"/>
    <x v="0"/>
    <x v="4"/>
    <n v="0"/>
    <x v="0"/>
  </r>
  <r>
    <x v="1203"/>
    <x v="3"/>
    <s v="United States"/>
    <x v="3"/>
    <s v="NULL"/>
    <s v="NULL"/>
    <n v="137"/>
    <x v="668"/>
    <x v="3"/>
    <x v="0"/>
    <x v="4"/>
    <s v="NULL"/>
    <x v="1"/>
  </r>
  <r>
    <x v="1204"/>
    <x v="24"/>
    <s v="United States"/>
    <x v="8"/>
    <s v="NULL"/>
    <n v="0.28000000000000003"/>
    <n v="39"/>
    <x v="668"/>
    <x v="3"/>
    <x v="0"/>
    <x v="3"/>
    <n v="0"/>
    <x v="0"/>
  </r>
  <r>
    <x v="544"/>
    <x v="12"/>
    <s v="Israel"/>
    <x v="0"/>
    <s v="NULL"/>
    <s v="NULL"/>
    <s v="NULL"/>
    <x v="668"/>
    <x v="3"/>
    <x v="0"/>
    <x v="1"/>
    <s v="NULL"/>
    <x v="1"/>
  </r>
  <r>
    <x v="1205"/>
    <x v="16"/>
    <s v="Indonesia"/>
    <x v="1"/>
    <s v="NULL"/>
    <s v="NULL"/>
    <n v="56"/>
    <x v="668"/>
    <x v="3"/>
    <x v="0"/>
    <x v="3"/>
    <s v="NULL"/>
    <x v="1"/>
  </r>
  <r>
    <x v="1206"/>
    <x v="9"/>
    <s v="Cayman Islands"/>
    <x v="3"/>
    <n v="1000"/>
    <s v="NULL"/>
    <s v="NULL"/>
    <x v="669"/>
    <x v="3"/>
    <x v="0"/>
    <x v="1"/>
    <s v="NULL"/>
    <x v="0"/>
  </r>
  <r>
    <x v="1207"/>
    <x v="7"/>
    <s v="United States"/>
    <x v="1"/>
    <n v="14"/>
    <n v="0.02"/>
    <n v="33"/>
    <x v="669"/>
    <x v="3"/>
    <x v="0"/>
    <x v="3"/>
    <n v="0"/>
    <x v="0"/>
  </r>
  <r>
    <x v="1208"/>
    <x v="14"/>
    <s v="India"/>
    <x v="3"/>
    <n v="200"/>
    <s v="NULL"/>
    <n v="659"/>
    <x v="670"/>
    <x v="3"/>
    <x v="0"/>
    <x v="4"/>
    <s v="NULL"/>
    <x v="0"/>
  </r>
  <r>
    <x v="1209"/>
    <x v="21"/>
    <s v="India"/>
    <x v="8"/>
    <n v="200"/>
    <s v="NULL"/>
    <n v="17"/>
    <x v="670"/>
    <x v="3"/>
    <x v="0"/>
    <x v="3"/>
    <s v="NULL"/>
    <x v="0"/>
  </r>
  <r>
    <x v="161"/>
    <x v="2"/>
    <s v="United States"/>
    <x v="0"/>
    <n v="80"/>
    <s v="NULL"/>
    <n v="108"/>
    <x v="670"/>
    <x v="3"/>
    <x v="0"/>
    <x v="4"/>
    <s v="NULL"/>
    <x v="0"/>
  </r>
  <r>
    <x v="1210"/>
    <x v="0"/>
    <s v="Israel"/>
    <x v="0"/>
    <n v="80"/>
    <n v="0.06"/>
    <n v="91"/>
    <x v="670"/>
    <x v="3"/>
    <x v="0"/>
    <x v="3"/>
    <n v="0"/>
    <x v="0"/>
  </r>
  <r>
    <x v="1115"/>
    <x v="0"/>
    <s v="United States"/>
    <x v="0"/>
    <n v="62"/>
    <s v="NULL"/>
    <n v="154"/>
    <x v="670"/>
    <x v="3"/>
    <x v="0"/>
    <x v="4"/>
    <s v="NULL"/>
    <x v="0"/>
  </r>
  <r>
    <x v="874"/>
    <x v="23"/>
    <s v="United States"/>
    <x v="10"/>
    <n v="40"/>
    <s v="NULL"/>
    <n v="2700"/>
    <x v="670"/>
    <x v="3"/>
    <x v="0"/>
    <x v="2"/>
    <s v="NULL"/>
    <x v="0"/>
  </r>
  <r>
    <x v="245"/>
    <x v="3"/>
    <s v="United States"/>
    <x v="5"/>
    <n v="30"/>
    <n v="7.0000000000000007E-2"/>
    <n v="256"/>
    <x v="670"/>
    <x v="3"/>
    <x v="0"/>
    <x v="4"/>
    <n v="0"/>
    <x v="0"/>
  </r>
  <r>
    <x v="1211"/>
    <x v="25"/>
    <s v="Australia"/>
    <x v="3"/>
    <n v="22"/>
    <s v="NULL"/>
    <s v="NULL"/>
    <x v="670"/>
    <x v="3"/>
    <x v="0"/>
    <x v="1"/>
    <s v="NULL"/>
    <x v="0"/>
  </r>
  <r>
    <x v="1212"/>
    <x v="7"/>
    <s v="Spain"/>
    <x v="5"/>
    <n v="20"/>
    <s v="NULL"/>
    <n v="220"/>
    <x v="670"/>
    <x v="3"/>
    <x v="0"/>
    <x v="4"/>
    <s v="NULL"/>
    <x v="0"/>
  </r>
  <r>
    <x v="192"/>
    <x v="25"/>
    <s v="United States"/>
    <x v="0"/>
    <n v="11"/>
    <s v="NULL"/>
    <n v="1900"/>
    <x v="670"/>
    <x v="3"/>
    <x v="0"/>
    <x v="2"/>
    <s v="NULL"/>
    <x v="0"/>
  </r>
  <r>
    <x v="1213"/>
    <x v="2"/>
    <s v="United States"/>
    <x v="0"/>
    <s v="NULL"/>
    <n v="0.08"/>
    <n v="282"/>
    <x v="670"/>
    <x v="3"/>
    <x v="0"/>
    <x v="4"/>
    <n v="0"/>
    <x v="0"/>
  </r>
  <r>
    <x v="326"/>
    <x v="19"/>
    <s v="United States"/>
    <x v="9"/>
    <s v="NULL"/>
    <n v="0.05"/>
    <n v="138"/>
    <x v="670"/>
    <x v="3"/>
    <x v="0"/>
    <x v="4"/>
    <n v="0"/>
    <x v="0"/>
  </r>
  <r>
    <x v="1214"/>
    <x v="0"/>
    <s v="United States"/>
    <x v="7"/>
    <s v="NULL"/>
    <s v="NULL"/>
    <n v="212"/>
    <x v="670"/>
    <x v="3"/>
    <x v="0"/>
    <x v="4"/>
    <s v="NULL"/>
    <x v="1"/>
  </r>
  <r>
    <x v="6"/>
    <x v="6"/>
    <s v="United States"/>
    <x v="3"/>
    <s v="NULL"/>
    <s v="NULL"/>
    <s v="NULL"/>
    <x v="670"/>
    <x v="3"/>
    <x v="0"/>
    <x v="1"/>
    <s v="NULL"/>
    <x v="1"/>
  </r>
  <r>
    <x v="843"/>
    <x v="2"/>
    <s v="United States"/>
    <x v="0"/>
    <n v="400"/>
    <s v="NULL"/>
    <n v="79"/>
    <x v="671"/>
    <x v="3"/>
    <x v="0"/>
    <x v="3"/>
    <s v="NULL"/>
    <x v="0"/>
  </r>
  <r>
    <x v="1215"/>
    <x v="9"/>
    <s v="Canada"/>
    <x v="3"/>
    <n v="51"/>
    <s v="NULL"/>
    <s v="NULL"/>
    <x v="671"/>
    <x v="3"/>
    <x v="0"/>
    <x v="1"/>
    <s v="NULL"/>
    <x v="0"/>
  </r>
  <r>
    <x v="1216"/>
    <x v="5"/>
    <s v="Ireland"/>
    <x v="0"/>
    <n v="50"/>
    <n v="1"/>
    <n v="20"/>
    <x v="671"/>
    <x v="3"/>
    <x v="0"/>
    <x v="3"/>
    <n v="1"/>
    <x v="0"/>
  </r>
  <r>
    <x v="1217"/>
    <x v="23"/>
    <s v="United States"/>
    <x v="0"/>
    <n v="50"/>
    <n v="0.13"/>
    <n v="118"/>
    <x v="671"/>
    <x v="3"/>
    <x v="0"/>
    <x v="4"/>
    <n v="0"/>
    <x v="0"/>
  </r>
  <r>
    <x v="461"/>
    <x v="9"/>
    <s v="United States"/>
    <x v="9"/>
    <s v="NULL"/>
    <s v="NULL"/>
    <n v="1100"/>
    <x v="671"/>
    <x v="3"/>
    <x v="0"/>
    <x v="2"/>
    <s v="NULL"/>
    <x v="1"/>
  </r>
  <r>
    <x v="1218"/>
    <x v="3"/>
    <s v="United States"/>
    <x v="1"/>
    <s v="NULL"/>
    <s v="NULL"/>
    <n v="99"/>
    <x v="671"/>
    <x v="3"/>
    <x v="0"/>
    <x v="3"/>
    <s v="NULL"/>
    <x v="1"/>
  </r>
  <r>
    <x v="1219"/>
    <x v="14"/>
    <s v="United States"/>
    <x v="1"/>
    <s v="NULL"/>
    <n v="0.09"/>
    <n v="357"/>
    <x v="671"/>
    <x v="3"/>
    <x v="0"/>
    <x v="4"/>
    <n v="0"/>
    <x v="0"/>
  </r>
  <r>
    <x v="190"/>
    <x v="13"/>
    <s v="United States"/>
    <x v="0"/>
    <s v="NULL"/>
    <s v="NULL"/>
    <n v="3300"/>
    <x v="671"/>
    <x v="3"/>
    <x v="0"/>
    <x v="2"/>
    <s v="NULL"/>
    <x v="1"/>
  </r>
  <r>
    <x v="599"/>
    <x v="18"/>
    <s v="India"/>
    <x v="3"/>
    <n v="300"/>
    <n v="0.12"/>
    <n v="363"/>
    <x v="672"/>
    <x v="3"/>
    <x v="0"/>
    <x v="4"/>
    <n v="0"/>
    <x v="0"/>
  </r>
  <r>
    <x v="1220"/>
    <x v="6"/>
    <s v="United States"/>
    <x v="0"/>
    <n v="170"/>
    <n v="0.3"/>
    <n v="409"/>
    <x v="672"/>
    <x v="3"/>
    <x v="0"/>
    <x v="4"/>
    <n v="0"/>
    <x v="0"/>
  </r>
  <r>
    <x v="1221"/>
    <x v="14"/>
    <s v="United States"/>
    <x v="0"/>
    <n v="100"/>
    <s v="NULL"/>
    <n v="53"/>
    <x v="672"/>
    <x v="3"/>
    <x v="0"/>
    <x v="3"/>
    <s v="NULL"/>
    <x v="0"/>
  </r>
  <r>
    <x v="861"/>
    <x v="6"/>
    <s v="United States"/>
    <x v="4"/>
    <n v="100"/>
    <n v="0.15"/>
    <n v="274"/>
    <x v="672"/>
    <x v="3"/>
    <x v="0"/>
    <x v="4"/>
    <n v="0"/>
    <x v="0"/>
  </r>
  <r>
    <x v="1222"/>
    <x v="30"/>
    <s v="United States"/>
    <x v="3"/>
    <s v="NULL"/>
    <s v="NULL"/>
    <n v="313"/>
    <x v="672"/>
    <x v="3"/>
    <x v="0"/>
    <x v="4"/>
    <s v="NULL"/>
    <x v="1"/>
  </r>
  <r>
    <x v="1223"/>
    <x v="5"/>
    <s v="United States"/>
    <x v="0"/>
    <s v="NULL"/>
    <n v="0.25"/>
    <n v="530"/>
    <x v="672"/>
    <x v="3"/>
    <x v="0"/>
    <x v="4"/>
    <n v="0"/>
    <x v="0"/>
  </r>
  <r>
    <x v="1224"/>
    <x v="2"/>
    <s v="India"/>
    <x v="8"/>
    <s v="NULL"/>
    <s v="NULL"/>
    <n v="17"/>
    <x v="672"/>
    <x v="3"/>
    <x v="0"/>
    <x v="3"/>
    <s v="NULL"/>
    <x v="1"/>
  </r>
  <r>
    <x v="1225"/>
    <x v="17"/>
    <s v="Canada"/>
    <x v="8"/>
    <s v="NULL"/>
    <s v="NULL"/>
    <n v="131"/>
    <x v="672"/>
    <x v="3"/>
    <x v="0"/>
    <x v="4"/>
    <s v="NULL"/>
    <x v="1"/>
  </r>
  <r>
    <x v="1024"/>
    <x v="11"/>
    <s v="United States"/>
    <x v="0"/>
    <s v="NULL"/>
    <n v="0.34"/>
    <n v="504"/>
    <x v="672"/>
    <x v="3"/>
    <x v="0"/>
    <x v="4"/>
    <n v="0"/>
    <x v="0"/>
  </r>
  <r>
    <x v="594"/>
    <x v="11"/>
    <s v="United States"/>
    <x v="7"/>
    <n v="40"/>
    <s v="NULL"/>
    <n v="329"/>
    <x v="673"/>
    <x v="3"/>
    <x v="0"/>
    <x v="4"/>
    <s v="NULL"/>
    <x v="0"/>
  </r>
  <r>
    <x v="1226"/>
    <x v="21"/>
    <s v="India"/>
    <x v="8"/>
    <s v="NULL"/>
    <n v="1"/>
    <n v="17"/>
    <x v="673"/>
    <x v="3"/>
    <x v="0"/>
    <x v="3"/>
    <n v="1"/>
    <x v="0"/>
  </r>
  <r>
    <x v="1227"/>
    <x v="5"/>
    <s v="United States"/>
    <x v="5"/>
    <s v="NULL"/>
    <s v="NULL"/>
    <n v="171"/>
    <x v="673"/>
    <x v="3"/>
    <x v="0"/>
    <x v="4"/>
    <s v="NULL"/>
    <x v="1"/>
  </r>
  <r>
    <x v="1228"/>
    <x v="3"/>
    <s v="United States"/>
    <x v="0"/>
    <s v="NULL"/>
    <n v="0.59"/>
    <n v="342"/>
    <x v="673"/>
    <x v="3"/>
    <x v="0"/>
    <x v="4"/>
    <n v="0"/>
    <x v="0"/>
  </r>
  <r>
    <x v="1229"/>
    <x v="11"/>
    <s v="United States"/>
    <x v="4"/>
    <s v="NULL"/>
    <n v="0.05"/>
    <n v="567"/>
    <x v="673"/>
    <x v="3"/>
    <x v="0"/>
    <x v="4"/>
    <n v="0"/>
    <x v="0"/>
  </r>
  <r>
    <x v="1230"/>
    <x v="5"/>
    <s v="Nigeria"/>
    <x v="3"/>
    <n v="30"/>
    <n v="1"/>
    <s v="NULL"/>
    <x v="674"/>
    <x v="3"/>
    <x v="0"/>
    <x v="1"/>
    <n v="1"/>
    <x v="0"/>
  </r>
  <r>
    <x v="1231"/>
    <x v="1"/>
    <s v="United States"/>
    <x v="1"/>
    <s v="NULL"/>
    <s v="NULL"/>
    <n v="290"/>
    <x v="674"/>
    <x v="3"/>
    <x v="0"/>
    <x v="4"/>
    <s v="NULL"/>
    <x v="1"/>
  </r>
  <r>
    <x v="1232"/>
    <x v="13"/>
    <s v="Germany"/>
    <x v="1"/>
    <s v="NULL"/>
    <s v="NULL"/>
    <n v="12"/>
    <x v="674"/>
    <x v="3"/>
    <x v="0"/>
    <x v="3"/>
    <s v="NULL"/>
    <x v="1"/>
  </r>
  <r>
    <x v="1233"/>
    <x v="3"/>
    <s v="United States"/>
    <x v="3"/>
    <s v="NULL"/>
    <s v="NULL"/>
    <n v="35"/>
    <x v="674"/>
    <x v="3"/>
    <x v="0"/>
    <x v="3"/>
    <s v="NULL"/>
    <x v="1"/>
  </r>
  <r>
    <x v="56"/>
    <x v="15"/>
    <s v="United States"/>
    <x v="0"/>
    <n v="2000"/>
    <n v="0.06"/>
    <s v="NULL"/>
    <x v="675"/>
    <x v="3"/>
    <x v="0"/>
    <x v="1"/>
    <n v="0"/>
    <x v="0"/>
  </r>
  <r>
    <x v="28"/>
    <x v="14"/>
    <s v="United Kingdom"/>
    <x v="9"/>
    <n v="1000"/>
    <n v="0.15"/>
    <n v="1400"/>
    <x v="675"/>
    <x v="3"/>
    <x v="0"/>
    <x v="2"/>
    <n v="0"/>
    <x v="0"/>
  </r>
  <r>
    <x v="28"/>
    <x v="14"/>
    <s v="United Kingdom"/>
    <x v="9"/>
    <n v="1000"/>
    <n v="0.15"/>
    <n v="3500"/>
    <x v="675"/>
    <x v="3"/>
    <x v="0"/>
    <x v="2"/>
    <n v="0"/>
    <x v="0"/>
  </r>
  <r>
    <x v="1234"/>
    <x v="18"/>
    <s v="United States"/>
    <x v="7"/>
    <n v="134"/>
    <n v="0.15"/>
    <n v="711"/>
    <x v="675"/>
    <x v="3"/>
    <x v="0"/>
    <x v="4"/>
    <n v="0"/>
    <x v="0"/>
  </r>
  <r>
    <x v="1235"/>
    <x v="12"/>
    <s v="United States"/>
    <x v="3"/>
    <n v="98"/>
    <s v="NULL"/>
    <s v="NULL"/>
    <x v="675"/>
    <x v="3"/>
    <x v="0"/>
    <x v="1"/>
    <s v="NULL"/>
    <x v="0"/>
  </r>
  <r>
    <x v="306"/>
    <x v="5"/>
    <s v="United States"/>
    <x v="7"/>
    <n v="20"/>
    <n v="0.1"/>
    <n v="156"/>
    <x v="675"/>
    <x v="3"/>
    <x v="0"/>
    <x v="4"/>
    <n v="0"/>
    <x v="0"/>
  </r>
  <r>
    <x v="1236"/>
    <x v="10"/>
    <s v="Singapore"/>
    <x v="3"/>
    <s v="NULL"/>
    <s v="NULL"/>
    <n v="50"/>
    <x v="675"/>
    <x v="3"/>
    <x v="0"/>
    <x v="3"/>
    <s v="NULL"/>
    <x v="1"/>
  </r>
  <r>
    <x v="1237"/>
    <x v="5"/>
    <s v="United States"/>
    <x v="3"/>
    <s v="NULL"/>
    <s v="NULL"/>
    <n v="160"/>
    <x v="675"/>
    <x v="3"/>
    <x v="0"/>
    <x v="4"/>
    <s v="NULL"/>
    <x v="1"/>
  </r>
  <r>
    <x v="1238"/>
    <x v="19"/>
    <s v="United States"/>
    <x v="7"/>
    <s v="NULL"/>
    <s v="NULL"/>
    <n v="106"/>
    <x v="675"/>
    <x v="3"/>
    <x v="0"/>
    <x v="4"/>
    <s v="NULL"/>
    <x v="1"/>
  </r>
  <r>
    <x v="580"/>
    <x v="5"/>
    <s v="United States"/>
    <x v="2"/>
    <s v="NULL"/>
    <s v="NULL"/>
    <n v="90"/>
    <x v="675"/>
    <x v="3"/>
    <x v="0"/>
    <x v="3"/>
    <s v="NULL"/>
    <x v="1"/>
  </r>
  <r>
    <x v="1239"/>
    <x v="27"/>
    <s v="Canada"/>
    <x v="2"/>
    <n v="30"/>
    <s v="NULL"/>
    <n v="47"/>
    <x v="676"/>
    <x v="3"/>
    <x v="0"/>
    <x v="3"/>
    <s v="NULL"/>
    <x v="0"/>
  </r>
  <r>
    <x v="1240"/>
    <x v="6"/>
    <s v="New Zealand"/>
    <x v="0"/>
    <s v="NULL"/>
    <n v="0.06"/>
    <s v="NULL"/>
    <x v="676"/>
    <x v="3"/>
    <x v="0"/>
    <x v="1"/>
    <n v="0"/>
    <x v="0"/>
  </r>
  <r>
    <x v="1241"/>
    <x v="4"/>
    <s v="Germany"/>
    <x v="1"/>
    <n v="24"/>
    <n v="0.1"/>
    <n v="8"/>
    <x v="677"/>
    <x v="3"/>
    <x v="0"/>
    <x v="0"/>
    <n v="0"/>
    <x v="0"/>
  </r>
  <r>
    <x v="1242"/>
    <x v="14"/>
    <s v="Australia"/>
    <x v="0"/>
    <n v="300"/>
    <n v="0.2"/>
    <n v="896"/>
    <x v="678"/>
    <x v="3"/>
    <x v="0"/>
    <x v="4"/>
    <n v="0"/>
    <x v="0"/>
  </r>
  <r>
    <x v="1243"/>
    <x v="1"/>
    <s v="United States"/>
    <x v="8"/>
    <s v="NULL"/>
    <n v="1"/>
    <n v="24"/>
    <x v="679"/>
    <x v="3"/>
    <x v="1"/>
    <x v="3"/>
    <n v="1"/>
    <x v="0"/>
  </r>
  <r>
    <x v="1244"/>
    <x v="2"/>
    <s v="United States"/>
    <x v="3"/>
    <s v="NULL"/>
    <n v="1"/>
    <s v="NULL"/>
    <x v="679"/>
    <x v="3"/>
    <x v="1"/>
    <x v="1"/>
    <n v="1"/>
    <x v="0"/>
  </r>
  <r>
    <x v="1245"/>
    <x v="10"/>
    <s v="United States"/>
    <x v="9"/>
    <s v="NULL"/>
    <n v="1"/>
    <n v="607"/>
    <x v="679"/>
    <x v="3"/>
    <x v="1"/>
    <x v="4"/>
    <n v="1"/>
    <x v="0"/>
  </r>
  <r>
    <x v="1246"/>
    <x v="14"/>
    <s v="United States"/>
    <x v="7"/>
    <s v="NULL"/>
    <n v="0.2"/>
    <n v="704"/>
    <x v="679"/>
    <x v="3"/>
    <x v="1"/>
    <x v="4"/>
    <n v="0"/>
    <x v="0"/>
  </r>
  <r>
    <x v="373"/>
    <x v="0"/>
    <s v="United States"/>
    <x v="7"/>
    <n v="230"/>
    <s v="NULL"/>
    <n v="770"/>
    <x v="680"/>
    <x v="3"/>
    <x v="1"/>
    <x v="4"/>
    <s v="NULL"/>
    <x v="0"/>
  </r>
  <r>
    <x v="473"/>
    <x v="5"/>
    <s v="United States"/>
    <x v="3"/>
    <n v="181"/>
    <n v="0.15"/>
    <n v="216"/>
    <x v="680"/>
    <x v="3"/>
    <x v="1"/>
    <x v="4"/>
    <n v="0"/>
    <x v="0"/>
  </r>
  <r>
    <x v="1247"/>
    <x v="2"/>
    <s v="United States"/>
    <x v="7"/>
    <n v="35"/>
    <n v="0.15"/>
    <n v="100"/>
    <x v="680"/>
    <x v="3"/>
    <x v="1"/>
    <x v="4"/>
    <n v="0"/>
    <x v="0"/>
  </r>
  <r>
    <x v="1248"/>
    <x v="9"/>
    <s v="United States"/>
    <x v="8"/>
    <n v="30"/>
    <s v="NULL"/>
    <n v="138"/>
    <x v="680"/>
    <x v="3"/>
    <x v="1"/>
    <x v="4"/>
    <s v="NULL"/>
    <x v="0"/>
  </r>
  <r>
    <x v="1249"/>
    <x v="0"/>
    <s v="India"/>
    <x v="10"/>
    <n v="30"/>
    <s v="NULL"/>
    <s v="NULL"/>
    <x v="680"/>
    <x v="3"/>
    <x v="1"/>
    <x v="1"/>
    <s v="NULL"/>
    <x v="0"/>
  </r>
  <r>
    <x v="1250"/>
    <x v="0"/>
    <s v="Israel"/>
    <x v="2"/>
    <n v="28"/>
    <n v="0.3"/>
    <n v="65"/>
    <x v="680"/>
    <x v="3"/>
    <x v="1"/>
    <x v="3"/>
    <n v="0"/>
    <x v="0"/>
  </r>
  <r>
    <x v="1251"/>
    <x v="4"/>
    <s v="United States"/>
    <x v="10"/>
    <n v="20"/>
    <s v="NULL"/>
    <s v="NULL"/>
    <x v="680"/>
    <x v="3"/>
    <x v="1"/>
    <x v="1"/>
    <s v="NULL"/>
    <x v="0"/>
  </r>
  <r>
    <x v="1252"/>
    <x v="2"/>
    <s v="Mexico"/>
    <x v="2"/>
    <s v="NULL"/>
    <n v="0.1"/>
    <n v="445"/>
    <x v="680"/>
    <x v="3"/>
    <x v="1"/>
    <x v="4"/>
    <n v="0"/>
    <x v="0"/>
  </r>
  <r>
    <x v="1253"/>
    <x v="0"/>
    <s v="India"/>
    <x v="6"/>
    <s v="NULL"/>
    <n v="0.3"/>
    <n v="19"/>
    <x v="680"/>
    <x v="3"/>
    <x v="1"/>
    <x v="3"/>
    <n v="0"/>
    <x v="0"/>
  </r>
  <r>
    <x v="427"/>
    <x v="14"/>
    <s v="United States"/>
    <x v="15"/>
    <s v="NULL"/>
    <s v="NULL"/>
    <n v="8700"/>
    <x v="680"/>
    <x v="3"/>
    <x v="1"/>
    <x v="2"/>
    <s v="NULL"/>
    <x v="1"/>
  </r>
  <r>
    <x v="1254"/>
    <x v="0"/>
    <s v="United States"/>
    <x v="8"/>
    <s v="NULL"/>
    <n v="1"/>
    <n v="18"/>
    <x v="680"/>
    <x v="3"/>
    <x v="1"/>
    <x v="3"/>
    <n v="1"/>
    <x v="0"/>
  </r>
  <r>
    <x v="64"/>
    <x v="0"/>
    <s v="United States"/>
    <x v="5"/>
    <n v="90"/>
    <n v="0.1"/>
    <n v="537"/>
    <x v="681"/>
    <x v="3"/>
    <x v="1"/>
    <x v="4"/>
    <n v="0"/>
    <x v="0"/>
  </r>
  <r>
    <x v="1255"/>
    <x v="1"/>
    <m/>
    <x v="1"/>
    <n v="55"/>
    <s v="NULL"/>
    <n v="1"/>
    <x v="681"/>
    <x v="3"/>
    <x v="1"/>
    <x v="0"/>
    <s v="NULL"/>
    <x v="0"/>
  </r>
  <r>
    <x v="1256"/>
    <x v="7"/>
    <s v="United States"/>
    <x v="3"/>
    <n v="47"/>
    <s v="NULL"/>
    <n v="169"/>
    <x v="681"/>
    <x v="3"/>
    <x v="1"/>
    <x v="4"/>
    <s v="NULL"/>
    <x v="0"/>
  </r>
  <r>
    <x v="1257"/>
    <x v="4"/>
    <s v="United States"/>
    <x v="3"/>
    <n v="37"/>
    <n v="0.2"/>
    <n v="81"/>
    <x v="681"/>
    <x v="3"/>
    <x v="1"/>
    <x v="3"/>
    <n v="0"/>
    <x v="0"/>
  </r>
  <r>
    <x v="1258"/>
    <x v="6"/>
    <s v="United States"/>
    <x v="7"/>
    <s v="NULL"/>
    <n v="0.15"/>
    <n v="414"/>
    <x v="681"/>
    <x v="3"/>
    <x v="1"/>
    <x v="4"/>
    <n v="0"/>
    <x v="0"/>
  </r>
  <r>
    <x v="1259"/>
    <x v="0"/>
    <s v="United States"/>
    <x v="6"/>
    <s v="NULL"/>
    <n v="0.1"/>
    <n v="1"/>
    <x v="681"/>
    <x v="3"/>
    <x v="1"/>
    <x v="0"/>
    <n v="0"/>
    <x v="0"/>
  </r>
  <r>
    <x v="1260"/>
    <x v="13"/>
    <s v="United Kingdom"/>
    <x v="0"/>
    <n v="350"/>
    <s v="NULL"/>
    <n v="612"/>
    <x v="682"/>
    <x v="3"/>
    <x v="1"/>
    <x v="4"/>
    <s v="NULL"/>
    <x v="0"/>
  </r>
  <r>
    <x v="481"/>
    <x v="24"/>
    <s v="United States"/>
    <x v="0"/>
    <n v="255"/>
    <n v="0.1"/>
    <n v="214"/>
    <x v="682"/>
    <x v="3"/>
    <x v="1"/>
    <x v="4"/>
    <n v="0"/>
    <x v="0"/>
  </r>
  <r>
    <x v="1261"/>
    <x v="26"/>
    <s v="Norway"/>
    <x v="5"/>
    <n v="50"/>
    <s v="NULL"/>
    <n v="181"/>
    <x v="682"/>
    <x v="3"/>
    <x v="1"/>
    <x v="4"/>
    <s v="NULL"/>
    <x v="0"/>
  </r>
  <r>
    <x v="1262"/>
    <x v="14"/>
    <s v="United Kingdom"/>
    <x v="1"/>
    <s v="NULL"/>
    <s v="NULL"/>
    <n v="85"/>
    <x v="682"/>
    <x v="3"/>
    <x v="1"/>
    <x v="3"/>
    <s v="NULL"/>
    <x v="1"/>
  </r>
  <r>
    <x v="1263"/>
    <x v="14"/>
    <s v="Nigeria"/>
    <x v="3"/>
    <s v="NULL"/>
    <n v="1"/>
    <s v="NULL"/>
    <x v="682"/>
    <x v="3"/>
    <x v="1"/>
    <x v="1"/>
    <n v="1"/>
    <x v="0"/>
  </r>
  <r>
    <x v="1264"/>
    <x v="5"/>
    <s v="United States"/>
    <x v="3"/>
    <s v="NULL"/>
    <n v="0.15"/>
    <n v="625"/>
    <x v="682"/>
    <x v="3"/>
    <x v="1"/>
    <x v="4"/>
    <n v="0"/>
    <x v="0"/>
  </r>
  <r>
    <x v="152"/>
    <x v="19"/>
    <s v="Canada"/>
    <x v="9"/>
    <s v="NULL"/>
    <n v="0.09"/>
    <n v="263"/>
    <x v="682"/>
    <x v="3"/>
    <x v="1"/>
    <x v="4"/>
    <n v="0"/>
    <x v="0"/>
  </r>
  <r>
    <x v="1265"/>
    <x v="11"/>
    <s v="United States"/>
    <x v="0"/>
    <s v="NULL"/>
    <n v="1"/>
    <n v="1100"/>
    <x v="682"/>
    <x v="3"/>
    <x v="1"/>
    <x v="2"/>
    <n v="1"/>
    <x v="0"/>
  </r>
  <r>
    <x v="1266"/>
    <x v="11"/>
    <s v="United States"/>
    <x v="1"/>
    <s v="NULL"/>
    <s v="NULL"/>
    <n v="67"/>
    <x v="682"/>
    <x v="3"/>
    <x v="1"/>
    <x v="3"/>
    <s v="NULL"/>
    <x v="1"/>
  </r>
  <r>
    <x v="230"/>
    <x v="14"/>
    <s v="United States"/>
    <x v="0"/>
    <n v="200"/>
    <n v="0.1"/>
    <s v="NULL"/>
    <x v="683"/>
    <x v="3"/>
    <x v="1"/>
    <x v="1"/>
    <n v="0"/>
    <x v="0"/>
  </r>
  <r>
    <x v="26"/>
    <x v="14"/>
    <s v="United States"/>
    <x v="0"/>
    <n v="150"/>
    <n v="7.0000000000000007E-2"/>
    <n v="5600"/>
    <x v="683"/>
    <x v="3"/>
    <x v="1"/>
    <x v="2"/>
    <n v="0"/>
    <x v="0"/>
  </r>
  <r>
    <x v="999"/>
    <x v="23"/>
    <s v="United States"/>
    <x v="11"/>
    <n v="30"/>
    <n v="0.05"/>
    <n v="1100"/>
    <x v="683"/>
    <x v="3"/>
    <x v="1"/>
    <x v="2"/>
    <n v="0"/>
    <x v="0"/>
  </r>
  <r>
    <x v="662"/>
    <x v="8"/>
    <s v="United States"/>
    <x v="2"/>
    <s v="NULL"/>
    <n v="1"/>
    <n v="38"/>
    <x v="684"/>
    <x v="3"/>
    <x v="1"/>
    <x v="3"/>
    <n v="1"/>
    <x v="0"/>
  </r>
  <r>
    <x v="1267"/>
    <x v="1"/>
    <s v="United States"/>
    <x v="5"/>
    <s v="NULL"/>
    <n v="1"/>
    <n v="197"/>
    <x v="685"/>
    <x v="3"/>
    <x v="1"/>
    <x v="4"/>
    <n v="1"/>
    <x v="0"/>
  </r>
  <r>
    <x v="1268"/>
    <x v="0"/>
    <s v="United States"/>
    <x v="5"/>
    <s v="NULL"/>
    <n v="0.09"/>
    <n v="141"/>
    <x v="686"/>
    <x v="3"/>
    <x v="1"/>
    <x v="4"/>
    <n v="0"/>
    <x v="0"/>
  </r>
  <r>
    <x v="1269"/>
    <x v="0"/>
    <s v="United States"/>
    <x v="1"/>
    <n v="300"/>
    <s v="NULL"/>
    <n v="300"/>
    <x v="687"/>
    <x v="3"/>
    <x v="1"/>
    <x v="4"/>
    <s v="NULL"/>
    <x v="0"/>
  </r>
  <r>
    <x v="48"/>
    <x v="11"/>
    <s v="United States"/>
    <x v="0"/>
    <n v="200"/>
    <s v="NULL"/>
    <n v="25200"/>
    <x v="687"/>
    <x v="3"/>
    <x v="1"/>
    <x v="2"/>
    <s v="NULL"/>
    <x v="0"/>
  </r>
  <r>
    <x v="1270"/>
    <x v="24"/>
    <s v="United States"/>
    <x v="5"/>
    <n v="75"/>
    <s v="NULL"/>
    <n v="148"/>
    <x v="687"/>
    <x v="3"/>
    <x v="1"/>
    <x v="4"/>
    <s v="NULL"/>
    <x v="0"/>
  </r>
  <r>
    <x v="1271"/>
    <x v="18"/>
    <s v="Canada"/>
    <x v="5"/>
    <n v="38"/>
    <n v="0.4"/>
    <n v="134"/>
    <x v="687"/>
    <x v="3"/>
    <x v="1"/>
    <x v="4"/>
    <n v="0"/>
    <x v="0"/>
  </r>
  <r>
    <x v="1272"/>
    <x v="5"/>
    <s v="United States"/>
    <x v="9"/>
    <s v="NULL"/>
    <s v="NULL"/>
    <n v="306"/>
    <x v="687"/>
    <x v="3"/>
    <x v="1"/>
    <x v="4"/>
    <s v="NULL"/>
    <x v="1"/>
  </r>
  <r>
    <x v="812"/>
    <x v="5"/>
    <s v="United States"/>
    <x v="0"/>
    <s v="NULL"/>
    <s v="NULL"/>
    <n v="28"/>
    <x v="687"/>
    <x v="3"/>
    <x v="1"/>
    <x v="3"/>
    <s v="NULL"/>
    <x v="1"/>
  </r>
  <r>
    <x v="1273"/>
    <x v="10"/>
    <s v="United States"/>
    <x v="2"/>
    <s v="NULL"/>
    <n v="0.3"/>
    <n v="69"/>
    <x v="687"/>
    <x v="3"/>
    <x v="1"/>
    <x v="3"/>
    <n v="0"/>
    <x v="0"/>
  </r>
  <r>
    <x v="1274"/>
    <x v="11"/>
    <s v="Singapore"/>
    <x v="0"/>
    <n v="1000"/>
    <n v="0.11"/>
    <n v="16500"/>
    <x v="688"/>
    <x v="3"/>
    <x v="1"/>
    <x v="2"/>
    <n v="0"/>
    <x v="0"/>
  </r>
  <r>
    <x v="1275"/>
    <x v="10"/>
    <s v="Netherlands"/>
    <x v="1"/>
    <n v="800"/>
    <s v="NULL"/>
    <s v="NULL"/>
    <x v="688"/>
    <x v="3"/>
    <x v="1"/>
    <x v="1"/>
    <s v="NULL"/>
    <x v="0"/>
  </r>
  <r>
    <x v="1276"/>
    <x v="13"/>
    <s v="United States"/>
    <x v="9"/>
    <n v="37"/>
    <s v="NULL"/>
    <n v="686"/>
    <x v="688"/>
    <x v="3"/>
    <x v="1"/>
    <x v="4"/>
    <s v="NULL"/>
    <x v="0"/>
  </r>
  <r>
    <x v="1277"/>
    <x v="18"/>
    <s v="United Kingdom"/>
    <x v="3"/>
    <s v="NULL"/>
    <n v="1"/>
    <n v="13"/>
    <x v="688"/>
    <x v="3"/>
    <x v="1"/>
    <x v="3"/>
    <n v="1"/>
    <x v="0"/>
  </r>
  <r>
    <x v="1105"/>
    <x v="4"/>
    <s v="India"/>
    <x v="3"/>
    <n v="48"/>
    <n v="0.2"/>
    <n v="88"/>
    <x v="689"/>
    <x v="3"/>
    <x v="1"/>
    <x v="3"/>
    <n v="0"/>
    <x v="0"/>
  </r>
  <r>
    <x v="1278"/>
    <x v="7"/>
    <s v="United States"/>
    <x v="6"/>
    <s v="NULL"/>
    <n v="1"/>
    <n v="2"/>
    <x v="689"/>
    <x v="3"/>
    <x v="1"/>
    <x v="0"/>
    <n v="1"/>
    <x v="0"/>
  </r>
  <r>
    <x v="1279"/>
    <x v="5"/>
    <s v="United States"/>
    <x v="5"/>
    <s v="NULL"/>
    <n v="1"/>
    <n v="80"/>
    <x v="690"/>
    <x v="3"/>
    <x v="1"/>
    <x v="3"/>
    <n v="1"/>
    <x v="0"/>
  </r>
  <r>
    <x v="1280"/>
    <x v="5"/>
    <s v="India"/>
    <x v="8"/>
    <n v="170"/>
    <n v="0.8"/>
    <n v="24"/>
    <x v="691"/>
    <x v="3"/>
    <x v="1"/>
    <x v="3"/>
    <n v="0"/>
    <x v="0"/>
  </r>
  <r>
    <x v="515"/>
    <x v="11"/>
    <s v="United States"/>
    <x v="0"/>
    <n v="270"/>
    <s v="NULL"/>
    <n v="3300"/>
    <x v="692"/>
    <x v="3"/>
    <x v="1"/>
    <x v="2"/>
    <s v="NULL"/>
    <x v="0"/>
  </r>
  <r>
    <x v="124"/>
    <x v="12"/>
    <s v="United States"/>
    <x v="0"/>
    <n v="84"/>
    <s v="NULL"/>
    <s v="NULL"/>
    <x v="692"/>
    <x v="3"/>
    <x v="1"/>
    <x v="1"/>
    <s v="NULL"/>
    <x v="0"/>
  </r>
  <r>
    <x v="1281"/>
    <x v="14"/>
    <s v="United States"/>
    <x v="3"/>
    <n v="45"/>
    <n v="0.13"/>
    <n v="116"/>
    <x v="692"/>
    <x v="3"/>
    <x v="1"/>
    <x v="4"/>
    <n v="0"/>
    <x v="0"/>
  </r>
  <r>
    <x v="1282"/>
    <x v="11"/>
    <s v="United Kingdom"/>
    <x v="6"/>
    <s v="NULL"/>
    <n v="1"/>
    <n v="4"/>
    <x v="692"/>
    <x v="3"/>
    <x v="1"/>
    <x v="0"/>
    <n v="1"/>
    <x v="0"/>
  </r>
  <r>
    <x v="920"/>
    <x v="2"/>
    <s v="United States"/>
    <x v="1"/>
    <s v="NULL"/>
    <s v="NULL"/>
    <n v="194"/>
    <x v="692"/>
    <x v="3"/>
    <x v="1"/>
    <x v="4"/>
    <s v="NULL"/>
    <x v="1"/>
  </r>
  <r>
    <x v="1283"/>
    <x v="5"/>
    <s v="United States"/>
    <x v="8"/>
    <n v="100"/>
    <n v="0.33"/>
    <n v="51"/>
    <x v="693"/>
    <x v="3"/>
    <x v="1"/>
    <x v="3"/>
    <n v="0"/>
    <x v="0"/>
  </r>
  <r>
    <x v="1284"/>
    <x v="11"/>
    <s v="South Korea"/>
    <x v="10"/>
    <n v="45"/>
    <n v="0.6"/>
    <s v="NULL"/>
    <x v="693"/>
    <x v="3"/>
    <x v="1"/>
    <x v="1"/>
    <n v="0"/>
    <x v="0"/>
  </r>
  <r>
    <x v="1064"/>
    <x v="9"/>
    <s v="United States"/>
    <x v="10"/>
    <s v="NULL"/>
    <s v="NULL"/>
    <s v="NULL"/>
    <x v="693"/>
    <x v="3"/>
    <x v="1"/>
    <x v="1"/>
    <s v="NULL"/>
    <x v="1"/>
  </r>
  <r>
    <x v="1285"/>
    <x v="5"/>
    <s v="United States"/>
    <x v="1"/>
    <s v="NULL"/>
    <s v="NULL"/>
    <s v="NULL"/>
    <x v="693"/>
    <x v="3"/>
    <x v="1"/>
    <x v="1"/>
    <s v="NULL"/>
    <x v="1"/>
  </r>
  <r>
    <x v="1226"/>
    <x v="21"/>
    <s v="India"/>
    <x v="8"/>
    <s v="NULL"/>
    <n v="0.9"/>
    <n v="17"/>
    <x v="693"/>
    <x v="3"/>
    <x v="1"/>
    <x v="3"/>
    <n v="0"/>
    <x v="0"/>
  </r>
  <r>
    <x v="1286"/>
    <x v="9"/>
    <s v="United States"/>
    <x v="2"/>
    <n v="900"/>
    <n v="1"/>
    <n v="84"/>
    <x v="694"/>
    <x v="3"/>
    <x v="1"/>
    <x v="3"/>
    <n v="1"/>
    <x v="0"/>
  </r>
  <r>
    <x v="14"/>
    <x v="1"/>
    <s v="United States"/>
    <x v="0"/>
    <n v="130"/>
    <n v="7.0000000000000007E-2"/>
    <n v="455.2"/>
    <x v="694"/>
    <x v="3"/>
    <x v="1"/>
    <x v="4"/>
    <n v="0"/>
    <x v="0"/>
  </r>
  <r>
    <x v="172"/>
    <x v="11"/>
    <s v="United States"/>
    <x v="0"/>
    <n v="102"/>
    <n v="0.24"/>
    <n v="340"/>
    <x v="694"/>
    <x v="3"/>
    <x v="1"/>
    <x v="4"/>
    <n v="0"/>
    <x v="0"/>
  </r>
  <r>
    <x v="536"/>
    <x v="18"/>
    <s v="United States"/>
    <x v="0"/>
    <n v="81"/>
    <n v="0.11"/>
    <n v="184"/>
    <x v="694"/>
    <x v="3"/>
    <x v="1"/>
    <x v="4"/>
    <n v="0"/>
    <x v="0"/>
  </r>
  <r>
    <x v="1287"/>
    <x v="2"/>
    <s v="India"/>
    <x v="3"/>
    <n v="80"/>
    <s v="NULL"/>
    <n v="111"/>
    <x v="694"/>
    <x v="3"/>
    <x v="1"/>
    <x v="4"/>
    <s v="NULL"/>
    <x v="0"/>
  </r>
  <r>
    <x v="1034"/>
    <x v="14"/>
    <s v="United States"/>
    <x v="2"/>
    <s v="NULL"/>
    <n v="0.18"/>
    <n v="50"/>
    <x v="694"/>
    <x v="3"/>
    <x v="1"/>
    <x v="3"/>
    <n v="0"/>
    <x v="0"/>
  </r>
  <r>
    <x v="1288"/>
    <x v="12"/>
    <s v="United States"/>
    <x v="0"/>
    <n v="211"/>
    <s v="NULL"/>
    <n v="900"/>
    <x v="695"/>
    <x v="3"/>
    <x v="1"/>
    <x v="4"/>
    <s v="NULL"/>
    <x v="0"/>
  </r>
  <r>
    <x v="1289"/>
    <x v="3"/>
    <s v="United States"/>
    <x v="5"/>
    <n v="8"/>
    <s v="NULL"/>
    <n v="119"/>
    <x v="695"/>
    <x v="3"/>
    <x v="1"/>
    <x v="4"/>
    <s v="NULL"/>
    <x v="0"/>
  </r>
  <r>
    <x v="1290"/>
    <x v="2"/>
    <s v="Germany"/>
    <x v="0"/>
    <s v="NULL"/>
    <s v="NULL"/>
    <n v="468"/>
    <x v="695"/>
    <x v="3"/>
    <x v="1"/>
    <x v="4"/>
    <s v="NULL"/>
    <x v="1"/>
  </r>
  <r>
    <x v="387"/>
    <x v="18"/>
    <s v="United States"/>
    <x v="1"/>
    <n v="400"/>
    <n v="0.15"/>
    <n v="284"/>
    <x v="696"/>
    <x v="3"/>
    <x v="1"/>
    <x v="4"/>
    <n v="0"/>
    <x v="0"/>
  </r>
  <r>
    <x v="119"/>
    <x v="14"/>
    <s v="United Kingdom"/>
    <x v="12"/>
    <n v="150"/>
    <n v="0.17"/>
    <n v="529"/>
    <x v="696"/>
    <x v="3"/>
    <x v="1"/>
    <x v="4"/>
    <n v="0"/>
    <x v="0"/>
  </r>
  <r>
    <x v="129"/>
    <x v="22"/>
    <s v="United States"/>
    <x v="4"/>
    <n v="100"/>
    <n v="0.12"/>
    <n v="469"/>
    <x v="696"/>
    <x v="3"/>
    <x v="1"/>
    <x v="4"/>
    <n v="0"/>
    <x v="0"/>
  </r>
  <r>
    <x v="254"/>
    <x v="21"/>
    <s v="United States"/>
    <x v="0"/>
    <n v="80"/>
    <n v="0.04"/>
    <n v="227"/>
    <x v="696"/>
    <x v="3"/>
    <x v="1"/>
    <x v="4"/>
    <n v="0"/>
    <x v="0"/>
  </r>
  <r>
    <x v="1291"/>
    <x v="4"/>
    <s v="United States"/>
    <x v="6"/>
    <s v="NULL"/>
    <n v="1"/>
    <n v="4"/>
    <x v="696"/>
    <x v="3"/>
    <x v="1"/>
    <x v="0"/>
    <n v="1"/>
    <x v="0"/>
  </r>
  <r>
    <x v="1292"/>
    <x v="9"/>
    <s v="United States"/>
    <x v="3"/>
    <n v="80"/>
    <n v="0.4"/>
    <n v="253"/>
    <x v="697"/>
    <x v="3"/>
    <x v="1"/>
    <x v="4"/>
    <n v="0"/>
    <x v="0"/>
  </r>
  <r>
    <x v="1293"/>
    <x v="1"/>
    <s v="Singapore"/>
    <x v="3"/>
    <s v="NULL"/>
    <n v="1"/>
    <s v="NULL"/>
    <x v="697"/>
    <x v="3"/>
    <x v="1"/>
    <x v="1"/>
    <n v="1"/>
    <x v="0"/>
  </r>
  <r>
    <x v="1294"/>
    <x v="21"/>
    <s v="Brazil"/>
    <x v="2"/>
    <n v="128"/>
    <n v="0.35"/>
    <n v="40"/>
    <x v="698"/>
    <x v="3"/>
    <x v="1"/>
    <x v="3"/>
    <n v="0"/>
    <x v="0"/>
  </r>
  <r>
    <x v="484"/>
    <x v="5"/>
    <s v="United States"/>
    <x v="0"/>
    <n v="75"/>
    <n v="0.09"/>
    <n v="1100"/>
    <x v="698"/>
    <x v="3"/>
    <x v="1"/>
    <x v="2"/>
    <n v="0"/>
    <x v="0"/>
  </r>
  <r>
    <x v="1295"/>
    <x v="3"/>
    <s v="United States"/>
    <x v="11"/>
    <n v="60"/>
    <n v="0.1"/>
    <n v="288"/>
    <x v="698"/>
    <x v="3"/>
    <x v="1"/>
    <x v="4"/>
    <n v="0"/>
    <x v="0"/>
  </r>
  <r>
    <x v="871"/>
    <x v="14"/>
    <s v="United States"/>
    <x v="5"/>
    <n v="186"/>
    <s v="NULL"/>
    <n v="229"/>
    <x v="699"/>
    <x v="3"/>
    <x v="1"/>
    <x v="4"/>
    <s v="NULL"/>
    <x v="0"/>
  </r>
  <r>
    <x v="1296"/>
    <x v="5"/>
    <s v="United States"/>
    <x v="7"/>
    <n v="155"/>
    <n v="0.12"/>
    <n v="891"/>
    <x v="699"/>
    <x v="3"/>
    <x v="1"/>
    <x v="4"/>
    <n v="0"/>
    <x v="0"/>
  </r>
  <r>
    <x v="1297"/>
    <x v="19"/>
    <s v="United States"/>
    <x v="4"/>
    <n v="140"/>
    <n v="0.15"/>
    <n v="644"/>
    <x v="699"/>
    <x v="3"/>
    <x v="1"/>
    <x v="4"/>
    <n v="0"/>
    <x v="0"/>
  </r>
  <r>
    <x v="1298"/>
    <x v="6"/>
    <s v="United States"/>
    <x v="11"/>
    <s v="NULL"/>
    <s v="NULL"/>
    <n v="805"/>
    <x v="699"/>
    <x v="3"/>
    <x v="1"/>
    <x v="4"/>
    <s v="NULL"/>
    <x v="1"/>
  </r>
  <r>
    <x v="98"/>
    <x v="15"/>
    <s v="United States"/>
    <x v="0"/>
    <s v="NULL"/>
    <s v="NULL"/>
    <n v="484"/>
    <x v="699"/>
    <x v="3"/>
    <x v="1"/>
    <x v="4"/>
    <s v="NULL"/>
    <x v="1"/>
  </r>
  <r>
    <x v="1299"/>
    <x v="3"/>
    <s v="United States"/>
    <x v="6"/>
    <s v="NULL"/>
    <n v="1"/>
    <n v="7"/>
    <x v="699"/>
    <x v="3"/>
    <x v="1"/>
    <x v="0"/>
    <n v="1"/>
    <x v="0"/>
  </r>
  <r>
    <x v="721"/>
    <x v="21"/>
    <s v="India"/>
    <x v="9"/>
    <n v="1000"/>
    <s v="NULL"/>
    <n v="5500"/>
    <x v="700"/>
    <x v="3"/>
    <x v="1"/>
    <x v="2"/>
    <s v="NULL"/>
    <x v="0"/>
  </r>
  <r>
    <x v="1300"/>
    <x v="14"/>
    <s v="Brazil"/>
    <x v="0"/>
    <n v="296"/>
    <s v="NULL"/>
    <n v="4100"/>
    <x v="700"/>
    <x v="3"/>
    <x v="1"/>
    <x v="2"/>
    <s v="NULL"/>
    <x v="0"/>
  </r>
  <r>
    <x v="1301"/>
    <x v="6"/>
    <s v="United States"/>
    <x v="1"/>
    <n v="79"/>
    <s v="NULL"/>
    <n v="340"/>
    <x v="700"/>
    <x v="3"/>
    <x v="1"/>
    <x v="4"/>
    <s v="NULL"/>
    <x v="0"/>
  </r>
  <r>
    <x v="1302"/>
    <x v="5"/>
    <s v="United States"/>
    <x v="1"/>
    <n v="39"/>
    <s v="NULL"/>
    <n v="324"/>
    <x v="700"/>
    <x v="3"/>
    <x v="1"/>
    <x v="4"/>
    <s v="NULL"/>
    <x v="0"/>
  </r>
  <r>
    <x v="1077"/>
    <x v="16"/>
    <s v="United States"/>
    <x v="3"/>
    <s v="NULL"/>
    <s v="NULL"/>
    <n v="905"/>
    <x v="700"/>
    <x v="3"/>
    <x v="1"/>
    <x v="4"/>
    <s v="NULL"/>
    <x v="1"/>
  </r>
  <r>
    <x v="1303"/>
    <x v="24"/>
    <s v="United States"/>
    <x v="0"/>
    <s v="NULL"/>
    <n v="0.08"/>
    <n v="349"/>
    <x v="700"/>
    <x v="3"/>
    <x v="1"/>
    <x v="4"/>
    <n v="0"/>
    <x v="0"/>
  </r>
  <r>
    <x v="1304"/>
    <x v="29"/>
    <s v="United States"/>
    <x v="7"/>
    <s v="NULL"/>
    <s v="NULL"/>
    <n v="233"/>
    <x v="700"/>
    <x v="3"/>
    <x v="1"/>
    <x v="4"/>
    <s v="NULL"/>
    <x v="1"/>
  </r>
  <r>
    <x v="1305"/>
    <x v="20"/>
    <s v="United States"/>
    <x v="0"/>
    <n v="196"/>
    <s v="NULL"/>
    <s v="NULL"/>
    <x v="701"/>
    <x v="3"/>
    <x v="1"/>
    <x v="1"/>
    <s v="NULL"/>
    <x v="0"/>
  </r>
  <r>
    <x v="749"/>
    <x v="24"/>
    <s v="United States"/>
    <x v="0"/>
    <n v="134"/>
    <n v="0.12"/>
    <n v="462"/>
    <x v="701"/>
    <x v="3"/>
    <x v="1"/>
    <x v="4"/>
    <n v="0"/>
    <x v="0"/>
  </r>
  <r>
    <x v="1306"/>
    <x v="1"/>
    <s v="United States"/>
    <x v="4"/>
    <n v="90"/>
    <n v="0.05"/>
    <n v="1300"/>
    <x v="701"/>
    <x v="3"/>
    <x v="1"/>
    <x v="2"/>
    <n v="0"/>
    <x v="0"/>
  </r>
  <r>
    <x v="1307"/>
    <x v="1"/>
    <s v="Australia"/>
    <x v="3"/>
    <n v="60"/>
    <n v="0.27"/>
    <n v="165"/>
    <x v="701"/>
    <x v="3"/>
    <x v="1"/>
    <x v="4"/>
    <n v="0"/>
    <x v="0"/>
  </r>
  <r>
    <x v="1308"/>
    <x v="3"/>
    <s v="United States"/>
    <x v="7"/>
    <n v="50"/>
    <n v="0.09"/>
    <n v="364"/>
    <x v="701"/>
    <x v="3"/>
    <x v="1"/>
    <x v="4"/>
    <n v="0"/>
    <x v="0"/>
  </r>
  <r>
    <x v="407"/>
    <x v="0"/>
    <s v="United States"/>
    <x v="0"/>
    <n v="50"/>
    <s v="NULL"/>
    <n v="1300"/>
    <x v="701"/>
    <x v="3"/>
    <x v="1"/>
    <x v="2"/>
    <s v="NULL"/>
    <x v="0"/>
  </r>
  <r>
    <x v="134"/>
    <x v="9"/>
    <s v="Kenya"/>
    <x v="6"/>
    <n v="6"/>
    <s v="NULL"/>
    <n v="23"/>
    <x v="701"/>
    <x v="3"/>
    <x v="1"/>
    <x v="3"/>
    <s v="NULL"/>
    <x v="0"/>
  </r>
  <r>
    <x v="1309"/>
    <x v="5"/>
    <s v="United States"/>
    <x v="3"/>
    <s v="NULL"/>
    <n v="1"/>
    <s v="NULL"/>
    <x v="701"/>
    <x v="3"/>
    <x v="1"/>
    <x v="1"/>
    <n v="1"/>
    <x v="0"/>
  </r>
  <r>
    <x v="145"/>
    <x v="4"/>
    <s v="Sweden"/>
    <x v="0"/>
    <n v="200"/>
    <n v="0.02"/>
    <n v="2100"/>
    <x v="702"/>
    <x v="3"/>
    <x v="1"/>
    <x v="2"/>
    <n v="0"/>
    <x v="0"/>
  </r>
  <r>
    <x v="1310"/>
    <x v="14"/>
    <s v="United States"/>
    <x v="8"/>
    <s v="NULL"/>
    <s v="NULL"/>
    <n v="19"/>
    <x v="702"/>
    <x v="3"/>
    <x v="1"/>
    <x v="3"/>
    <s v="NULL"/>
    <x v="1"/>
  </r>
  <r>
    <x v="908"/>
    <x v="16"/>
    <s v="United States"/>
    <x v="5"/>
    <s v="NULL"/>
    <s v="NULL"/>
    <n v="310"/>
    <x v="702"/>
    <x v="3"/>
    <x v="1"/>
    <x v="4"/>
    <s v="NULL"/>
    <x v="1"/>
  </r>
  <r>
    <x v="1311"/>
    <x v="18"/>
    <s v="United States"/>
    <x v="5"/>
    <s v="NULL"/>
    <n v="0.05"/>
    <n v="274"/>
    <x v="703"/>
    <x v="3"/>
    <x v="1"/>
    <x v="4"/>
    <n v="0"/>
    <x v="0"/>
  </r>
  <r>
    <x v="81"/>
    <x v="19"/>
    <s v="Canada"/>
    <x v="0"/>
    <n v="120"/>
    <n v="0.03"/>
    <n v="7"/>
    <x v="704"/>
    <x v="3"/>
    <x v="1"/>
    <x v="0"/>
    <n v="0"/>
    <x v="0"/>
  </r>
  <r>
    <x v="84"/>
    <x v="0"/>
    <s v="Germany"/>
    <x v="11"/>
    <n v="90"/>
    <s v="NULL"/>
    <n v="307"/>
    <x v="704"/>
    <x v="3"/>
    <x v="1"/>
    <x v="4"/>
    <s v="NULL"/>
    <x v="0"/>
  </r>
  <r>
    <x v="1312"/>
    <x v="18"/>
    <s v="United States"/>
    <x v="3"/>
    <s v="NULL"/>
    <n v="1"/>
    <n v="423"/>
    <x v="704"/>
    <x v="3"/>
    <x v="1"/>
    <x v="4"/>
    <n v="1"/>
    <x v="0"/>
  </r>
  <r>
    <x v="1313"/>
    <x v="14"/>
    <s v="United States"/>
    <x v="10"/>
    <n v="280"/>
    <n v="0.7"/>
    <s v="NULL"/>
    <x v="705"/>
    <x v="3"/>
    <x v="1"/>
    <x v="1"/>
    <n v="0"/>
    <x v="0"/>
  </r>
  <r>
    <x v="1314"/>
    <x v="22"/>
    <s v="United States"/>
    <x v="5"/>
    <n v="170"/>
    <s v="NULL"/>
    <n v="192"/>
    <x v="705"/>
    <x v="3"/>
    <x v="1"/>
    <x v="4"/>
    <s v="NULL"/>
    <x v="0"/>
  </r>
  <r>
    <x v="1315"/>
    <x v="5"/>
    <s v="India"/>
    <x v="2"/>
    <n v="160"/>
    <s v="NULL"/>
    <n v="9"/>
    <x v="705"/>
    <x v="3"/>
    <x v="1"/>
    <x v="0"/>
    <s v="NULL"/>
    <x v="0"/>
  </r>
  <r>
    <x v="413"/>
    <x v="10"/>
    <s v="United States"/>
    <x v="0"/>
    <n v="90"/>
    <n v="0.1"/>
    <n v="394"/>
    <x v="705"/>
    <x v="3"/>
    <x v="1"/>
    <x v="4"/>
    <n v="0"/>
    <x v="0"/>
  </r>
  <r>
    <x v="1316"/>
    <x v="23"/>
    <s v="United States"/>
    <x v="2"/>
    <s v="NULL"/>
    <s v="NULL"/>
    <n v="141"/>
    <x v="705"/>
    <x v="3"/>
    <x v="1"/>
    <x v="4"/>
    <s v="NULL"/>
    <x v="1"/>
  </r>
  <r>
    <x v="1317"/>
    <x v="7"/>
    <s v="Germany"/>
    <x v="5"/>
    <s v="NULL"/>
    <n v="0.1"/>
    <n v="332"/>
    <x v="705"/>
    <x v="3"/>
    <x v="1"/>
    <x v="4"/>
    <n v="0"/>
    <x v="0"/>
  </r>
  <r>
    <x v="1318"/>
    <x v="0"/>
    <s v="United States"/>
    <x v="3"/>
    <s v="NULL"/>
    <s v="NULL"/>
    <s v="NULL"/>
    <x v="705"/>
    <x v="3"/>
    <x v="1"/>
    <x v="1"/>
    <s v="NULL"/>
    <x v="1"/>
  </r>
  <r>
    <x v="54"/>
    <x v="3"/>
    <s v="United States"/>
    <x v="0"/>
    <s v="NULL"/>
    <n v="0.05"/>
    <n v="696"/>
    <x v="705"/>
    <x v="3"/>
    <x v="1"/>
    <x v="4"/>
    <n v="0"/>
    <x v="0"/>
  </r>
  <r>
    <x v="1319"/>
    <x v="14"/>
    <s v="United States"/>
    <x v="7"/>
    <s v="NULL"/>
    <n v="0.19"/>
    <n v="161"/>
    <x v="705"/>
    <x v="3"/>
    <x v="1"/>
    <x v="4"/>
    <n v="0"/>
    <x v="0"/>
  </r>
  <r>
    <x v="143"/>
    <x v="15"/>
    <s v="United States"/>
    <x v="1"/>
    <n v="320"/>
    <n v="0.08"/>
    <n v="85"/>
    <x v="706"/>
    <x v="3"/>
    <x v="2"/>
    <x v="3"/>
    <n v="0"/>
    <x v="0"/>
  </r>
  <r>
    <x v="270"/>
    <x v="8"/>
    <s v="United States"/>
    <x v="0"/>
    <n v="270"/>
    <n v="0.2"/>
    <n v="769"/>
    <x v="706"/>
    <x v="3"/>
    <x v="2"/>
    <x v="4"/>
    <n v="0"/>
    <x v="0"/>
  </r>
  <r>
    <x v="855"/>
    <x v="0"/>
    <s v="United States"/>
    <x v="2"/>
    <n v="100"/>
    <n v="0.25"/>
    <n v="216"/>
    <x v="706"/>
    <x v="3"/>
    <x v="2"/>
    <x v="4"/>
    <n v="0"/>
    <x v="0"/>
  </r>
  <r>
    <x v="943"/>
    <x v="16"/>
    <s v="Germany"/>
    <x v="3"/>
    <n v="60"/>
    <s v="NULL"/>
    <n v="214"/>
    <x v="706"/>
    <x v="3"/>
    <x v="2"/>
    <x v="4"/>
    <s v="NULL"/>
    <x v="0"/>
  </r>
  <r>
    <x v="1320"/>
    <x v="24"/>
    <s v="United States"/>
    <x v="7"/>
    <n v="40"/>
    <n v="0.3"/>
    <n v="173"/>
    <x v="706"/>
    <x v="3"/>
    <x v="2"/>
    <x v="4"/>
    <n v="0"/>
    <x v="0"/>
  </r>
  <r>
    <x v="779"/>
    <x v="2"/>
    <s v="United States"/>
    <x v="7"/>
    <n v="22"/>
    <n v="0.08"/>
    <n v="181"/>
    <x v="706"/>
    <x v="3"/>
    <x v="2"/>
    <x v="4"/>
    <n v="0"/>
    <x v="0"/>
  </r>
  <r>
    <x v="1321"/>
    <x v="14"/>
    <s v="Germany"/>
    <x v="7"/>
    <n v="120"/>
    <n v="0.2"/>
    <n v="330"/>
    <x v="707"/>
    <x v="3"/>
    <x v="2"/>
    <x v="4"/>
    <n v="0"/>
    <x v="0"/>
  </r>
  <r>
    <x v="1322"/>
    <x v="2"/>
    <s v="India"/>
    <x v="3"/>
    <n v="30"/>
    <s v="NULL"/>
    <n v="254"/>
    <x v="707"/>
    <x v="3"/>
    <x v="2"/>
    <x v="4"/>
    <s v="NULL"/>
    <x v="0"/>
  </r>
  <r>
    <x v="1323"/>
    <x v="14"/>
    <s v="United States"/>
    <x v="1"/>
    <s v="NULL"/>
    <s v="NULL"/>
    <n v="219"/>
    <x v="707"/>
    <x v="3"/>
    <x v="2"/>
    <x v="4"/>
    <s v="NULL"/>
    <x v="1"/>
  </r>
  <r>
    <x v="1324"/>
    <x v="9"/>
    <s v="Singapore"/>
    <x v="2"/>
    <s v="NULL"/>
    <s v="NULL"/>
    <n v="88"/>
    <x v="707"/>
    <x v="3"/>
    <x v="2"/>
    <x v="3"/>
    <s v="NULL"/>
    <x v="1"/>
  </r>
  <r>
    <x v="577"/>
    <x v="24"/>
    <s v="United States"/>
    <x v="3"/>
    <s v="NULL"/>
    <s v="NULL"/>
    <n v="109"/>
    <x v="707"/>
    <x v="3"/>
    <x v="2"/>
    <x v="4"/>
    <s v="NULL"/>
    <x v="1"/>
  </r>
  <r>
    <x v="1063"/>
    <x v="13"/>
    <s v="United States"/>
    <x v="4"/>
    <n v="164"/>
    <n v="0.14000000000000001"/>
    <n v="224"/>
    <x v="708"/>
    <x v="3"/>
    <x v="2"/>
    <x v="4"/>
    <n v="0"/>
    <x v="0"/>
  </r>
  <r>
    <x v="1060"/>
    <x v="23"/>
    <s v="United States"/>
    <x v="3"/>
    <n v="130"/>
    <n v="0.1"/>
    <n v="817"/>
    <x v="709"/>
    <x v="3"/>
    <x v="2"/>
    <x v="4"/>
    <n v="0"/>
    <x v="0"/>
  </r>
  <r>
    <x v="1325"/>
    <x v="8"/>
    <s v="United States"/>
    <x v="0"/>
    <n v="53"/>
    <n v="0.1"/>
    <s v="NULL"/>
    <x v="709"/>
    <x v="3"/>
    <x v="2"/>
    <x v="1"/>
    <n v="0"/>
    <x v="0"/>
  </r>
  <r>
    <x v="1326"/>
    <x v="5"/>
    <s v="United Kingdom"/>
    <x v="9"/>
    <n v="180"/>
    <s v="NULL"/>
    <n v="292"/>
    <x v="710"/>
    <x v="3"/>
    <x v="2"/>
    <x v="4"/>
    <s v="NULL"/>
    <x v="0"/>
  </r>
  <r>
    <x v="733"/>
    <x v="10"/>
    <s v="India"/>
    <x v="2"/>
    <n v="75"/>
    <n v="0.3"/>
    <n v="50"/>
    <x v="710"/>
    <x v="3"/>
    <x v="2"/>
    <x v="3"/>
    <n v="0"/>
    <x v="0"/>
  </r>
  <r>
    <x v="1327"/>
    <x v="18"/>
    <s v="Germany"/>
    <x v="6"/>
    <n v="35"/>
    <s v="NULL"/>
    <n v="12"/>
    <x v="710"/>
    <x v="3"/>
    <x v="2"/>
    <x v="3"/>
    <s v="NULL"/>
    <x v="0"/>
  </r>
  <r>
    <x v="509"/>
    <x v="4"/>
    <s v="France"/>
    <x v="5"/>
    <n v="13"/>
    <s v="NULL"/>
    <n v="22"/>
    <x v="710"/>
    <x v="3"/>
    <x v="2"/>
    <x v="3"/>
    <s v="NULL"/>
    <x v="0"/>
  </r>
  <r>
    <x v="1328"/>
    <x v="1"/>
    <s v="United States"/>
    <x v="1"/>
    <s v="NULL"/>
    <n v="0.12"/>
    <n v="244"/>
    <x v="710"/>
    <x v="3"/>
    <x v="2"/>
    <x v="4"/>
    <n v="0"/>
    <x v="0"/>
  </r>
  <r>
    <x v="659"/>
    <x v="21"/>
    <s v="United States"/>
    <x v="4"/>
    <n v="172"/>
    <n v="0.12"/>
    <n v="643"/>
    <x v="711"/>
    <x v="3"/>
    <x v="2"/>
    <x v="4"/>
    <n v="0"/>
    <x v="0"/>
  </r>
  <r>
    <x v="1329"/>
    <x v="10"/>
    <s v="United States"/>
    <x v="1"/>
    <n v="120"/>
    <n v="0.11"/>
    <s v="NULL"/>
    <x v="711"/>
    <x v="3"/>
    <x v="2"/>
    <x v="1"/>
    <n v="0"/>
    <x v="0"/>
  </r>
  <r>
    <x v="1330"/>
    <x v="18"/>
    <s v="Germany"/>
    <x v="2"/>
    <n v="100"/>
    <n v="0.16"/>
    <n v="1000"/>
    <x v="711"/>
    <x v="3"/>
    <x v="2"/>
    <x v="2"/>
    <n v="0"/>
    <x v="0"/>
  </r>
  <r>
    <x v="1288"/>
    <x v="12"/>
    <s v="Israel"/>
    <x v="0"/>
    <n v="60"/>
    <n v="7.0000000000000007E-2"/>
    <n v="900"/>
    <x v="711"/>
    <x v="3"/>
    <x v="2"/>
    <x v="4"/>
    <n v="0"/>
    <x v="0"/>
  </r>
  <r>
    <x v="1331"/>
    <x v="6"/>
    <s v="China"/>
    <x v="10"/>
    <s v="NULL"/>
    <n v="7.0000000000000007E-2"/>
    <s v="NULL"/>
    <x v="711"/>
    <x v="3"/>
    <x v="2"/>
    <x v="1"/>
    <n v="0"/>
    <x v="0"/>
  </r>
  <r>
    <x v="1332"/>
    <x v="21"/>
    <s v="Poland"/>
    <x v="7"/>
    <s v="NULL"/>
    <n v="0.3"/>
    <n v="148"/>
    <x v="711"/>
    <x v="3"/>
    <x v="2"/>
    <x v="4"/>
    <n v="0"/>
    <x v="0"/>
  </r>
  <r>
    <x v="1333"/>
    <x v="18"/>
    <s v="India"/>
    <x v="10"/>
    <n v="1000"/>
    <s v="NULL"/>
    <s v="NULL"/>
    <x v="712"/>
    <x v="3"/>
    <x v="2"/>
    <x v="1"/>
    <s v="NULL"/>
    <x v="0"/>
  </r>
  <r>
    <x v="124"/>
    <x v="12"/>
    <s v="Israel"/>
    <x v="0"/>
    <n v="30"/>
    <s v="NULL"/>
    <s v="NULL"/>
    <x v="712"/>
    <x v="3"/>
    <x v="2"/>
    <x v="1"/>
    <s v="NULL"/>
    <x v="0"/>
  </r>
  <r>
    <x v="1334"/>
    <x v="1"/>
    <s v="Germany"/>
    <x v="3"/>
    <s v="NULL"/>
    <n v="0.08"/>
    <n v="542"/>
    <x v="712"/>
    <x v="3"/>
    <x v="2"/>
    <x v="4"/>
    <n v="0"/>
    <x v="0"/>
  </r>
  <r>
    <x v="1335"/>
    <x v="14"/>
    <s v="United Kingdom"/>
    <x v="7"/>
    <s v="NULL"/>
    <s v="NULL"/>
    <n v="119"/>
    <x v="712"/>
    <x v="3"/>
    <x v="2"/>
    <x v="4"/>
    <s v="NULL"/>
    <x v="1"/>
  </r>
  <r>
    <x v="1124"/>
    <x v="16"/>
    <s v="United States"/>
    <x v="0"/>
    <n v="62"/>
    <s v="NULL"/>
    <n v="30"/>
    <x v="713"/>
    <x v="3"/>
    <x v="2"/>
    <x v="3"/>
    <s v="NULL"/>
    <x v="0"/>
  </r>
  <r>
    <x v="1336"/>
    <x v="14"/>
    <s v="United States"/>
    <x v="8"/>
    <s v="NULL"/>
    <n v="1"/>
    <n v="20"/>
    <x v="713"/>
    <x v="3"/>
    <x v="2"/>
    <x v="3"/>
    <n v="1"/>
    <x v="0"/>
  </r>
  <r>
    <x v="1337"/>
    <x v="5"/>
    <s v="United States"/>
    <x v="3"/>
    <s v="NULL"/>
    <n v="1"/>
    <s v="NULL"/>
    <x v="713"/>
    <x v="3"/>
    <x v="2"/>
    <x v="1"/>
    <n v="1"/>
    <x v="0"/>
  </r>
  <r>
    <x v="1338"/>
    <x v="20"/>
    <s v="United States"/>
    <x v="2"/>
    <s v="NULL"/>
    <s v="NULL"/>
    <n v="30"/>
    <x v="713"/>
    <x v="3"/>
    <x v="2"/>
    <x v="3"/>
    <s v="NULL"/>
    <x v="1"/>
  </r>
  <r>
    <x v="1339"/>
    <x v="5"/>
    <s v="United States"/>
    <x v="1"/>
    <s v="NULL"/>
    <s v="NULL"/>
    <s v="NULL"/>
    <x v="714"/>
    <x v="3"/>
    <x v="2"/>
    <x v="1"/>
    <s v="NULL"/>
    <x v="1"/>
  </r>
  <r>
    <x v="1340"/>
    <x v="14"/>
    <s v="Germany"/>
    <x v="2"/>
    <n v="30"/>
    <s v="NULL"/>
    <n v="150"/>
    <x v="715"/>
    <x v="3"/>
    <x v="2"/>
    <x v="4"/>
    <s v="NULL"/>
    <x v="0"/>
  </r>
  <r>
    <x v="1341"/>
    <x v="14"/>
    <s v="United States"/>
    <x v="7"/>
    <n v="63"/>
    <n v="0.14000000000000001"/>
    <n v="621"/>
    <x v="716"/>
    <x v="3"/>
    <x v="2"/>
    <x v="4"/>
    <n v="0"/>
    <x v="0"/>
  </r>
  <r>
    <x v="1342"/>
    <x v="19"/>
    <s v="United States"/>
    <x v="8"/>
    <s v="NULL"/>
    <s v="NULL"/>
    <n v="17"/>
    <x v="716"/>
    <x v="3"/>
    <x v="2"/>
    <x v="3"/>
    <s v="NULL"/>
    <x v="1"/>
  </r>
  <r>
    <x v="1343"/>
    <x v="6"/>
    <s v="United States"/>
    <x v="7"/>
    <s v="NULL"/>
    <n v="0.15"/>
    <n v="414"/>
    <x v="716"/>
    <x v="3"/>
    <x v="2"/>
    <x v="4"/>
    <n v="0"/>
    <x v="0"/>
  </r>
  <r>
    <x v="1344"/>
    <x v="0"/>
    <s v="Israel"/>
    <x v="6"/>
    <s v="NULL"/>
    <n v="1"/>
    <n v="15"/>
    <x v="716"/>
    <x v="3"/>
    <x v="2"/>
    <x v="3"/>
    <n v="1"/>
    <x v="0"/>
  </r>
  <r>
    <x v="1345"/>
    <x v="18"/>
    <s v="United States"/>
    <x v="5"/>
    <s v="NULL"/>
    <s v="NULL"/>
    <n v="150"/>
    <x v="716"/>
    <x v="3"/>
    <x v="2"/>
    <x v="4"/>
    <s v="NULL"/>
    <x v="1"/>
  </r>
  <r>
    <x v="928"/>
    <x v="11"/>
    <s v="United States"/>
    <x v="0"/>
    <s v="NULL"/>
    <n v="0.3"/>
    <n v="648"/>
    <x v="716"/>
    <x v="3"/>
    <x v="2"/>
    <x v="4"/>
    <n v="0"/>
    <x v="0"/>
  </r>
  <r>
    <x v="463"/>
    <x v="14"/>
    <s v="United States"/>
    <x v="3"/>
    <n v="40"/>
    <n v="0.1"/>
    <n v="480"/>
    <x v="717"/>
    <x v="3"/>
    <x v="2"/>
    <x v="4"/>
    <n v="0"/>
    <x v="0"/>
  </r>
  <r>
    <x v="1346"/>
    <x v="0"/>
    <s v="United States"/>
    <x v="9"/>
    <s v="NULL"/>
    <n v="0.4"/>
    <n v="425"/>
    <x v="717"/>
    <x v="3"/>
    <x v="2"/>
    <x v="4"/>
    <n v="0"/>
    <x v="0"/>
  </r>
  <r>
    <x v="1285"/>
    <x v="5"/>
    <s v="United States"/>
    <x v="1"/>
    <n v="3000"/>
    <n v="0.11"/>
    <s v="NULL"/>
    <x v="718"/>
    <x v="3"/>
    <x v="2"/>
    <x v="1"/>
    <n v="0"/>
    <x v="0"/>
  </r>
  <r>
    <x v="405"/>
    <x v="14"/>
    <s v="United Kingdom"/>
    <x v="11"/>
    <n v="420"/>
    <n v="0.26"/>
    <n v="700"/>
    <x v="718"/>
    <x v="3"/>
    <x v="2"/>
    <x v="4"/>
    <n v="0"/>
    <x v="0"/>
  </r>
  <r>
    <x v="1347"/>
    <x v="14"/>
    <s v="United States"/>
    <x v="0"/>
    <n v="45"/>
    <n v="0.03"/>
    <n v="481"/>
    <x v="718"/>
    <x v="3"/>
    <x v="2"/>
    <x v="4"/>
    <n v="0"/>
    <x v="0"/>
  </r>
  <r>
    <x v="1348"/>
    <x v="23"/>
    <s v="United States"/>
    <x v="3"/>
    <s v="NULL"/>
    <s v="NULL"/>
    <n v="7"/>
    <x v="718"/>
    <x v="3"/>
    <x v="2"/>
    <x v="0"/>
    <s v="NULL"/>
    <x v="1"/>
  </r>
  <r>
    <x v="1349"/>
    <x v="14"/>
    <s v="Brazil"/>
    <x v="8"/>
    <s v="NULL"/>
    <n v="0.85"/>
    <n v="20"/>
    <x v="718"/>
    <x v="3"/>
    <x v="2"/>
    <x v="3"/>
    <n v="0"/>
    <x v="0"/>
  </r>
  <r>
    <x v="1350"/>
    <x v="18"/>
    <s v="United States"/>
    <x v="3"/>
    <s v="NULL"/>
    <n v="1"/>
    <n v="30"/>
    <x v="719"/>
    <x v="3"/>
    <x v="2"/>
    <x v="3"/>
    <n v="1"/>
    <x v="0"/>
  </r>
  <r>
    <x v="1351"/>
    <x v="11"/>
    <s v="United States"/>
    <x v="7"/>
    <n v="340"/>
    <n v="0.3"/>
    <n v="2100"/>
    <x v="720"/>
    <x v="3"/>
    <x v="2"/>
    <x v="2"/>
    <n v="0"/>
    <x v="0"/>
  </r>
  <r>
    <x v="1352"/>
    <x v="11"/>
    <s v="Romania"/>
    <x v="0"/>
    <n v="172"/>
    <s v="NULL"/>
    <n v="30"/>
    <x v="720"/>
    <x v="3"/>
    <x v="2"/>
    <x v="3"/>
    <s v="NULL"/>
    <x v="0"/>
  </r>
  <r>
    <x v="1353"/>
    <x v="14"/>
    <s v="India"/>
    <x v="1"/>
    <n v="160"/>
    <n v="0.35"/>
    <n v="21"/>
    <x v="720"/>
    <x v="3"/>
    <x v="2"/>
    <x v="3"/>
    <n v="0"/>
    <x v="0"/>
  </r>
  <r>
    <x v="1354"/>
    <x v="2"/>
    <s v="United States"/>
    <x v="3"/>
    <n v="79"/>
    <n v="0.33"/>
    <s v="NULL"/>
    <x v="720"/>
    <x v="3"/>
    <x v="2"/>
    <x v="1"/>
    <n v="0"/>
    <x v="0"/>
  </r>
  <r>
    <x v="1355"/>
    <x v="5"/>
    <s v="India"/>
    <x v="5"/>
    <n v="20"/>
    <s v="NULL"/>
    <n v="87"/>
    <x v="720"/>
    <x v="3"/>
    <x v="2"/>
    <x v="3"/>
    <s v="NULL"/>
    <x v="0"/>
  </r>
  <r>
    <x v="1356"/>
    <x v="27"/>
    <s v="United States"/>
    <x v="7"/>
    <s v="NULL"/>
    <n v="0.1"/>
    <n v="298"/>
    <x v="720"/>
    <x v="3"/>
    <x v="2"/>
    <x v="4"/>
    <n v="0"/>
    <x v="0"/>
  </r>
  <r>
    <x v="1357"/>
    <x v="9"/>
    <s v="United States"/>
    <x v="8"/>
    <s v="NULL"/>
    <n v="1"/>
    <n v="43"/>
    <x v="720"/>
    <x v="3"/>
    <x v="2"/>
    <x v="3"/>
    <n v="1"/>
    <x v="0"/>
  </r>
  <r>
    <x v="710"/>
    <x v="18"/>
    <s v="Chile"/>
    <x v="1"/>
    <n v="250"/>
    <n v="0.11"/>
    <n v="31"/>
    <x v="721"/>
    <x v="3"/>
    <x v="2"/>
    <x v="3"/>
    <n v="0"/>
    <x v="0"/>
  </r>
  <r>
    <x v="1358"/>
    <x v="14"/>
    <s v="United States"/>
    <x v="11"/>
    <n v="97"/>
    <s v="NULL"/>
    <n v="992"/>
    <x v="721"/>
    <x v="3"/>
    <x v="2"/>
    <x v="4"/>
    <s v="NULL"/>
    <x v="0"/>
  </r>
  <r>
    <x v="1359"/>
    <x v="27"/>
    <s v="United States"/>
    <x v="0"/>
    <s v="NULL"/>
    <n v="0.08"/>
    <n v="233"/>
    <x v="721"/>
    <x v="3"/>
    <x v="2"/>
    <x v="4"/>
    <n v="0"/>
    <x v="0"/>
  </r>
  <r>
    <x v="0"/>
    <x v="0"/>
    <s v="United States"/>
    <x v="0"/>
    <n v="158"/>
    <s v="NULL"/>
    <n v="1"/>
    <x v="722"/>
    <x v="3"/>
    <x v="2"/>
    <x v="0"/>
    <s v="NULL"/>
    <x v="0"/>
  </r>
  <r>
    <x v="1360"/>
    <x v="2"/>
    <s v="Australia"/>
    <x v="0"/>
    <n v="70"/>
    <n v="0.23"/>
    <n v="55"/>
    <x v="722"/>
    <x v="3"/>
    <x v="2"/>
    <x v="3"/>
    <n v="0"/>
    <x v="0"/>
  </r>
  <r>
    <x v="1361"/>
    <x v="0"/>
    <s v="United States"/>
    <x v="0"/>
    <n v="60"/>
    <n v="0.06"/>
    <n v="235"/>
    <x v="722"/>
    <x v="3"/>
    <x v="2"/>
    <x v="4"/>
    <n v="0"/>
    <x v="0"/>
  </r>
  <r>
    <x v="1011"/>
    <x v="8"/>
    <s v="United States"/>
    <x v="1"/>
    <n v="58"/>
    <n v="0.1"/>
    <n v="153"/>
    <x v="722"/>
    <x v="3"/>
    <x v="2"/>
    <x v="4"/>
    <n v="0"/>
    <x v="0"/>
  </r>
  <r>
    <x v="489"/>
    <x v="3"/>
    <s v="United States"/>
    <x v="0"/>
    <n v="290"/>
    <n v="0.03"/>
    <n v="35"/>
    <x v="723"/>
    <x v="3"/>
    <x v="2"/>
    <x v="3"/>
    <n v="0"/>
    <x v="0"/>
  </r>
  <r>
    <x v="1362"/>
    <x v="3"/>
    <s v="United States"/>
    <x v="1"/>
    <n v="100"/>
    <n v="0.14000000000000001"/>
    <n v="154"/>
    <x v="723"/>
    <x v="3"/>
    <x v="2"/>
    <x v="4"/>
    <n v="0"/>
    <x v="0"/>
  </r>
  <r>
    <x v="1210"/>
    <x v="0"/>
    <s v="Israel"/>
    <x v="0"/>
    <n v="80"/>
    <n v="0.06"/>
    <n v="91"/>
    <x v="723"/>
    <x v="3"/>
    <x v="2"/>
    <x v="3"/>
    <n v="0"/>
    <x v="0"/>
  </r>
  <r>
    <x v="1243"/>
    <x v="4"/>
    <s v="United States"/>
    <x v="3"/>
    <s v="NULL"/>
    <s v="NULL"/>
    <n v="32"/>
    <x v="723"/>
    <x v="3"/>
    <x v="2"/>
    <x v="3"/>
    <s v="NULL"/>
    <x v="1"/>
  </r>
  <r>
    <x v="1363"/>
    <x v="14"/>
    <s v="United States"/>
    <x v="0"/>
    <s v="NULL"/>
    <n v="0.15"/>
    <n v="530"/>
    <x v="723"/>
    <x v="3"/>
    <x v="2"/>
    <x v="4"/>
    <n v="0"/>
    <x v="0"/>
  </r>
  <r>
    <x v="73"/>
    <x v="8"/>
    <s v="United States"/>
    <x v="1"/>
    <n v="716"/>
    <n v="0.04"/>
    <n v="154"/>
    <x v="724"/>
    <x v="3"/>
    <x v="2"/>
    <x v="4"/>
    <n v="0"/>
    <x v="0"/>
  </r>
  <r>
    <x v="1102"/>
    <x v="21"/>
    <s v="India"/>
    <x v="3"/>
    <n v="100"/>
    <s v="NULL"/>
    <n v="121"/>
    <x v="724"/>
    <x v="3"/>
    <x v="2"/>
    <x v="4"/>
    <s v="NULL"/>
    <x v="0"/>
  </r>
  <r>
    <x v="1364"/>
    <x v="5"/>
    <s v="Israel"/>
    <x v="7"/>
    <n v="70"/>
    <n v="0.6"/>
    <s v="NULL"/>
    <x v="724"/>
    <x v="3"/>
    <x v="2"/>
    <x v="1"/>
    <n v="0"/>
    <x v="0"/>
  </r>
  <r>
    <x v="1365"/>
    <x v="14"/>
    <s v="United States"/>
    <x v="6"/>
    <n v="5"/>
    <s v="NULL"/>
    <n v="11"/>
    <x v="724"/>
    <x v="3"/>
    <x v="2"/>
    <x v="3"/>
    <s v="NULL"/>
    <x v="0"/>
  </r>
  <r>
    <x v="1366"/>
    <x v="9"/>
    <s v="Australia"/>
    <x v="3"/>
    <s v="NULL"/>
    <n v="1"/>
    <n v="27"/>
    <x v="724"/>
    <x v="3"/>
    <x v="2"/>
    <x v="3"/>
    <n v="1"/>
    <x v="0"/>
  </r>
  <r>
    <x v="1367"/>
    <x v="5"/>
    <s v="United States"/>
    <x v="0"/>
    <n v="270"/>
    <n v="0.25"/>
    <n v="503"/>
    <x v="725"/>
    <x v="3"/>
    <x v="2"/>
    <x v="4"/>
    <n v="0"/>
    <x v="0"/>
  </r>
  <r>
    <x v="1368"/>
    <x v="2"/>
    <s v="India"/>
    <x v="4"/>
    <n v="251"/>
    <n v="0.15"/>
    <n v="1100"/>
    <x v="725"/>
    <x v="3"/>
    <x v="2"/>
    <x v="2"/>
    <n v="0"/>
    <x v="0"/>
  </r>
  <r>
    <x v="1369"/>
    <x v="21"/>
    <s v="India"/>
    <x v="2"/>
    <n v="70"/>
    <s v="NULL"/>
    <n v="118"/>
    <x v="725"/>
    <x v="3"/>
    <x v="2"/>
    <x v="4"/>
    <s v="NULL"/>
    <x v="0"/>
  </r>
  <r>
    <x v="1370"/>
    <x v="14"/>
    <s v="United States"/>
    <x v="2"/>
    <s v="NULL"/>
    <n v="0.33"/>
    <n v="45"/>
    <x v="725"/>
    <x v="3"/>
    <x v="2"/>
    <x v="3"/>
    <n v="0"/>
    <x v="0"/>
  </r>
  <r>
    <x v="101"/>
    <x v="2"/>
    <s v="Canada"/>
    <x v="0"/>
    <n v="2300"/>
    <n v="0.2"/>
    <n v="122"/>
    <x v="726"/>
    <x v="3"/>
    <x v="2"/>
    <x v="4"/>
    <n v="0"/>
    <x v="0"/>
  </r>
  <r>
    <x v="1371"/>
    <x v="13"/>
    <s v="United States"/>
    <x v="0"/>
    <n v="1100"/>
    <n v="0.15"/>
    <n v="1700"/>
    <x v="726"/>
    <x v="3"/>
    <x v="2"/>
    <x v="2"/>
    <n v="0"/>
    <x v="0"/>
  </r>
  <r>
    <x v="1372"/>
    <x v="10"/>
    <s v="United States"/>
    <x v="3"/>
    <n v="90"/>
    <n v="1"/>
    <s v="NULL"/>
    <x v="726"/>
    <x v="3"/>
    <x v="2"/>
    <x v="1"/>
    <n v="1"/>
    <x v="0"/>
  </r>
  <r>
    <x v="1373"/>
    <x v="9"/>
    <s v="United States"/>
    <x v="2"/>
    <n v="30"/>
    <n v="0.33"/>
    <n v="205"/>
    <x v="726"/>
    <x v="3"/>
    <x v="2"/>
    <x v="4"/>
    <n v="0"/>
    <x v="0"/>
  </r>
  <r>
    <x v="1374"/>
    <x v="14"/>
    <s v="Israel"/>
    <x v="3"/>
    <n v="30"/>
    <n v="0.1"/>
    <n v="100"/>
    <x v="726"/>
    <x v="3"/>
    <x v="2"/>
    <x v="4"/>
    <n v="0"/>
    <x v="0"/>
  </r>
  <r>
    <x v="1375"/>
    <x v="2"/>
    <s v="Israel"/>
    <x v="8"/>
    <n v="20"/>
    <n v="0.28000000000000003"/>
    <n v="34"/>
    <x v="726"/>
    <x v="3"/>
    <x v="2"/>
    <x v="3"/>
    <n v="0"/>
    <x v="0"/>
  </r>
  <r>
    <x v="1376"/>
    <x v="6"/>
    <s v="United Kingdom"/>
    <x v="5"/>
    <s v="NULL"/>
    <n v="0.14000000000000001"/>
    <n v="70"/>
    <x v="726"/>
    <x v="3"/>
    <x v="2"/>
    <x v="3"/>
    <n v="0"/>
    <x v="0"/>
  </r>
  <r>
    <x v="407"/>
    <x v="0"/>
    <s v="United States"/>
    <x v="0"/>
    <n v="600"/>
    <n v="0.08"/>
    <n v="1300"/>
    <x v="727"/>
    <x v="3"/>
    <x v="2"/>
    <x v="2"/>
    <n v="0"/>
    <x v="0"/>
  </r>
  <r>
    <x v="89"/>
    <x v="0"/>
    <s v="United States"/>
    <x v="0"/>
    <n v="137"/>
    <n v="0.15"/>
    <n v="168"/>
    <x v="727"/>
    <x v="3"/>
    <x v="2"/>
    <x v="4"/>
    <n v="0"/>
    <x v="0"/>
  </r>
  <r>
    <x v="332"/>
    <x v="11"/>
    <s v="Indonesia"/>
    <x v="12"/>
    <n v="100"/>
    <s v="NULL"/>
    <n v="1300"/>
    <x v="727"/>
    <x v="3"/>
    <x v="2"/>
    <x v="2"/>
    <s v="NULL"/>
    <x v="0"/>
  </r>
  <r>
    <x v="375"/>
    <x v="10"/>
    <s v="United States"/>
    <x v="0"/>
    <n v="70"/>
    <n v="0.1"/>
    <n v="145"/>
    <x v="727"/>
    <x v="3"/>
    <x v="2"/>
    <x v="4"/>
    <n v="0"/>
    <x v="0"/>
  </r>
  <r>
    <x v="537"/>
    <x v="5"/>
    <s v="Israel"/>
    <x v="7"/>
    <n v="70"/>
    <n v="0.33"/>
    <n v="185"/>
    <x v="727"/>
    <x v="3"/>
    <x v="2"/>
    <x v="4"/>
    <n v="0"/>
    <x v="0"/>
  </r>
  <r>
    <x v="1377"/>
    <x v="0"/>
    <s v="United States"/>
    <x v="1"/>
    <n v="27"/>
    <s v="NULL"/>
    <n v="974"/>
    <x v="727"/>
    <x v="3"/>
    <x v="2"/>
    <x v="4"/>
    <s v="NULL"/>
    <x v="0"/>
  </r>
  <r>
    <x v="1378"/>
    <x v="4"/>
    <s v="United States"/>
    <x v="5"/>
    <n v="22"/>
    <n v="0.13"/>
    <n v="28"/>
    <x v="727"/>
    <x v="3"/>
    <x v="2"/>
    <x v="3"/>
    <n v="0"/>
    <x v="0"/>
  </r>
  <r>
    <x v="1379"/>
    <x v="5"/>
    <s v="United States"/>
    <x v="5"/>
    <s v="NULL"/>
    <n v="0.2"/>
    <n v="212"/>
    <x v="727"/>
    <x v="3"/>
    <x v="2"/>
    <x v="4"/>
    <n v="0"/>
    <x v="0"/>
  </r>
  <r>
    <x v="1380"/>
    <x v="3"/>
    <s v="United States"/>
    <x v="2"/>
    <n v="50"/>
    <n v="0.13"/>
    <n v="146"/>
    <x v="728"/>
    <x v="3"/>
    <x v="2"/>
    <x v="4"/>
    <n v="0"/>
    <x v="0"/>
  </r>
  <r>
    <x v="1381"/>
    <x v="11"/>
    <s v="Australia"/>
    <x v="2"/>
    <n v="27"/>
    <n v="0.08"/>
    <n v="105"/>
    <x v="728"/>
    <x v="3"/>
    <x v="2"/>
    <x v="4"/>
    <n v="0"/>
    <x v="0"/>
  </r>
  <r>
    <x v="1382"/>
    <x v="6"/>
    <s v="France"/>
    <x v="6"/>
    <s v="NULL"/>
    <n v="1"/>
    <s v="NULL"/>
    <x v="728"/>
    <x v="3"/>
    <x v="2"/>
    <x v="1"/>
    <n v="1"/>
    <x v="0"/>
  </r>
  <r>
    <x v="6"/>
    <x v="6"/>
    <s v="United States"/>
    <x v="3"/>
    <n v="250"/>
    <s v="NULL"/>
    <s v="NULL"/>
    <x v="729"/>
    <x v="3"/>
    <x v="2"/>
    <x v="1"/>
    <s v="NULL"/>
    <x v="0"/>
  </r>
  <r>
    <x v="1383"/>
    <x v="16"/>
    <s v="United States"/>
    <x v="2"/>
    <n v="34"/>
    <s v="NULL"/>
    <n v="114"/>
    <x v="729"/>
    <x v="3"/>
    <x v="2"/>
    <x v="4"/>
    <s v="NULL"/>
    <x v="0"/>
  </r>
  <r>
    <x v="1384"/>
    <x v="5"/>
    <s v="India"/>
    <x v="3"/>
    <s v="NULL"/>
    <s v="NULL"/>
    <n v="1600"/>
    <x v="729"/>
    <x v="3"/>
    <x v="2"/>
    <x v="2"/>
    <s v="NULL"/>
    <x v="1"/>
  </r>
  <r>
    <x v="1385"/>
    <x v="21"/>
    <s v="India"/>
    <x v="6"/>
    <n v="150"/>
    <s v="NULL"/>
    <n v="2"/>
    <x v="730"/>
    <x v="3"/>
    <x v="3"/>
    <x v="0"/>
    <s v="NULL"/>
    <x v="0"/>
  </r>
  <r>
    <x v="1386"/>
    <x v="6"/>
    <s v="India"/>
    <x v="3"/>
    <n v="177"/>
    <s v="NULL"/>
    <s v="NULL"/>
    <x v="731"/>
    <x v="3"/>
    <x v="3"/>
    <x v="1"/>
    <s v="NULL"/>
    <x v="0"/>
  </r>
  <r>
    <x v="660"/>
    <x v="5"/>
    <s v="United States"/>
    <x v="0"/>
    <n v="326"/>
    <n v="0.3"/>
    <n v="899"/>
    <x v="732"/>
    <x v="3"/>
    <x v="3"/>
    <x v="4"/>
    <n v="0"/>
    <x v="0"/>
  </r>
  <r>
    <x v="1039"/>
    <x v="14"/>
    <s v="Germany"/>
    <x v="11"/>
    <n v="71"/>
    <n v="0.04"/>
    <n v="1700"/>
    <x v="732"/>
    <x v="3"/>
    <x v="3"/>
    <x v="2"/>
    <n v="0"/>
    <x v="0"/>
  </r>
  <r>
    <x v="1387"/>
    <x v="5"/>
    <s v="United States"/>
    <x v="2"/>
    <n v="28"/>
    <s v="NULL"/>
    <n v="94"/>
    <x v="732"/>
    <x v="3"/>
    <x v="3"/>
    <x v="3"/>
    <s v="NULL"/>
    <x v="0"/>
  </r>
  <r>
    <x v="1388"/>
    <x v="1"/>
    <s v="United States"/>
    <x v="8"/>
    <s v="NULL"/>
    <n v="1"/>
    <n v="15"/>
    <x v="732"/>
    <x v="3"/>
    <x v="3"/>
    <x v="3"/>
    <n v="1"/>
    <x v="0"/>
  </r>
  <r>
    <x v="1389"/>
    <x v="18"/>
    <s v="Australia"/>
    <x v="3"/>
    <s v="NULL"/>
    <n v="1"/>
    <s v="NULL"/>
    <x v="732"/>
    <x v="3"/>
    <x v="3"/>
    <x v="1"/>
    <n v="1"/>
    <x v="0"/>
  </r>
  <r>
    <x v="500"/>
    <x v="0"/>
    <s v="United States"/>
    <x v="0"/>
    <n v="500"/>
    <n v="0.16"/>
    <n v="1700"/>
    <x v="733"/>
    <x v="3"/>
    <x v="3"/>
    <x v="2"/>
    <n v="0"/>
    <x v="0"/>
  </r>
  <r>
    <x v="1390"/>
    <x v="6"/>
    <s v="United States"/>
    <x v="0"/>
    <n v="320"/>
    <n v="0.11"/>
    <n v="613"/>
    <x v="733"/>
    <x v="3"/>
    <x v="3"/>
    <x v="4"/>
    <n v="0"/>
    <x v="0"/>
  </r>
  <r>
    <x v="834"/>
    <x v="11"/>
    <s v="United States"/>
    <x v="0"/>
    <n v="120"/>
    <n v="0.11"/>
    <n v="1300"/>
    <x v="733"/>
    <x v="3"/>
    <x v="3"/>
    <x v="2"/>
    <n v="0"/>
    <x v="0"/>
  </r>
  <r>
    <x v="1391"/>
    <x v="8"/>
    <s v="United States"/>
    <x v="9"/>
    <n v="100"/>
    <n v="0.12"/>
    <n v="110"/>
    <x v="733"/>
    <x v="3"/>
    <x v="3"/>
    <x v="4"/>
    <n v="0"/>
    <x v="0"/>
  </r>
  <r>
    <x v="1392"/>
    <x v="6"/>
    <s v="United States"/>
    <x v="2"/>
    <n v="90"/>
    <s v="NULL"/>
    <n v="150"/>
    <x v="733"/>
    <x v="3"/>
    <x v="3"/>
    <x v="4"/>
    <s v="NULL"/>
    <x v="0"/>
  </r>
  <r>
    <x v="1393"/>
    <x v="7"/>
    <s v="United States"/>
    <x v="1"/>
    <n v="85"/>
    <s v="NULL"/>
    <n v="30"/>
    <x v="733"/>
    <x v="3"/>
    <x v="3"/>
    <x v="3"/>
    <s v="NULL"/>
    <x v="0"/>
  </r>
  <r>
    <x v="1394"/>
    <x v="24"/>
    <s v="Australia"/>
    <x v="0"/>
    <n v="50"/>
    <n v="0.16"/>
    <n v="98"/>
    <x v="733"/>
    <x v="3"/>
    <x v="3"/>
    <x v="3"/>
    <n v="0"/>
    <x v="0"/>
  </r>
  <r>
    <x v="1395"/>
    <x v="2"/>
    <s v="Australia"/>
    <x v="5"/>
    <n v="45"/>
    <n v="0.2"/>
    <n v="26"/>
    <x v="733"/>
    <x v="3"/>
    <x v="3"/>
    <x v="3"/>
    <n v="0"/>
    <x v="0"/>
  </r>
  <r>
    <x v="510"/>
    <x v="0"/>
    <s v="United States"/>
    <x v="2"/>
    <n v="43"/>
    <n v="0.14000000000000001"/>
    <n v="140"/>
    <x v="733"/>
    <x v="3"/>
    <x v="3"/>
    <x v="4"/>
    <n v="0"/>
    <x v="0"/>
  </r>
  <r>
    <x v="1396"/>
    <x v="14"/>
    <s v="India"/>
    <x v="6"/>
    <n v="29"/>
    <n v="0.28999999999999998"/>
    <n v="5"/>
    <x v="733"/>
    <x v="3"/>
    <x v="3"/>
    <x v="0"/>
    <n v="0"/>
    <x v="0"/>
  </r>
  <r>
    <x v="1397"/>
    <x v="1"/>
    <s v="United States"/>
    <x v="5"/>
    <s v="NULL"/>
    <n v="0.5"/>
    <n v="110"/>
    <x v="733"/>
    <x v="3"/>
    <x v="3"/>
    <x v="4"/>
    <n v="0"/>
    <x v="0"/>
  </r>
  <r>
    <x v="1398"/>
    <x v="18"/>
    <s v="Singapore"/>
    <x v="2"/>
    <s v="NULL"/>
    <n v="0.25"/>
    <n v="9"/>
    <x v="733"/>
    <x v="3"/>
    <x v="3"/>
    <x v="0"/>
    <n v="0"/>
    <x v="0"/>
  </r>
  <r>
    <x v="594"/>
    <x v="11"/>
    <s v="United States"/>
    <x v="7"/>
    <s v="NULL"/>
    <s v="NULL"/>
    <n v="329"/>
    <x v="733"/>
    <x v="3"/>
    <x v="3"/>
    <x v="4"/>
    <s v="NULL"/>
    <x v="1"/>
  </r>
  <r>
    <x v="1399"/>
    <x v="21"/>
    <s v="India"/>
    <x v="3"/>
    <n v="300"/>
    <s v="NULL"/>
    <s v="NULL"/>
    <x v="734"/>
    <x v="3"/>
    <x v="3"/>
    <x v="1"/>
    <s v="NULL"/>
    <x v="0"/>
  </r>
  <r>
    <x v="1400"/>
    <x v="14"/>
    <s v="United States"/>
    <x v="2"/>
    <n v="30"/>
    <n v="0.33"/>
    <n v="79"/>
    <x v="734"/>
    <x v="3"/>
    <x v="3"/>
    <x v="3"/>
    <n v="0"/>
    <x v="0"/>
  </r>
  <r>
    <x v="1401"/>
    <x v="30"/>
    <s v="Canada"/>
    <x v="2"/>
    <s v="NULL"/>
    <n v="1"/>
    <n v="163"/>
    <x v="734"/>
    <x v="3"/>
    <x v="3"/>
    <x v="4"/>
    <n v="1"/>
    <x v="0"/>
  </r>
  <r>
    <x v="1209"/>
    <x v="21"/>
    <s v="India"/>
    <x v="8"/>
    <n v="400"/>
    <s v="NULL"/>
    <n v="17"/>
    <x v="735"/>
    <x v="3"/>
    <x v="3"/>
    <x v="3"/>
    <s v="NULL"/>
    <x v="0"/>
  </r>
  <r>
    <x v="1402"/>
    <x v="14"/>
    <s v="United States"/>
    <x v="7"/>
    <n v="115"/>
    <n v="0.5"/>
    <n v="272"/>
    <x v="735"/>
    <x v="3"/>
    <x v="3"/>
    <x v="4"/>
    <n v="0"/>
    <x v="0"/>
  </r>
  <r>
    <x v="1402"/>
    <x v="14"/>
    <s v="United States"/>
    <x v="7"/>
    <n v="70"/>
    <n v="0.3"/>
    <n v="272"/>
    <x v="735"/>
    <x v="3"/>
    <x v="3"/>
    <x v="4"/>
    <n v="0"/>
    <x v="0"/>
  </r>
  <r>
    <x v="1330"/>
    <x v="18"/>
    <s v="Germany"/>
    <x v="2"/>
    <n v="8000"/>
    <n v="0.4"/>
    <n v="1000"/>
    <x v="736"/>
    <x v="3"/>
    <x v="3"/>
    <x v="2"/>
    <n v="0"/>
    <x v="0"/>
  </r>
  <r>
    <x v="1403"/>
    <x v="0"/>
    <s v="United States"/>
    <x v="1"/>
    <n v="760"/>
    <n v="0.04"/>
    <s v="NULL"/>
    <x v="736"/>
    <x v="3"/>
    <x v="3"/>
    <x v="1"/>
    <n v="0"/>
    <x v="0"/>
  </r>
  <r>
    <x v="1404"/>
    <x v="24"/>
    <s v="United States"/>
    <x v="11"/>
    <n v="40"/>
    <n v="0.13"/>
    <n v="337"/>
    <x v="736"/>
    <x v="3"/>
    <x v="3"/>
    <x v="4"/>
    <n v="0"/>
    <x v="0"/>
  </r>
  <r>
    <x v="555"/>
    <x v="11"/>
    <s v="United States"/>
    <x v="0"/>
    <n v="1072"/>
    <n v="0.26"/>
    <n v="4900"/>
    <x v="737"/>
    <x v="3"/>
    <x v="3"/>
    <x v="2"/>
    <n v="0"/>
    <x v="0"/>
  </r>
  <r>
    <x v="1405"/>
    <x v="0"/>
    <s v="United States"/>
    <x v="4"/>
    <n v="74"/>
    <n v="0.09"/>
    <n v="411"/>
    <x v="737"/>
    <x v="3"/>
    <x v="3"/>
    <x v="4"/>
    <n v="0"/>
    <x v="0"/>
  </r>
  <r>
    <x v="325"/>
    <x v="21"/>
    <s v="United States"/>
    <x v="1"/>
    <s v="NULL"/>
    <s v="NULL"/>
    <n v="192"/>
    <x v="737"/>
    <x v="3"/>
    <x v="3"/>
    <x v="4"/>
    <s v="NULL"/>
    <x v="1"/>
  </r>
  <r>
    <x v="765"/>
    <x v="4"/>
    <s v="United States"/>
    <x v="0"/>
    <n v="180"/>
    <n v="0.15"/>
    <n v="696"/>
    <x v="738"/>
    <x v="3"/>
    <x v="3"/>
    <x v="4"/>
    <n v="0"/>
    <x v="0"/>
  </r>
  <r>
    <x v="616"/>
    <x v="1"/>
    <s v="India"/>
    <x v="2"/>
    <n v="78"/>
    <n v="0.3"/>
    <n v="50"/>
    <x v="738"/>
    <x v="3"/>
    <x v="3"/>
    <x v="3"/>
    <n v="0"/>
    <x v="0"/>
  </r>
  <r>
    <x v="1406"/>
    <x v="14"/>
    <s v="India"/>
    <x v="7"/>
    <n v="47"/>
    <s v="NULL"/>
    <n v="190"/>
    <x v="738"/>
    <x v="3"/>
    <x v="3"/>
    <x v="4"/>
    <s v="NULL"/>
    <x v="0"/>
  </r>
  <r>
    <x v="1407"/>
    <x v="7"/>
    <s v="United States"/>
    <x v="7"/>
    <n v="35"/>
    <n v="0.12"/>
    <n v="192"/>
    <x v="738"/>
    <x v="3"/>
    <x v="3"/>
    <x v="4"/>
    <n v="0"/>
    <x v="0"/>
  </r>
  <r>
    <x v="1408"/>
    <x v="4"/>
    <s v="United States"/>
    <x v="3"/>
    <s v="NULL"/>
    <n v="0.1"/>
    <s v="NULL"/>
    <x v="738"/>
    <x v="3"/>
    <x v="3"/>
    <x v="1"/>
    <n v="0"/>
    <x v="0"/>
  </r>
  <r>
    <x v="1409"/>
    <x v="14"/>
    <s v="Australia"/>
    <x v="3"/>
    <s v="NULL"/>
    <n v="0.1"/>
    <s v="NULL"/>
    <x v="738"/>
    <x v="3"/>
    <x v="3"/>
    <x v="1"/>
    <n v="0"/>
    <x v="0"/>
  </r>
  <r>
    <x v="310"/>
    <x v="12"/>
    <s v="United States"/>
    <x v="0"/>
    <s v="NULL"/>
    <s v="NULL"/>
    <n v="850"/>
    <x v="738"/>
    <x v="3"/>
    <x v="3"/>
    <x v="4"/>
    <s v="NULL"/>
    <x v="1"/>
  </r>
  <r>
    <x v="290"/>
    <x v="3"/>
    <s v="United States"/>
    <x v="0"/>
    <n v="623"/>
    <n v="0.09"/>
    <s v="NULL"/>
    <x v="739"/>
    <x v="3"/>
    <x v="3"/>
    <x v="1"/>
    <n v="0"/>
    <x v="0"/>
  </r>
  <r>
    <x v="1410"/>
    <x v="0"/>
    <s v="United States"/>
    <x v="0"/>
    <n v="112"/>
    <n v="0.1"/>
    <n v="307"/>
    <x v="739"/>
    <x v="3"/>
    <x v="3"/>
    <x v="4"/>
    <n v="0"/>
    <x v="0"/>
  </r>
  <r>
    <x v="34"/>
    <x v="16"/>
    <s v="United States"/>
    <x v="0"/>
    <n v="560"/>
    <n v="0.22"/>
    <n v="1900"/>
    <x v="740"/>
    <x v="3"/>
    <x v="3"/>
    <x v="2"/>
    <n v="0"/>
    <x v="0"/>
  </r>
  <r>
    <x v="1411"/>
    <x v="2"/>
    <s v="Saudi Arabia"/>
    <x v="3"/>
    <n v="340"/>
    <n v="0.1"/>
    <s v="NULL"/>
    <x v="740"/>
    <x v="3"/>
    <x v="3"/>
    <x v="1"/>
    <n v="0"/>
    <x v="0"/>
  </r>
  <r>
    <x v="8"/>
    <x v="7"/>
    <s v="Australia"/>
    <x v="4"/>
    <n v="90"/>
    <n v="0.09"/>
    <n v="257"/>
    <x v="740"/>
    <x v="3"/>
    <x v="3"/>
    <x v="4"/>
    <n v="0"/>
    <x v="0"/>
  </r>
  <r>
    <x v="1412"/>
    <x v="9"/>
    <s v="United States"/>
    <x v="2"/>
    <n v="16"/>
    <n v="0.09"/>
    <n v="149"/>
    <x v="740"/>
    <x v="3"/>
    <x v="3"/>
    <x v="4"/>
    <n v="0"/>
    <x v="0"/>
  </r>
  <r>
    <x v="1413"/>
    <x v="18"/>
    <s v="Australia"/>
    <x v="6"/>
    <s v="NULL"/>
    <n v="1"/>
    <n v="3"/>
    <x v="740"/>
    <x v="3"/>
    <x v="3"/>
    <x v="0"/>
    <n v="1"/>
    <x v="0"/>
  </r>
  <r>
    <x v="1414"/>
    <x v="1"/>
    <s v="Poland"/>
    <x v="6"/>
    <n v="120"/>
    <n v="0.25"/>
    <s v="NULL"/>
    <x v="741"/>
    <x v="3"/>
    <x v="3"/>
    <x v="1"/>
    <n v="0"/>
    <x v="0"/>
  </r>
  <r>
    <x v="1087"/>
    <x v="14"/>
    <s v="United States"/>
    <x v="7"/>
    <n v="81"/>
    <n v="0.15"/>
    <n v="304"/>
    <x v="741"/>
    <x v="3"/>
    <x v="3"/>
    <x v="4"/>
    <n v="0"/>
    <x v="0"/>
  </r>
  <r>
    <x v="570"/>
    <x v="21"/>
    <s v="Canada"/>
    <x v="7"/>
    <n v="81"/>
    <n v="0.03"/>
    <n v="389"/>
    <x v="741"/>
    <x v="3"/>
    <x v="3"/>
    <x v="4"/>
    <n v="0"/>
    <x v="0"/>
  </r>
  <r>
    <x v="1415"/>
    <x v="18"/>
    <s v="France"/>
    <x v="7"/>
    <n v="17"/>
    <n v="0.25"/>
    <n v="579"/>
    <x v="741"/>
    <x v="3"/>
    <x v="3"/>
    <x v="4"/>
    <n v="0"/>
    <x v="0"/>
  </r>
  <r>
    <x v="1161"/>
    <x v="14"/>
    <s v="India"/>
    <x v="8"/>
    <s v="NULL"/>
    <s v="NULL"/>
    <n v="42"/>
    <x v="741"/>
    <x v="3"/>
    <x v="3"/>
    <x v="3"/>
    <s v="NULL"/>
    <x v="1"/>
  </r>
  <r>
    <x v="1416"/>
    <x v="4"/>
    <s v="Philippines"/>
    <x v="5"/>
    <s v="NULL"/>
    <s v="NULL"/>
    <n v="94"/>
    <x v="741"/>
    <x v="3"/>
    <x v="3"/>
    <x v="3"/>
    <s v="NULL"/>
    <x v="1"/>
  </r>
  <r>
    <x v="1417"/>
    <x v="0"/>
    <s v="Switzerland"/>
    <x v="2"/>
    <s v="NULL"/>
    <n v="0.15"/>
    <s v="NULL"/>
    <x v="741"/>
    <x v="3"/>
    <x v="3"/>
    <x v="1"/>
    <n v="0"/>
    <x v="0"/>
  </r>
  <r>
    <x v="1418"/>
    <x v="3"/>
    <s v="Israel"/>
    <x v="3"/>
    <s v="NULL"/>
    <n v="1"/>
    <s v="NULL"/>
    <x v="742"/>
    <x v="3"/>
    <x v="3"/>
    <x v="1"/>
    <n v="1"/>
    <x v="0"/>
  </r>
  <r>
    <x v="1419"/>
    <x v="14"/>
    <s v="United States"/>
    <x v="5"/>
    <n v="75"/>
    <n v="0.2"/>
    <n v="85"/>
    <x v="743"/>
    <x v="3"/>
    <x v="3"/>
    <x v="3"/>
    <n v="0"/>
    <x v="0"/>
  </r>
  <r>
    <x v="1420"/>
    <x v="9"/>
    <s v="United States"/>
    <x v="8"/>
    <n v="17"/>
    <n v="0.17"/>
    <n v="18"/>
    <x v="743"/>
    <x v="3"/>
    <x v="3"/>
    <x v="3"/>
    <n v="0"/>
    <x v="0"/>
  </r>
  <r>
    <x v="1421"/>
    <x v="5"/>
    <s v="United States"/>
    <x v="2"/>
    <s v="NULL"/>
    <n v="0.18"/>
    <n v="127"/>
    <x v="743"/>
    <x v="3"/>
    <x v="3"/>
    <x v="4"/>
    <n v="0"/>
    <x v="0"/>
  </r>
  <r>
    <x v="1422"/>
    <x v="21"/>
    <s v="France"/>
    <x v="5"/>
    <s v="NULL"/>
    <n v="0.25"/>
    <n v="150"/>
    <x v="743"/>
    <x v="3"/>
    <x v="3"/>
    <x v="4"/>
    <n v="0"/>
    <x v="0"/>
  </r>
  <r>
    <x v="1423"/>
    <x v="18"/>
    <s v="Indonesia"/>
    <x v="5"/>
    <s v="NULL"/>
    <s v="NULL"/>
    <n v="139"/>
    <x v="743"/>
    <x v="3"/>
    <x v="3"/>
    <x v="4"/>
    <s v="NULL"/>
    <x v="1"/>
  </r>
  <r>
    <x v="17"/>
    <x v="3"/>
    <s v="United States"/>
    <x v="4"/>
    <n v="128"/>
    <s v="NULL"/>
    <n v="849"/>
    <x v="744"/>
    <x v="3"/>
    <x v="3"/>
    <x v="4"/>
    <s v="NULL"/>
    <x v="0"/>
  </r>
  <r>
    <x v="1424"/>
    <x v="6"/>
    <s v="United States"/>
    <x v="5"/>
    <n v="100"/>
    <n v="0.4"/>
    <n v="282"/>
    <x v="744"/>
    <x v="3"/>
    <x v="3"/>
    <x v="4"/>
    <n v="0"/>
    <x v="0"/>
  </r>
  <r>
    <x v="1425"/>
    <x v="4"/>
    <s v="India"/>
    <x v="6"/>
    <s v="NULL"/>
    <n v="1"/>
    <s v="NULL"/>
    <x v="744"/>
    <x v="3"/>
    <x v="3"/>
    <x v="1"/>
    <n v="1"/>
    <x v="0"/>
  </r>
  <r>
    <x v="1426"/>
    <x v="13"/>
    <s v="United Kingdom"/>
    <x v="8"/>
    <s v="NULL"/>
    <n v="1"/>
    <n v="20"/>
    <x v="744"/>
    <x v="3"/>
    <x v="3"/>
    <x v="3"/>
    <n v="1"/>
    <x v="0"/>
  </r>
  <r>
    <x v="1427"/>
    <x v="9"/>
    <s v="Nigeria"/>
    <x v="3"/>
    <s v="NULL"/>
    <n v="1"/>
    <s v="NULL"/>
    <x v="744"/>
    <x v="3"/>
    <x v="3"/>
    <x v="1"/>
    <n v="1"/>
    <x v="0"/>
  </r>
  <r>
    <x v="1428"/>
    <x v="19"/>
    <s v="United States"/>
    <x v="9"/>
    <s v="NULL"/>
    <s v="NULL"/>
    <n v="59"/>
    <x v="744"/>
    <x v="3"/>
    <x v="3"/>
    <x v="3"/>
    <s v="NULL"/>
    <x v="1"/>
  </r>
  <r>
    <x v="975"/>
    <x v="0"/>
    <s v="United States"/>
    <x v="0"/>
    <n v="300"/>
    <n v="0.04"/>
    <n v="366"/>
    <x v="745"/>
    <x v="3"/>
    <x v="3"/>
    <x v="4"/>
    <n v="0"/>
    <x v="0"/>
  </r>
  <r>
    <x v="1429"/>
    <x v="5"/>
    <s v="United States"/>
    <x v="0"/>
    <n v="140"/>
    <s v="NULL"/>
    <n v="347"/>
    <x v="745"/>
    <x v="3"/>
    <x v="3"/>
    <x v="4"/>
    <s v="NULL"/>
    <x v="0"/>
  </r>
  <r>
    <x v="255"/>
    <x v="5"/>
    <s v="United States"/>
    <x v="0"/>
    <n v="59"/>
    <s v="NULL"/>
    <n v="5900"/>
    <x v="745"/>
    <x v="3"/>
    <x v="3"/>
    <x v="2"/>
    <s v="NULL"/>
    <x v="0"/>
  </r>
  <r>
    <x v="1430"/>
    <x v="18"/>
    <s v="Australia"/>
    <x v="8"/>
    <n v="400"/>
    <n v="1"/>
    <n v="86"/>
    <x v="746"/>
    <x v="3"/>
    <x v="3"/>
    <x v="3"/>
    <n v="1"/>
    <x v="0"/>
  </r>
  <r>
    <x v="404"/>
    <x v="16"/>
    <s v="United States"/>
    <x v="0"/>
    <n v="201"/>
    <n v="0.04"/>
    <n v="320"/>
    <x v="746"/>
    <x v="3"/>
    <x v="3"/>
    <x v="4"/>
    <n v="0"/>
    <x v="0"/>
  </r>
  <r>
    <x v="1431"/>
    <x v="10"/>
    <s v="United Kingdom"/>
    <x v="5"/>
    <n v="80"/>
    <n v="0.4"/>
    <n v="105"/>
    <x v="746"/>
    <x v="3"/>
    <x v="3"/>
    <x v="4"/>
    <n v="0"/>
    <x v="0"/>
  </r>
  <r>
    <x v="1432"/>
    <x v="5"/>
    <s v="Chile"/>
    <x v="3"/>
    <n v="45"/>
    <n v="0.25"/>
    <n v="19"/>
    <x v="746"/>
    <x v="3"/>
    <x v="3"/>
    <x v="3"/>
    <n v="0"/>
    <x v="0"/>
  </r>
  <r>
    <x v="376"/>
    <x v="10"/>
    <s v="United States"/>
    <x v="0"/>
    <s v="NULL"/>
    <s v="NULL"/>
    <s v="NULL"/>
    <x v="746"/>
    <x v="3"/>
    <x v="3"/>
    <x v="1"/>
    <s v="NULL"/>
    <x v="1"/>
  </r>
  <r>
    <x v="1433"/>
    <x v="11"/>
    <s v="India"/>
    <x v="5"/>
    <s v="NULL"/>
    <n v="0.1"/>
    <n v="92"/>
    <x v="746"/>
    <x v="3"/>
    <x v="3"/>
    <x v="3"/>
    <n v="0"/>
    <x v="0"/>
  </r>
  <r>
    <x v="1434"/>
    <x v="21"/>
    <s v="United States"/>
    <x v="2"/>
    <s v="NULL"/>
    <s v="NULL"/>
    <n v="81"/>
    <x v="746"/>
    <x v="3"/>
    <x v="3"/>
    <x v="3"/>
    <s v="NULL"/>
    <x v="1"/>
  </r>
  <r>
    <x v="736"/>
    <x v="23"/>
    <s v="United States"/>
    <x v="7"/>
    <n v="45"/>
    <n v="0.08"/>
    <n v="399"/>
    <x v="747"/>
    <x v="3"/>
    <x v="3"/>
    <x v="4"/>
    <n v="0"/>
    <x v="0"/>
  </r>
  <r>
    <x v="548"/>
    <x v="26"/>
    <s v="United States"/>
    <x v="3"/>
    <n v="10"/>
    <n v="0.37"/>
    <n v="13"/>
    <x v="747"/>
    <x v="3"/>
    <x v="3"/>
    <x v="3"/>
    <n v="0"/>
    <x v="0"/>
  </r>
  <r>
    <x v="267"/>
    <x v="14"/>
    <s v="India"/>
    <x v="2"/>
    <n v="150"/>
    <n v="0.25"/>
    <n v="71"/>
    <x v="748"/>
    <x v="3"/>
    <x v="3"/>
    <x v="3"/>
    <n v="0"/>
    <x v="0"/>
  </r>
  <r>
    <x v="1435"/>
    <x v="5"/>
    <s v="India"/>
    <x v="7"/>
    <n v="41"/>
    <s v="NULL"/>
    <n v="222"/>
    <x v="749"/>
    <x v="3"/>
    <x v="3"/>
    <x v="4"/>
    <s v="NULL"/>
    <x v="0"/>
  </r>
  <r>
    <x v="1436"/>
    <x v="5"/>
    <s v="United States"/>
    <x v="0"/>
    <n v="170"/>
    <n v="0.92"/>
    <n v="409"/>
    <x v="750"/>
    <x v="3"/>
    <x v="3"/>
    <x v="4"/>
    <n v="0"/>
    <x v="0"/>
  </r>
  <r>
    <x v="1437"/>
    <x v="5"/>
    <s v="United States"/>
    <x v="5"/>
    <n v="100"/>
    <s v="NULL"/>
    <n v="138"/>
    <x v="750"/>
    <x v="3"/>
    <x v="3"/>
    <x v="4"/>
    <s v="NULL"/>
    <x v="0"/>
  </r>
  <r>
    <x v="924"/>
    <x v="14"/>
    <s v="India"/>
    <x v="5"/>
    <n v="100"/>
    <n v="0.2"/>
    <n v="120"/>
    <x v="750"/>
    <x v="3"/>
    <x v="3"/>
    <x v="4"/>
    <n v="0"/>
    <x v="0"/>
  </r>
  <r>
    <x v="1438"/>
    <x v="3"/>
    <s v="Canada"/>
    <x v="0"/>
    <n v="40"/>
    <n v="0.05"/>
    <s v="NULL"/>
    <x v="751"/>
    <x v="3"/>
    <x v="3"/>
    <x v="1"/>
    <n v="0"/>
    <x v="0"/>
  </r>
  <r>
    <x v="1439"/>
    <x v="11"/>
    <s v="Germany"/>
    <x v="6"/>
    <n v="16"/>
    <n v="1"/>
    <s v="NULL"/>
    <x v="751"/>
    <x v="3"/>
    <x v="3"/>
    <x v="1"/>
    <n v="1"/>
    <x v="0"/>
  </r>
  <r>
    <x v="558"/>
    <x v="18"/>
    <s v="India"/>
    <x v="3"/>
    <n v="300"/>
    <n v="0.3"/>
    <n v="382"/>
    <x v="752"/>
    <x v="3"/>
    <x v="3"/>
    <x v="4"/>
    <n v="0"/>
    <x v="0"/>
  </r>
  <r>
    <x v="1440"/>
    <x v="6"/>
    <s v="United States"/>
    <x v="0"/>
    <n v="99"/>
    <n v="0.13"/>
    <n v="311"/>
    <x v="752"/>
    <x v="3"/>
    <x v="3"/>
    <x v="4"/>
    <n v="0"/>
    <x v="0"/>
  </r>
  <r>
    <x v="1082"/>
    <x v="8"/>
    <s v="Canada"/>
    <x v="2"/>
    <n v="86"/>
    <n v="0.18"/>
    <n v="150"/>
    <x v="752"/>
    <x v="3"/>
    <x v="3"/>
    <x v="4"/>
    <n v="0"/>
    <x v="0"/>
  </r>
  <r>
    <x v="1441"/>
    <x v="2"/>
    <s v="India"/>
    <x v="2"/>
    <n v="600"/>
    <n v="0.4"/>
    <s v="NULL"/>
    <x v="753"/>
    <x v="3"/>
    <x v="3"/>
    <x v="1"/>
    <n v="0"/>
    <x v="0"/>
  </r>
  <r>
    <x v="1442"/>
    <x v="5"/>
    <s v="United States"/>
    <x v="1"/>
    <n v="135"/>
    <s v="NULL"/>
    <n v="96"/>
    <x v="753"/>
    <x v="3"/>
    <x v="3"/>
    <x v="3"/>
    <s v="NULL"/>
    <x v="0"/>
  </r>
  <r>
    <x v="764"/>
    <x v="2"/>
    <s v="Australia"/>
    <x v="3"/>
    <n v="40"/>
    <s v="NULL"/>
    <n v="30"/>
    <x v="753"/>
    <x v="3"/>
    <x v="3"/>
    <x v="3"/>
    <s v="NULL"/>
    <x v="0"/>
  </r>
  <r>
    <x v="1443"/>
    <x v="14"/>
    <s v="United States"/>
    <x v="2"/>
    <n v="15"/>
    <n v="0.2"/>
    <n v="37"/>
    <x v="753"/>
    <x v="3"/>
    <x v="3"/>
    <x v="3"/>
    <n v="0"/>
    <x v="0"/>
  </r>
  <r>
    <x v="1444"/>
    <x v="2"/>
    <s v="New Zealand"/>
    <x v="9"/>
    <s v="NULL"/>
    <s v="NULL"/>
    <s v="NULL"/>
    <x v="753"/>
    <x v="3"/>
    <x v="3"/>
    <x v="1"/>
    <s v="NULL"/>
    <x v="1"/>
  </r>
  <r>
    <x v="1445"/>
    <x v="0"/>
    <s v="United States"/>
    <x v="1"/>
    <n v="1000"/>
    <n v="0.2"/>
    <s v="NULL"/>
    <x v="754"/>
    <x v="3"/>
    <x v="3"/>
    <x v="1"/>
    <n v="0"/>
    <x v="0"/>
  </r>
  <r>
    <x v="1446"/>
    <x v="0"/>
    <s v="United States"/>
    <x v="0"/>
    <n v="170"/>
    <n v="0.23"/>
    <n v="2300"/>
    <x v="754"/>
    <x v="3"/>
    <x v="3"/>
    <x v="2"/>
    <n v="0"/>
    <x v="0"/>
  </r>
  <r>
    <x v="1447"/>
    <x v="14"/>
    <s v="United States"/>
    <x v="11"/>
    <n v="48"/>
    <n v="0.11"/>
    <n v="339"/>
    <x v="754"/>
    <x v="3"/>
    <x v="3"/>
    <x v="4"/>
    <n v="0"/>
    <x v="0"/>
  </r>
  <r>
    <x v="434"/>
    <x v="8"/>
    <s v="United States"/>
    <x v="3"/>
    <n v="15"/>
    <n v="0.12"/>
    <n v="42"/>
    <x v="754"/>
    <x v="3"/>
    <x v="3"/>
    <x v="3"/>
    <n v="0"/>
    <x v="0"/>
  </r>
  <r>
    <x v="470"/>
    <x v="2"/>
    <s v="United States"/>
    <x v="0"/>
    <s v="NULL"/>
    <s v="NULL"/>
    <n v="6200"/>
    <x v="754"/>
    <x v="3"/>
    <x v="3"/>
    <x v="2"/>
    <s v="NULL"/>
    <x v="1"/>
  </r>
  <r>
    <x v="902"/>
    <x v="14"/>
    <s v="United Kingdom"/>
    <x v="7"/>
    <s v="NULL"/>
    <s v="NULL"/>
    <n v="1800"/>
    <x v="754"/>
    <x v="3"/>
    <x v="3"/>
    <x v="2"/>
    <s v="NULL"/>
    <x v="1"/>
  </r>
  <r>
    <x v="1448"/>
    <x v="21"/>
    <s v="Spain"/>
    <x v="7"/>
    <n v="89"/>
    <n v="0.45"/>
    <n v="130"/>
    <x v="755"/>
    <x v="3"/>
    <x v="4"/>
    <x v="4"/>
    <n v="0"/>
    <x v="0"/>
  </r>
  <r>
    <x v="1449"/>
    <x v="6"/>
    <s v="United States"/>
    <x v="2"/>
    <s v="NULL"/>
    <s v="NULL"/>
    <n v="181"/>
    <x v="755"/>
    <x v="3"/>
    <x v="4"/>
    <x v="4"/>
    <s v="NULL"/>
    <x v="1"/>
  </r>
  <r>
    <x v="1450"/>
    <x v="4"/>
    <s v="China"/>
    <x v="1"/>
    <n v="200"/>
    <s v="NULL"/>
    <n v="683"/>
    <x v="756"/>
    <x v="3"/>
    <x v="4"/>
    <x v="4"/>
    <s v="NULL"/>
    <x v="0"/>
  </r>
  <r>
    <x v="1075"/>
    <x v="4"/>
    <s v="United States"/>
    <x v="0"/>
    <n v="200"/>
    <n v="0.06"/>
    <n v="208"/>
    <x v="756"/>
    <x v="3"/>
    <x v="4"/>
    <x v="4"/>
    <n v="0"/>
    <x v="0"/>
  </r>
  <r>
    <x v="1451"/>
    <x v="14"/>
    <s v="United States"/>
    <x v="0"/>
    <n v="150"/>
    <n v="0.13"/>
    <s v="NULL"/>
    <x v="756"/>
    <x v="3"/>
    <x v="4"/>
    <x v="1"/>
    <n v="0"/>
    <x v="0"/>
  </r>
  <r>
    <x v="1452"/>
    <x v="1"/>
    <s v="India"/>
    <x v="2"/>
    <n v="100"/>
    <n v="0.75"/>
    <n v="50"/>
    <x v="756"/>
    <x v="3"/>
    <x v="4"/>
    <x v="3"/>
    <n v="0"/>
    <x v="0"/>
  </r>
  <r>
    <x v="572"/>
    <x v="14"/>
    <s v="United States"/>
    <x v="8"/>
    <n v="19"/>
    <n v="0.25"/>
    <n v="24"/>
    <x v="756"/>
    <x v="3"/>
    <x v="4"/>
    <x v="3"/>
    <n v="0"/>
    <x v="0"/>
  </r>
  <r>
    <x v="1453"/>
    <x v="19"/>
    <s v="United States"/>
    <x v="5"/>
    <n v="17"/>
    <n v="0.15"/>
    <n v="116"/>
    <x v="756"/>
    <x v="3"/>
    <x v="4"/>
    <x v="4"/>
    <n v="0"/>
    <x v="0"/>
  </r>
  <r>
    <x v="145"/>
    <x v="4"/>
    <s v="Sweden"/>
    <x v="0"/>
    <n v="15"/>
    <s v="NULL"/>
    <n v="2100"/>
    <x v="756"/>
    <x v="3"/>
    <x v="4"/>
    <x v="2"/>
    <s v="NULL"/>
    <x v="0"/>
  </r>
  <r>
    <x v="1454"/>
    <x v="10"/>
    <s v="United States"/>
    <x v="3"/>
    <s v="NULL"/>
    <n v="0.17"/>
    <s v="NULL"/>
    <x v="756"/>
    <x v="3"/>
    <x v="4"/>
    <x v="1"/>
    <n v="0"/>
    <x v="0"/>
  </r>
  <r>
    <x v="1455"/>
    <x v="14"/>
    <s v="Singapore"/>
    <x v="3"/>
    <s v="NULL"/>
    <s v="NULL"/>
    <n v="44"/>
    <x v="756"/>
    <x v="3"/>
    <x v="4"/>
    <x v="3"/>
    <s v="NULL"/>
    <x v="1"/>
  </r>
  <r>
    <x v="1456"/>
    <x v="8"/>
    <s v="Singapore"/>
    <x v="1"/>
    <s v="NULL"/>
    <n v="0.9"/>
    <s v="NULL"/>
    <x v="756"/>
    <x v="3"/>
    <x v="4"/>
    <x v="1"/>
    <n v="0"/>
    <x v="0"/>
  </r>
  <r>
    <x v="1457"/>
    <x v="24"/>
    <s v="United States"/>
    <x v="0"/>
    <s v="NULL"/>
    <s v="NULL"/>
    <s v="NULL"/>
    <x v="756"/>
    <x v="3"/>
    <x v="4"/>
    <x v="1"/>
    <s v="NULL"/>
    <x v="1"/>
  </r>
  <r>
    <x v="1458"/>
    <x v="23"/>
    <s v="Mexico"/>
    <x v="5"/>
    <s v="NULL"/>
    <n v="0.15"/>
    <s v="NULL"/>
    <x v="756"/>
    <x v="3"/>
    <x v="4"/>
    <x v="1"/>
    <n v="0"/>
    <x v="0"/>
  </r>
  <r>
    <x v="615"/>
    <x v="21"/>
    <s v="India"/>
    <x v="13"/>
    <s v="NULL"/>
    <n v="0.12"/>
    <n v="838"/>
    <x v="756"/>
    <x v="3"/>
    <x v="4"/>
    <x v="4"/>
    <n v="0"/>
    <x v="0"/>
  </r>
  <r>
    <x v="1459"/>
    <x v="5"/>
    <s v="United States"/>
    <x v="1"/>
    <n v="800"/>
    <s v="NULL"/>
    <n v="5"/>
    <x v="757"/>
    <x v="3"/>
    <x v="4"/>
    <x v="0"/>
    <s v="NULL"/>
    <x v="0"/>
  </r>
  <r>
    <x v="350"/>
    <x v="1"/>
    <s v="United States"/>
    <x v="0"/>
    <n v="780"/>
    <n v="0.06"/>
    <n v="2"/>
    <x v="757"/>
    <x v="3"/>
    <x v="4"/>
    <x v="0"/>
    <n v="0"/>
    <x v="0"/>
  </r>
  <r>
    <x v="1460"/>
    <x v="12"/>
    <s v="United States"/>
    <x v="0"/>
    <n v="480"/>
    <s v="NULL"/>
    <s v="NULL"/>
    <x v="757"/>
    <x v="3"/>
    <x v="4"/>
    <x v="1"/>
    <s v="NULL"/>
    <x v="0"/>
  </r>
  <r>
    <x v="799"/>
    <x v="2"/>
    <s v="United States"/>
    <x v="1"/>
    <n v="100"/>
    <s v="NULL"/>
    <n v="119"/>
    <x v="757"/>
    <x v="3"/>
    <x v="4"/>
    <x v="4"/>
    <s v="NULL"/>
    <x v="0"/>
  </r>
  <r>
    <x v="1461"/>
    <x v="5"/>
    <s v="United States"/>
    <x v="0"/>
    <n v="23"/>
    <n v="0.28000000000000003"/>
    <n v="59"/>
    <x v="757"/>
    <x v="3"/>
    <x v="4"/>
    <x v="3"/>
    <n v="0"/>
    <x v="0"/>
  </r>
  <r>
    <x v="1462"/>
    <x v="0"/>
    <s v="Austria"/>
    <x v="2"/>
    <s v="NULL"/>
    <n v="0.25"/>
    <n v="37"/>
    <x v="757"/>
    <x v="3"/>
    <x v="4"/>
    <x v="3"/>
    <n v="0"/>
    <x v="0"/>
  </r>
  <r>
    <x v="1463"/>
    <x v="14"/>
    <s v="Nigeria"/>
    <x v="6"/>
    <s v="NULL"/>
    <s v="NULL"/>
    <n v="9"/>
    <x v="757"/>
    <x v="3"/>
    <x v="4"/>
    <x v="0"/>
    <s v="NULL"/>
    <x v="1"/>
  </r>
  <r>
    <x v="1024"/>
    <x v="11"/>
    <s v="United States"/>
    <x v="0"/>
    <s v="NULL"/>
    <n v="0.3"/>
    <n v="504"/>
    <x v="757"/>
    <x v="3"/>
    <x v="4"/>
    <x v="4"/>
    <n v="0"/>
    <x v="0"/>
  </r>
  <r>
    <x v="21"/>
    <x v="11"/>
    <s v="United States"/>
    <x v="0"/>
    <n v="1300"/>
    <n v="0.18"/>
    <n v="8300"/>
    <x v="758"/>
    <x v="3"/>
    <x v="4"/>
    <x v="2"/>
    <n v="0"/>
    <x v="0"/>
  </r>
  <r>
    <x v="1464"/>
    <x v="2"/>
    <s v="United States"/>
    <x v="1"/>
    <n v="119"/>
    <s v="NULL"/>
    <n v="62"/>
    <x v="758"/>
    <x v="3"/>
    <x v="4"/>
    <x v="3"/>
    <s v="NULL"/>
    <x v="0"/>
  </r>
  <r>
    <x v="1465"/>
    <x v="11"/>
    <s v="United States"/>
    <x v="0"/>
    <n v="46"/>
    <n v="0.33"/>
    <n v="314"/>
    <x v="758"/>
    <x v="3"/>
    <x v="4"/>
    <x v="4"/>
    <n v="0"/>
    <x v="0"/>
  </r>
  <r>
    <x v="30"/>
    <x v="6"/>
    <s v="United States"/>
    <x v="1"/>
    <n v="275"/>
    <s v="NULL"/>
    <n v="17"/>
    <x v="759"/>
    <x v="3"/>
    <x v="4"/>
    <x v="3"/>
    <s v="NULL"/>
    <x v="0"/>
  </r>
  <r>
    <x v="1466"/>
    <x v="5"/>
    <s v="United States"/>
    <x v="0"/>
    <s v="NULL"/>
    <n v="0.35"/>
    <n v="143"/>
    <x v="759"/>
    <x v="3"/>
    <x v="4"/>
    <x v="4"/>
    <n v="0"/>
    <x v="0"/>
  </r>
  <r>
    <x v="1467"/>
    <x v="14"/>
    <s v="United States"/>
    <x v="3"/>
    <n v="170"/>
    <s v="NULL"/>
    <n v="250"/>
    <x v="760"/>
    <x v="3"/>
    <x v="4"/>
    <x v="4"/>
    <s v="NULL"/>
    <x v="0"/>
  </r>
  <r>
    <x v="1468"/>
    <x v="1"/>
    <s v="United States"/>
    <x v="1"/>
    <s v="NULL"/>
    <s v="NULL"/>
    <s v="NULL"/>
    <x v="760"/>
    <x v="3"/>
    <x v="4"/>
    <x v="1"/>
    <s v="NULL"/>
    <x v="1"/>
  </r>
  <r>
    <x v="1469"/>
    <x v="2"/>
    <s v="France"/>
    <x v="0"/>
    <n v="500"/>
    <s v="NULL"/>
    <n v="300"/>
    <x v="761"/>
    <x v="3"/>
    <x v="4"/>
    <x v="4"/>
    <s v="NULL"/>
    <x v="0"/>
  </r>
  <r>
    <x v="850"/>
    <x v="6"/>
    <s v="United States"/>
    <x v="1"/>
    <n v="200"/>
    <s v="NULL"/>
    <n v="500"/>
    <x v="761"/>
    <x v="3"/>
    <x v="4"/>
    <x v="4"/>
    <s v="NULL"/>
    <x v="0"/>
  </r>
  <r>
    <x v="657"/>
    <x v="18"/>
    <s v="Spain"/>
    <x v="1"/>
    <n v="140"/>
    <s v="NULL"/>
    <n v="1200"/>
    <x v="761"/>
    <x v="3"/>
    <x v="4"/>
    <x v="2"/>
    <s v="NULL"/>
    <x v="0"/>
  </r>
  <r>
    <x v="1470"/>
    <x v="2"/>
    <s v="Ukraine"/>
    <x v="3"/>
    <n v="50"/>
    <s v="NULL"/>
    <n v="146"/>
    <x v="761"/>
    <x v="3"/>
    <x v="4"/>
    <x v="4"/>
    <s v="NULL"/>
    <x v="0"/>
  </r>
  <r>
    <x v="1471"/>
    <x v="0"/>
    <s v="France"/>
    <x v="8"/>
    <n v="10"/>
    <n v="0.25"/>
    <n v="15"/>
    <x v="761"/>
    <x v="3"/>
    <x v="4"/>
    <x v="3"/>
    <n v="0"/>
    <x v="0"/>
  </r>
  <r>
    <x v="250"/>
    <x v="7"/>
    <s v="United States"/>
    <x v="1"/>
    <n v="2200"/>
    <n v="0.15"/>
    <n v="5"/>
    <x v="762"/>
    <x v="3"/>
    <x v="4"/>
    <x v="0"/>
    <n v="0"/>
    <x v="0"/>
  </r>
  <r>
    <x v="1472"/>
    <x v="12"/>
    <s v="Switzerland"/>
    <x v="0"/>
    <n v="300"/>
    <s v="NULL"/>
    <s v="NULL"/>
    <x v="762"/>
    <x v="3"/>
    <x v="4"/>
    <x v="1"/>
    <s v="NULL"/>
    <x v="0"/>
  </r>
  <r>
    <x v="1473"/>
    <x v="7"/>
    <s v="United States"/>
    <x v="1"/>
    <n v="140"/>
    <n v="0.15"/>
    <n v="204"/>
    <x v="762"/>
    <x v="3"/>
    <x v="4"/>
    <x v="4"/>
    <n v="0"/>
    <x v="0"/>
  </r>
  <r>
    <x v="1474"/>
    <x v="11"/>
    <s v="United Kingdom"/>
    <x v="0"/>
    <n v="40"/>
    <n v="0.16"/>
    <n v="376"/>
    <x v="762"/>
    <x v="3"/>
    <x v="4"/>
    <x v="4"/>
    <n v="0"/>
    <x v="0"/>
  </r>
  <r>
    <x v="1475"/>
    <x v="9"/>
    <s v="United Kingdom"/>
    <x v="5"/>
    <s v="NULL"/>
    <n v="0.15"/>
    <n v="281"/>
    <x v="762"/>
    <x v="3"/>
    <x v="4"/>
    <x v="4"/>
    <n v="0"/>
    <x v="0"/>
  </r>
  <r>
    <x v="1476"/>
    <x v="6"/>
    <s v="Canada"/>
    <x v="2"/>
    <s v="NULL"/>
    <s v="NULL"/>
    <n v="80"/>
    <x v="762"/>
    <x v="3"/>
    <x v="4"/>
    <x v="3"/>
    <s v="NULL"/>
    <x v="1"/>
  </r>
  <r>
    <x v="1477"/>
    <x v="16"/>
    <s v="United States"/>
    <x v="11"/>
    <s v="NULL"/>
    <n v="0.27"/>
    <n v="365"/>
    <x v="762"/>
    <x v="3"/>
    <x v="4"/>
    <x v="4"/>
    <n v="0"/>
    <x v="0"/>
  </r>
  <r>
    <x v="268"/>
    <x v="18"/>
    <s v="United Kingdom"/>
    <x v="1"/>
    <n v="1700"/>
    <s v="NULL"/>
    <s v="NULL"/>
    <x v="763"/>
    <x v="3"/>
    <x v="4"/>
    <x v="1"/>
    <s v="NULL"/>
    <x v="0"/>
  </r>
  <r>
    <x v="1478"/>
    <x v="12"/>
    <s v="United States"/>
    <x v="0"/>
    <n v="320"/>
    <n v="0.04"/>
    <s v="NULL"/>
    <x v="763"/>
    <x v="3"/>
    <x v="4"/>
    <x v="1"/>
    <n v="0"/>
    <x v="0"/>
  </r>
  <r>
    <x v="1479"/>
    <x v="7"/>
    <s v="Ireland"/>
    <x v="3"/>
    <n v="130"/>
    <n v="0.1"/>
    <n v="131"/>
    <x v="763"/>
    <x v="3"/>
    <x v="4"/>
    <x v="4"/>
    <n v="0"/>
    <x v="0"/>
  </r>
  <r>
    <x v="529"/>
    <x v="14"/>
    <s v="Canada"/>
    <x v="3"/>
    <n v="80"/>
    <n v="0.1"/>
    <n v="331"/>
    <x v="763"/>
    <x v="3"/>
    <x v="4"/>
    <x v="4"/>
    <n v="0"/>
    <x v="0"/>
  </r>
  <r>
    <x v="1480"/>
    <x v="7"/>
    <s v="Germany"/>
    <x v="8"/>
    <n v="68"/>
    <s v="NULL"/>
    <s v="NULL"/>
    <x v="763"/>
    <x v="3"/>
    <x v="4"/>
    <x v="1"/>
    <s v="NULL"/>
    <x v="0"/>
  </r>
  <r>
    <x v="1481"/>
    <x v="18"/>
    <s v="Australia"/>
    <x v="8"/>
    <n v="40"/>
    <s v="NULL"/>
    <n v="101"/>
    <x v="763"/>
    <x v="3"/>
    <x v="4"/>
    <x v="4"/>
    <s v="NULL"/>
    <x v="0"/>
  </r>
  <r>
    <x v="1482"/>
    <x v="14"/>
    <s v="India"/>
    <x v="5"/>
    <n v="15"/>
    <n v="0.04"/>
    <n v="62"/>
    <x v="763"/>
    <x v="3"/>
    <x v="4"/>
    <x v="3"/>
    <n v="0"/>
    <x v="0"/>
  </r>
  <r>
    <x v="190"/>
    <x v="13"/>
    <s v="United States"/>
    <x v="0"/>
    <s v="NULL"/>
    <s v="NULL"/>
    <n v="3300"/>
    <x v="763"/>
    <x v="3"/>
    <x v="4"/>
    <x v="2"/>
    <s v="NULL"/>
    <x v="1"/>
  </r>
  <r>
    <x v="1483"/>
    <x v="1"/>
    <s v="Australia"/>
    <x v="8"/>
    <s v="NULL"/>
    <s v="NULL"/>
    <n v="17"/>
    <x v="763"/>
    <x v="3"/>
    <x v="4"/>
    <x v="3"/>
    <s v="NULL"/>
    <x v="1"/>
  </r>
  <r>
    <x v="694"/>
    <x v="10"/>
    <s v="United States"/>
    <x v="2"/>
    <s v="NULL"/>
    <s v="NULL"/>
    <n v="145"/>
    <x v="763"/>
    <x v="3"/>
    <x v="4"/>
    <x v="4"/>
    <s v="NULL"/>
    <x v="1"/>
  </r>
  <r>
    <x v="1484"/>
    <x v="14"/>
    <s v="New Zealand"/>
    <x v="0"/>
    <s v="NULL"/>
    <n v="0.1"/>
    <n v="130"/>
    <x v="763"/>
    <x v="3"/>
    <x v="4"/>
    <x v="4"/>
    <n v="0"/>
    <x v="0"/>
  </r>
  <r>
    <x v="161"/>
    <x v="2"/>
    <s v="United States"/>
    <x v="0"/>
    <n v="9000"/>
    <s v="NULL"/>
    <n v="108"/>
    <x v="764"/>
    <x v="3"/>
    <x v="4"/>
    <x v="4"/>
    <s v="NULL"/>
    <x v="0"/>
  </r>
  <r>
    <x v="1485"/>
    <x v="1"/>
    <s v="Poland"/>
    <x v="5"/>
    <s v="NULL"/>
    <n v="0.1"/>
    <n v="57"/>
    <x v="764"/>
    <x v="3"/>
    <x v="4"/>
    <x v="3"/>
    <n v="0"/>
    <x v="0"/>
  </r>
  <r>
    <x v="174"/>
    <x v="2"/>
    <s v="India"/>
    <x v="4"/>
    <n v="100"/>
    <n v="0.02"/>
    <n v="431"/>
    <x v="765"/>
    <x v="3"/>
    <x v="4"/>
    <x v="4"/>
    <n v="0"/>
    <x v="0"/>
  </r>
  <r>
    <x v="673"/>
    <x v="0"/>
    <s v="Canada"/>
    <x v="5"/>
    <n v="50"/>
    <n v="0.25"/>
    <n v="148"/>
    <x v="765"/>
    <x v="3"/>
    <x v="4"/>
    <x v="4"/>
    <n v="0"/>
    <x v="0"/>
  </r>
  <r>
    <x v="1486"/>
    <x v="16"/>
    <s v="United States"/>
    <x v="3"/>
    <s v="NULL"/>
    <s v="NULL"/>
    <n v="23"/>
    <x v="765"/>
    <x v="3"/>
    <x v="4"/>
    <x v="3"/>
    <s v="NULL"/>
    <x v="1"/>
  </r>
  <r>
    <x v="98"/>
    <x v="15"/>
    <s v="United States"/>
    <x v="0"/>
    <n v="114"/>
    <n v="0.02"/>
    <n v="484"/>
    <x v="766"/>
    <x v="3"/>
    <x v="4"/>
    <x v="4"/>
    <n v="0"/>
    <x v="0"/>
  </r>
  <r>
    <x v="1305"/>
    <x v="20"/>
    <s v="United States"/>
    <x v="0"/>
    <n v="108"/>
    <s v="NULL"/>
    <s v="NULL"/>
    <x v="766"/>
    <x v="3"/>
    <x v="4"/>
    <x v="1"/>
    <s v="NULL"/>
    <x v="0"/>
  </r>
  <r>
    <x v="545"/>
    <x v="25"/>
    <s v="Austria"/>
    <x v="1"/>
    <n v="70"/>
    <n v="0.28000000000000003"/>
    <s v="NULL"/>
    <x v="766"/>
    <x v="3"/>
    <x v="4"/>
    <x v="1"/>
    <n v="0"/>
    <x v="0"/>
  </r>
  <r>
    <x v="926"/>
    <x v="21"/>
    <s v="United States"/>
    <x v="5"/>
    <n v="42"/>
    <n v="0.15"/>
    <n v="477"/>
    <x v="766"/>
    <x v="3"/>
    <x v="4"/>
    <x v="4"/>
    <n v="0"/>
    <x v="0"/>
  </r>
  <r>
    <x v="1487"/>
    <x v="2"/>
    <s v="United States"/>
    <x v="0"/>
    <n v="40"/>
    <n v="0.21"/>
    <n v="71"/>
    <x v="766"/>
    <x v="3"/>
    <x v="4"/>
    <x v="3"/>
    <n v="0"/>
    <x v="0"/>
  </r>
  <r>
    <x v="1488"/>
    <x v="7"/>
    <s v="United States"/>
    <x v="2"/>
    <s v="NULL"/>
    <s v="NULL"/>
    <n v="31"/>
    <x v="766"/>
    <x v="3"/>
    <x v="4"/>
    <x v="3"/>
    <s v="NULL"/>
    <x v="1"/>
  </r>
  <r>
    <x v="286"/>
    <x v="10"/>
    <s v="United States"/>
    <x v="3"/>
    <n v="140"/>
    <s v="NULL"/>
    <n v="778"/>
    <x v="767"/>
    <x v="3"/>
    <x v="4"/>
    <x v="4"/>
    <s v="NULL"/>
    <x v="0"/>
  </r>
  <r>
    <x v="1224"/>
    <x v="2"/>
    <s v="India"/>
    <x v="8"/>
    <n v="56"/>
    <n v="0.3"/>
    <n v="17"/>
    <x v="767"/>
    <x v="3"/>
    <x v="4"/>
    <x v="3"/>
    <n v="0"/>
    <x v="0"/>
  </r>
  <r>
    <x v="1489"/>
    <x v="2"/>
    <s v="United States"/>
    <x v="0"/>
    <n v="32"/>
    <n v="0.25"/>
    <n v="365"/>
    <x v="767"/>
    <x v="3"/>
    <x v="4"/>
    <x v="4"/>
    <n v="0"/>
    <x v="0"/>
  </r>
  <r>
    <x v="1300"/>
    <x v="14"/>
    <s v="Brazil"/>
    <x v="0"/>
    <n v="30"/>
    <s v="NULL"/>
    <n v="4100"/>
    <x v="767"/>
    <x v="3"/>
    <x v="4"/>
    <x v="2"/>
    <s v="NULL"/>
    <x v="0"/>
  </r>
  <r>
    <x v="1490"/>
    <x v="14"/>
    <s v="New Zealand"/>
    <x v="2"/>
    <n v="25"/>
    <n v="0.3"/>
    <n v="24"/>
    <x v="767"/>
    <x v="3"/>
    <x v="4"/>
    <x v="3"/>
    <n v="0"/>
    <x v="0"/>
  </r>
  <r>
    <x v="1491"/>
    <x v="16"/>
    <s v="United States"/>
    <x v="3"/>
    <s v="NULL"/>
    <s v="NULL"/>
    <n v="172"/>
    <x v="767"/>
    <x v="3"/>
    <x v="4"/>
    <x v="4"/>
    <s v="NULL"/>
    <x v="1"/>
  </r>
  <r>
    <x v="65"/>
    <x v="1"/>
    <s v="United States"/>
    <x v="0"/>
    <n v="10000"/>
    <s v="NULL"/>
    <n v="26000"/>
    <x v="768"/>
    <x v="3"/>
    <x v="4"/>
    <x v="2"/>
    <s v="NULL"/>
    <x v="0"/>
  </r>
  <r>
    <x v="1492"/>
    <x v="2"/>
    <s v="United States"/>
    <x v="11"/>
    <n v="100"/>
    <n v="0.1"/>
    <n v="581"/>
    <x v="768"/>
    <x v="3"/>
    <x v="4"/>
    <x v="4"/>
    <n v="0"/>
    <x v="0"/>
  </r>
  <r>
    <x v="1493"/>
    <x v="9"/>
    <s v="United States"/>
    <x v="7"/>
    <n v="75"/>
    <n v="0.2"/>
    <n v="487"/>
    <x v="768"/>
    <x v="3"/>
    <x v="4"/>
    <x v="4"/>
    <n v="0"/>
    <x v="0"/>
  </r>
  <r>
    <x v="1494"/>
    <x v="12"/>
    <s v="Canada"/>
    <x v="5"/>
    <n v="50"/>
    <n v="0.14000000000000001"/>
    <n v="106"/>
    <x v="768"/>
    <x v="3"/>
    <x v="4"/>
    <x v="4"/>
    <n v="0"/>
    <x v="0"/>
  </r>
  <r>
    <x v="1495"/>
    <x v="12"/>
    <s v="United States"/>
    <x v="0"/>
    <n v="30"/>
    <s v="NULL"/>
    <s v="NULL"/>
    <x v="768"/>
    <x v="3"/>
    <x v="4"/>
    <x v="1"/>
    <s v="NULL"/>
    <x v="0"/>
  </r>
  <r>
    <x v="1496"/>
    <x v="14"/>
    <s v="United States"/>
    <x v="8"/>
    <n v="15"/>
    <n v="0.3"/>
    <n v="16"/>
    <x v="768"/>
    <x v="3"/>
    <x v="4"/>
    <x v="3"/>
    <n v="0"/>
    <x v="0"/>
  </r>
  <r>
    <x v="1497"/>
    <x v="11"/>
    <s v="Indonesia"/>
    <x v="0"/>
    <n v="600"/>
    <s v="NULL"/>
    <n v="1300"/>
    <x v="769"/>
    <x v="3"/>
    <x v="4"/>
    <x v="2"/>
    <s v="NULL"/>
    <x v="0"/>
  </r>
  <r>
    <x v="1498"/>
    <x v="1"/>
    <s v="Japan"/>
    <x v="3"/>
    <n v="80"/>
    <s v="NULL"/>
    <s v="NULL"/>
    <x v="769"/>
    <x v="3"/>
    <x v="4"/>
    <x v="1"/>
    <s v="NULL"/>
    <x v="0"/>
  </r>
  <r>
    <x v="176"/>
    <x v="14"/>
    <s v="New Zealand"/>
    <x v="0"/>
    <n v="800"/>
    <n v="0.15"/>
    <n v="681"/>
    <x v="770"/>
    <x v="3"/>
    <x v="4"/>
    <x v="4"/>
    <n v="0"/>
    <x v="0"/>
  </r>
  <r>
    <x v="36"/>
    <x v="18"/>
    <s v="Indonesia"/>
    <x v="3"/>
    <n v="200"/>
    <s v="NULL"/>
    <s v="NULL"/>
    <x v="770"/>
    <x v="3"/>
    <x v="4"/>
    <x v="1"/>
    <s v="NULL"/>
    <x v="0"/>
  </r>
  <r>
    <x v="666"/>
    <x v="18"/>
    <s v="United States"/>
    <x v="13"/>
    <n v="100"/>
    <n v="0.02"/>
    <n v="3400"/>
    <x v="770"/>
    <x v="3"/>
    <x v="4"/>
    <x v="2"/>
    <n v="0"/>
    <x v="0"/>
  </r>
  <r>
    <x v="1499"/>
    <x v="14"/>
    <s v="Canada"/>
    <x v="1"/>
    <n v="50"/>
    <s v="NULL"/>
    <n v="79"/>
    <x v="770"/>
    <x v="3"/>
    <x v="4"/>
    <x v="3"/>
    <s v="NULL"/>
    <x v="0"/>
  </r>
  <r>
    <x v="1500"/>
    <x v="4"/>
    <s v="United States"/>
    <x v="1"/>
    <n v="40"/>
    <s v="NULL"/>
    <s v="NULL"/>
    <x v="770"/>
    <x v="3"/>
    <x v="4"/>
    <x v="1"/>
    <s v="NULL"/>
    <x v="0"/>
  </r>
  <r>
    <x v="1488"/>
    <x v="7"/>
    <s v="United States"/>
    <x v="2"/>
    <s v="NULL"/>
    <s v="NULL"/>
    <n v="31"/>
    <x v="770"/>
    <x v="3"/>
    <x v="4"/>
    <x v="3"/>
    <s v="NULL"/>
    <x v="1"/>
  </r>
  <r>
    <x v="1501"/>
    <x v="5"/>
    <s v="United States"/>
    <x v="0"/>
    <s v="NULL"/>
    <n v="0.7"/>
    <n v="157"/>
    <x v="770"/>
    <x v="3"/>
    <x v="4"/>
    <x v="4"/>
    <n v="0"/>
    <x v="0"/>
  </r>
  <r>
    <x v="1502"/>
    <x v="21"/>
    <s v="United States"/>
    <x v="8"/>
    <s v="NULL"/>
    <n v="1"/>
    <s v="NULL"/>
    <x v="770"/>
    <x v="3"/>
    <x v="4"/>
    <x v="1"/>
    <n v="1"/>
    <x v="0"/>
  </r>
  <r>
    <x v="820"/>
    <x v="4"/>
    <s v="Canada"/>
    <x v="1"/>
    <n v="42"/>
    <n v="0.15"/>
    <n v="117"/>
    <x v="771"/>
    <x v="3"/>
    <x v="4"/>
    <x v="4"/>
    <n v="0"/>
    <x v="0"/>
  </r>
  <r>
    <x v="1503"/>
    <x v="6"/>
    <s v="United States"/>
    <x v="2"/>
    <s v="NULL"/>
    <n v="0.15"/>
    <n v="52"/>
    <x v="771"/>
    <x v="3"/>
    <x v="4"/>
    <x v="3"/>
    <n v="0"/>
    <x v="0"/>
  </r>
  <r>
    <x v="753"/>
    <x v="5"/>
    <s v="India"/>
    <x v="11"/>
    <n v="300"/>
    <n v="0.15"/>
    <n v="177"/>
    <x v="772"/>
    <x v="3"/>
    <x v="4"/>
    <x v="4"/>
    <n v="0"/>
    <x v="0"/>
  </r>
  <r>
    <x v="806"/>
    <x v="25"/>
    <s v="United States"/>
    <x v="5"/>
    <n v="80"/>
    <n v="0.15"/>
    <n v="619"/>
    <x v="772"/>
    <x v="3"/>
    <x v="4"/>
    <x v="4"/>
    <n v="0"/>
    <x v="0"/>
  </r>
  <r>
    <x v="1504"/>
    <x v="14"/>
    <s v="United States"/>
    <x v="8"/>
    <s v="NULL"/>
    <n v="1"/>
    <n v="18"/>
    <x v="772"/>
    <x v="3"/>
    <x v="4"/>
    <x v="3"/>
    <n v="1"/>
    <x v="0"/>
  </r>
  <r>
    <x v="1505"/>
    <x v="9"/>
    <s v="United Kingdom"/>
    <x v="3"/>
    <s v="NULL"/>
    <n v="0.25"/>
    <n v="6"/>
    <x v="772"/>
    <x v="3"/>
    <x v="4"/>
    <x v="0"/>
    <n v="0"/>
    <x v="0"/>
  </r>
  <r>
    <x v="1506"/>
    <x v="1"/>
    <s v="United States"/>
    <x v="0"/>
    <s v="NULL"/>
    <s v="NULL"/>
    <n v="2700"/>
    <x v="772"/>
    <x v="3"/>
    <x v="4"/>
    <x v="2"/>
    <s v="NULL"/>
    <x v="1"/>
  </r>
  <r>
    <x v="920"/>
    <x v="2"/>
    <s v="United States"/>
    <x v="1"/>
    <s v="NULL"/>
    <s v="NULL"/>
    <n v="194"/>
    <x v="772"/>
    <x v="3"/>
    <x v="4"/>
    <x v="4"/>
    <s v="NULL"/>
    <x v="1"/>
  </r>
  <r>
    <x v="154"/>
    <x v="0"/>
    <s v="Australia"/>
    <x v="0"/>
    <n v="500"/>
    <n v="0.05"/>
    <n v="210"/>
    <x v="773"/>
    <x v="3"/>
    <x v="4"/>
    <x v="4"/>
    <n v="0"/>
    <x v="0"/>
  </r>
  <r>
    <x v="786"/>
    <x v="4"/>
    <s v="United States"/>
    <x v="0"/>
    <n v="475"/>
    <n v="0.08"/>
    <n v="525"/>
    <x v="773"/>
    <x v="3"/>
    <x v="4"/>
    <x v="4"/>
    <n v="0"/>
    <x v="0"/>
  </r>
  <r>
    <x v="942"/>
    <x v="2"/>
    <s v="Nigeria"/>
    <x v="2"/>
    <n v="400"/>
    <s v="NULL"/>
    <n v="16"/>
    <x v="773"/>
    <x v="3"/>
    <x v="4"/>
    <x v="3"/>
    <s v="NULL"/>
    <x v="0"/>
  </r>
  <r>
    <x v="114"/>
    <x v="7"/>
    <s v="United States"/>
    <x v="3"/>
    <n v="265"/>
    <s v="NULL"/>
    <s v="NULL"/>
    <x v="773"/>
    <x v="3"/>
    <x v="4"/>
    <x v="1"/>
    <s v="NULL"/>
    <x v="0"/>
  </r>
  <r>
    <x v="1507"/>
    <x v="21"/>
    <s v="India"/>
    <x v="3"/>
    <n v="120"/>
    <s v="NULL"/>
    <n v="631"/>
    <x v="773"/>
    <x v="3"/>
    <x v="4"/>
    <x v="4"/>
    <s v="NULL"/>
    <x v="0"/>
  </r>
  <r>
    <x v="1508"/>
    <x v="2"/>
    <s v="India"/>
    <x v="11"/>
    <n v="30"/>
    <s v="NULL"/>
    <n v="116"/>
    <x v="773"/>
    <x v="3"/>
    <x v="4"/>
    <x v="4"/>
    <s v="NULL"/>
    <x v="0"/>
  </r>
  <r>
    <x v="1509"/>
    <x v="2"/>
    <s v="France"/>
    <x v="5"/>
    <s v="NULL"/>
    <s v="NULL"/>
    <n v="365"/>
    <x v="773"/>
    <x v="3"/>
    <x v="4"/>
    <x v="4"/>
    <s v="NULL"/>
    <x v="1"/>
  </r>
  <r>
    <x v="1510"/>
    <x v="7"/>
    <s v="Poland"/>
    <x v="1"/>
    <n v="13"/>
    <s v="NULL"/>
    <s v="NULL"/>
    <x v="774"/>
    <x v="3"/>
    <x v="4"/>
    <x v="1"/>
    <s v="NULL"/>
    <x v="0"/>
  </r>
  <r>
    <x v="1511"/>
    <x v="16"/>
    <s v="Brazil"/>
    <x v="3"/>
    <n v="340"/>
    <n v="0.15"/>
    <n v="788"/>
    <x v="775"/>
    <x v="3"/>
    <x v="4"/>
    <x v="4"/>
    <n v="0"/>
    <x v="0"/>
  </r>
  <r>
    <x v="1512"/>
    <x v="11"/>
    <s v="United States"/>
    <x v="0"/>
    <n v="230"/>
    <n v="0.7"/>
    <n v="317"/>
    <x v="775"/>
    <x v="3"/>
    <x v="4"/>
    <x v="4"/>
    <n v="0"/>
    <x v="0"/>
  </r>
  <r>
    <x v="1513"/>
    <x v="16"/>
    <s v="Australia"/>
    <x v="3"/>
    <n v="100"/>
    <s v="NULL"/>
    <n v="59"/>
    <x v="775"/>
    <x v="3"/>
    <x v="4"/>
    <x v="3"/>
    <s v="NULL"/>
    <x v="0"/>
  </r>
  <r>
    <x v="1514"/>
    <x v="10"/>
    <s v="United States"/>
    <x v="1"/>
    <n v="63"/>
    <s v="NULL"/>
    <n v="152"/>
    <x v="775"/>
    <x v="3"/>
    <x v="4"/>
    <x v="4"/>
    <s v="NULL"/>
    <x v="0"/>
  </r>
  <r>
    <x v="1515"/>
    <x v="13"/>
    <s v="United States"/>
    <x v="0"/>
    <n v="30"/>
    <s v="NULL"/>
    <n v="6400"/>
    <x v="775"/>
    <x v="3"/>
    <x v="4"/>
    <x v="2"/>
    <s v="NULL"/>
    <x v="0"/>
  </r>
  <r>
    <x v="1516"/>
    <x v="5"/>
    <s v="United States"/>
    <x v="0"/>
    <s v="NULL"/>
    <s v="NULL"/>
    <n v="458"/>
    <x v="775"/>
    <x v="3"/>
    <x v="4"/>
    <x v="4"/>
    <s v="NULL"/>
    <x v="1"/>
  </r>
  <r>
    <x v="813"/>
    <x v="0"/>
    <s v="United States"/>
    <x v="4"/>
    <s v="NULL"/>
    <s v="NULL"/>
    <n v="1200"/>
    <x v="775"/>
    <x v="3"/>
    <x v="4"/>
    <x v="2"/>
    <s v="NULL"/>
    <x v="1"/>
  </r>
  <r>
    <x v="1517"/>
    <x v="3"/>
    <s v="United States"/>
    <x v="0"/>
    <n v="177"/>
    <n v="0.03"/>
    <n v="148"/>
    <x v="776"/>
    <x v="3"/>
    <x v="4"/>
    <x v="4"/>
    <n v="0"/>
    <x v="0"/>
  </r>
  <r>
    <x v="1518"/>
    <x v="21"/>
    <s v="United States"/>
    <x v="11"/>
    <n v="79"/>
    <s v="NULL"/>
    <n v="461"/>
    <x v="776"/>
    <x v="3"/>
    <x v="4"/>
    <x v="4"/>
    <s v="NULL"/>
    <x v="0"/>
  </r>
  <r>
    <x v="1519"/>
    <x v="18"/>
    <s v="Brazil"/>
    <x v="1"/>
    <n v="50"/>
    <s v="NULL"/>
    <s v="NULL"/>
    <x v="776"/>
    <x v="3"/>
    <x v="4"/>
    <x v="1"/>
    <s v="NULL"/>
    <x v="0"/>
  </r>
  <r>
    <x v="1520"/>
    <x v="25"/>
    <s v="India"/>
    <x v="8"/>
    <n v="30"/>
    <n v="0.11"/>
    <n v="13"/>
    <x v="776"/>
    <x v="3"/>
    <x v="4"/>
    <x v="3"/>
    <n v="0"/>
    <x v="0"/>
  </r>
  <r>
    <x v="1521"/>
    <x v="4"/>
    <s v="United States"/>
    <x v="1"/>
    <n v="12"/>
    <n v="0.1"/>
    <n v="20"/>
    <x v="776"/>
    <x v="3"/>
    <x v="4"/>
    <x v="3"/>
    <n v="0"/>
    <x v="0"/>
  </r>
  <r>
    <x v="1522"/>
    <x v="14"/>
    <s v="Switzerland"/>
    <x v="3"/>
    <s v="NULL"/>
    <n v="0.1"/>
    <s v="NULL"/>
    <x v="776"/>
    <x v="3"/>
    <x v="4"/>
    <x v="1"/>
    <n v="0"/>
    <x v="0"/>
  </r>
  <r>
    <x v="156"/>
    <x v="2"/>
    <s v="India"/>
    <x v="1"/>
    <s v="NULL"/>
    <s v="NULL"/>
    <n v="12900"/>
    <x v="776"/>
    <x v="3"/>
    <x v="4"/>
    <x v="2"/>
    <s v="NULL"/>
    <x v="1"/>
  </r>
  <r>
    <x v="1523"/>
    <x v="1"/>
    <s v="United States"/>
    <x v="1"/>
    <s v="NULL"/>
    <n v="1"/>
    <s v="NULL"/>
    <x v="776"/>
    <x v="3"/>
    <x v="4"/>
    <x v="1"/>
    <n v="1"/>
    <x v="0"/>
  </r>
  <r>
    <x v="978"/>
    <x v="16"/>
    <s v="United States"/>
    <x v="7"/>
    <s v="NULL"/>
    <s v="NULL"/>
    <n v="472"/>
    <x v="776"/>
    <x v="3"/>
    <x v="4"/>
    <x v="4"/>
    <s v="NULL"/>
    <x v="1"/>
  </r>
  <r>
    <x v="1524"/>
    <x v="23"/>
    <s v="United States"/>
    <x v="1"/>
    <s v="NULL"/>
    <s v="NULL"/>
    <s v="NULL"/>
    <x v="776"/>
    <x v="3"/>
    <x v="4"/>
    <x v="1"/>
    <s v="NULL"/>
    <x v="1"/>
  </r>
  <r>
    <x v="1142"/>
    <x v="0"/>
    <s v="United States"/>
    <x v="0"/>
    <n v="500"/>
    <n v="0.04"/>
    <n v="748"/>
    <x v="777"/>
    <x v="3"/>
    <x v="4"/>
    <x v="4"/>
    <n v="0"/>
    <x v="0"/>
  </r>
  <r>
    <x v="1525"/>
    <x v="18"/>
    <s v="Brazil"/>
    <x v="10"/>
    <n v="355"/>
    <n v="0.06"/>
    <n v="2100"/>
    <x v="777"/>
    <x v="3"/>
    <x v="4"/>
    <x v="2"/>
    <n v="0"/>
    <x v="0"/>
  </r>
  <r>
    <x v="1526"/>
    <x v="5"/>
    <s v="United States"/>
    <x v="11"/>
    <n v="300"/>
    <s v="NULL"/>
    <n v="482"/>
    <x v="777"/>
    <x v="3"/>
    <x v="4"/>
    <x v="4"/>
    <s v="NULL"/>
    <x v="0"/>
  </r>
  <r>
    <x v="1007"/>
    <x v="11"/>
    <s v="United States"/>
    <x v="10"/>
    <n v="209"/>
    <n v="0.08"/>
    <n v="5500"/>
    <x v="777"/>
    <x v="3"/>
    <x v="4"/>
    <x v="2"/>
    <n v="0"/>
    <x v="0"/>
  </r>
  <r>
    <x v="1527"/>
    <x v="7"/>
    <s v="France"/>
    <x v="11"/>
    <n v="200"/>
    <n v="0.2"/>
    <n v="495"/>
    <x v="777"/>
    <x v="3"/>
    <x v="4"/>
    <x v="4"/>
    <n v="0"/>
    <x v="0"/>
  </r>
  <r>
    <x v="218"/>
    <x v="15"/>
    <s v="United States"/>
    <x v="5"/>
    <n v="200"/>
    <s v="NULL"/>
    <n v="102"/>
    <x v="777"/>
    <x v="3"/>
    <x v="4"/>
    <x v="4"/>
    <s v="NULL"/>
    <x v="0"/>
  </r>
  <r>
    <x v="247"/>
    <x v="13"/>
    <s v="United States"/>
    <x v="0"/>
    <n v="100"/>
    <n v="0.14000000000000001"/>
    <n v="839"/>
    <x v="777"/>
    <x v="3"/>
    <x v="4"/>
    <x v="4"/>
    <n v="0"/>
    <x v="0"/>
  </r>
  <r>
    <x v="1528"/>
    <x v="9"/>
    <s v="United States"/>
    <x v="8"/>
    <s v="NULL"/>
    <n v="0.5"/>
    <n v="70"/>
    <x v="777"/>
    <x v="3"/>
    <x v="4"/>
    <x v="3"/>
    <n v="0"/>
    <x v="0"/>
  </r>
  <r>
    <x v="350"/>
    <x v="1"/>
    <s v="United States"/>
    <x v="0"/>
    <n v="200"/>
    <s v="NULL"/>
    <n v="2"/>
    <x v="778"/>
    <x v="3"/>
    <x v="5"/>
    <x v="0"/>
    <s v="NULL"/>
    <x v="0"/>
  </r>
  <r>
    <x v="120"/>
    <x v="1"/>
    <s v="United States"/>
    <x v="0"/>
    <n v="80"/>
    <n v="0.08"/>
    <n v="557"/>
    <x v="778"/>
    <x v="3"/>
    <x v="5"/>
    <x v="4"/>
    <n v="0"/>
    <x v="0"/>
  </r>
  <r>
    <x v="1204"/>
    <x v="24"/>
    <s v="United States"/>
    <x v="8"/>
    <n v="10"/>
    <s v="NULL"/>
    <n v="39"/>
    <x v="778"/>
    <x v="3"/>
    <x v="5"/>
    <x v="3"/>
    <s v="NULL"/>
    <x v="0"/>
  </r>
  <r>
    <x v="1529"/>
    <x v="21"/>
    <s v="India"/>
    <x v="3"/>
    <s v="NULL"/>
    <n v="1"/>
    <s v="NULL"/>
    <x v="778"/>
    <x v="3"/>
    <x v="5"/>
    <x v="1"/>
    <n v="1"/>
    <x v="0"/>
  </r>
  <r>
    <x v="886"/>
    <x v="14"/>
    <s v="United States"/>
    <x v="0"/>
    <s v="NULL"/>
    <n v="0.09"/>
    <n v="485"/>
    <x v="778"/>
    <x v="3"/>
    <x v="5"/>
    <x v="4"/>
    <n v="0"/>
    <x v="0"/>
  </r>
  <r>
    <x v="1037"/>
    <x v="11"/>
    <s v="Germany"/>
    <x v="0"/>
    <n v="300"/>
    <s v="NULL"/>
    <n v="126"/>
    <x v="779"/>
    <x v="3"/>
    <x v="5"/>
    <x v="4"/>
    <s v="NULL"/>
    <x v="0"/>
  </r>
  <r>
    <x v="1530"/>
    <x v="5"/>
    <s v="United States"/>
    <x v="5"/>
    <n v="285"/>
    <n v="0.15"/>
    <n v="462"/>
    <x v="779"/>
    <x v="3"/>
    <x v="5"/>
    <x v="4"/>
    <n v="0"/>
    <x v="0"/>
  </r>
  <r>
    <x v="1531"/>
    <x v="14"/>
    <s v="United States"/>
    <x v="3"/>
    <n v="130"/>
    <n v="0.25"/>
    <n v="283"/>
    <x v="779"/>
    <x v="3"/>
    <x v="5"/>
    <x v="4"/>
    <n v="0"/>
    <x v="0"/>
  </r>
  <r>
    <x v="372"/>
    <x v="6"/>
    <s v="United States"/>
    <x v="0"/>
    <n v="75"/>
    <n v="0.02"/>
    <n v="3000"/>
    <x v="779"/>
    <x v="3"/>
    <x v="5"/>
    <x v="2"/>
    <n v="0"/>
    <x v="0"/>
  </r>
  <r>
    <x v="492"/>
    <x v="19"/>
    <s v="United States"/>
    <x v="12"/>
    <n v="70"/>
    <n v="7.0000000000000007E-2"/>
    <n v="489"/>
    <x v="779"/>
    <x v="3"/>
    <x v="5"/>
    <x v="4"/>
    <n v="0"/>
    <x v="0"/>
  </r>
  <r>
    <x v="1532"/>
    <x v="3"/>
    <s v="United States"/>
    <x v="2"/>
    <n v="19"/>
    <n v="0.25"/>
    <n v="126"/>
    <x v="779"/>
    <x v="3"/>
    <x v="5"/>
    <x v="4"/>
    <n v="0"/>
    <x v="0"/>
  </r>
  <r>
    <x v="1533"/>
    <x v="3"/>
    <s v="Israel"/>
    <x v="3"/>
    <n v="40"/>
    <s v="NULL"/>
    <n v="401"/>
    <x v="780"/>
    <x v="3"/>
    <x v="5"/>
    <x v="4"/>
    <s v="NULL"/>
    <x v="0"/>
  </r>
  <r>
    <x v="1534"/>
    <x v="1"/>
    <s v="United States"/>
    <x v="0"/>
    <n v="200"/>
    <n v="0.1"/>
    <n v="12900"/>
    <x v="781"/>
    <x v="3"/>
    <x v="5"/>
    <x v="2"/>
    <n v="0"/>
    <x v="0"/>
  </r>
  <r>
    <x v="202"/>
    <x v="0"/>
    <s v="Sweden"/>
    <x v="0"/>
    <n v="8500"/>
    <n v="0.08"/>
    <n v="663"/>
    <x v="782"/>
    <x v="3"/>
    <x v="5"/>
    <x v="4"/>
    <n v="0"/>
    <x v="0"/>
  </r>
  <r>
    <x v="1535"/>
    <x v="0"/>
    <s v="India"/>
    <x v="10"/>
    <n v="300"/>
    <s v="NULL"/>
    <n v="1300"/>
    <x v="782"/>
    <x v="3"/>
    <x v="5"/>
    <x v="2"/>
    <s v="NULL"/>
    <x v="0"/>
  </r>
  <r>
    <x v="1536"/>
    <x v="11"/>
    <s v="United States"/>
    <x v="1"/>
    <n v="220"/>
    <s v="NULL"/>
    <n v="575"/>
    <x v="782"/>
    <x v="3"/>
    <x v="5"/>
    <x v="4"/>
    <s v="NULL"/>
    <x v="0"/>
  </r>
  <r>
    <x v="1537"/>
    <x v="15"/>
    <s v="United States"/>
    <x v="1"/>
    <n v="59"/>
    <s v="NULL"/>
    <n v="325"/>
    <x v="782"/>
    <x v="3"/>
    <x v="5"/>
    <x v="4"/>
    <s v="NULL"/>
    <x v="0"/>
  </r>
  <r>
    <x v="1046"/>
    <x v="18"/>
    <s v="United States"/>
    <x v="3"/>
    <n v="40"/>
    <s v="NULL"/>
    <n v="465"/>
    <x v="782"/>
    <x v="3"/>
    <x v="5"/>
    <x v="4"/>
    <s v="NULL"/>
    <x v="0"/>
  </r>
  <r>
    <x v="1538"/>
    <x v="5"/>
    <s v="United States"/>
    <x v="0"/>
    <n v="26"/>
    <s v="NULL"/>
    <n v="132"/>
    <x v="782"/>
    <x v="3"/>
    <x v="5"/>
    <x v="4"/>
    <s v="NULL"/>
    <x v="0"/>
  </r>
  <r>
    <x v="1539"/>
    <x v="14"/>
    <s v="United States"/>
    <x v="7"/>
    <n v="24"/>
    <s v="NULL"/>
    <n v="263"/>
    <x v="782"/>
    <x v="3"/>
    <x v="5"/>
    <x v="4"/>
    <s v="NULL"/>
    <x v="0"/>
  </r>
  <r>
    <x v="1540"/>
    <x v="5"/>
    <s v="United States"/>
    <x v="0"/>
    <s v="NULL"/>
    <n v="0.18"/>
    <n v="1900"/>
    <x v="782"/>
    <x v="3"/>
    <x v="5"/>
    <x v="2"/>
    <n v="0"/>
    <x v="0"/>
  </r>
  <r>
    <x v="1541"/>
    <x v="2"/>
    <s v="United States"/>
    <x v="1"/>
    <s v="NULL"/>
    <n v="0.02"/>
    <n v="153"/>
    <x v="782"/>
    <x v="3"/>
    <x v="5"/>
    <x v="4"/>
    <n v="0"/>
    <x v="0"/>
  </r>
  <r>
    <x v="1052"/>
    <x v="5"/>
    <s v="United States"/>
    <x v="1"/>
    <n v="200"/>
    <n v="0.1"/>
    <s v="NULL"/>
    <x v="783"/>
    <x v="3"/>
    <x v="5"/>
    <x v="1"/>
    <n v="0"/>
    <x v="0"/>
  </r>
  <r>
    <x v="1542"/>
    <x v="10"/>
    <s v="Germany"/>
    <x v="7"/>
    <n v="150"/>
    <n v="0.32"/>
    <n v="442"/>
    <x v="783"/>
    <x v="3"/>
    <x v="5"/>
    <x v="4"/>
    <n v="0"/>
    <x v="0"/>
  </r>
  <r>
    <x v="1543"/>
    <x v="2"/>
    <s v="Australia"/>
    <x v="3"/>
    <n v="69"/>
    <n v="0.06"/>
    <s v="NULL"/>
    <x v="783"/>
    <x v="3"/>
    <x v="5"/>
    <x v="1"/>
    <n v="0"/>
    <x v="0"/>
  </r>
  <r>
    <x v="1544"/>
    <x v="11"/>
    <s v="United States"/>
    <x v="0"/>
    <n v="40"/>
    <s v="NULL"/>
    <n v="400"/>
    <x v="783"/>
    <x v="3"/>
    <x v="5"/>
    <x v="4"/>
    <s v="NULL"/>
    <x v="0"/>
  </r>
  <r>
    <x v="1545"/>
    <x v="24"/>
    <s v="United States"/>
    <x v="2"/>
    <n v="40"/>
    <s v="NULL"/>
    <n v="76"/>
    <x v="783"/>
    <x v="3"/>
    <x v="5"/>
    <x v="3"/>
    <s v="NULL"/>
    <x v="0"/>
  </r>
  <r>
    <x v="1215"/>
    <x v="9"/>
    <s v="Canada"/>
    <x v="7"/>
    <s v="NULL"/>
    <n v="0.2"/>
    <n v="607"/>
    <x v="783"/>
    <x v="3"/>
    <x v="5"/>
    <x v="4"/>
    <n v="0"/>
    <x v="0"/>
  </r>
  <r>
    <x v="1546"/>
    <x v="9"/>
    <s v="United States"/>
    <x v="2"/>
    <s v="NULL"/>
    <n v="0.15"/>
    <n v="61"/>
    <x v="783"/>
    <x v="3"/>
    <x v="5"/>
    <x v="3"/>
    <n v="0"/>
    <x v="0"/>
  </r>
  <r>
    <x v="1547"/>
    <x v="5"/>
    <s v="United States"/>
    <x v="3"/>
    <s v="NULL"/>
    <n v="0.13"/>
    <s v="NULL"/>
    <x v="783"/>
    <x v="3"/>
    <x v="5"/>
    <x v="1"/>
    <n v="0"/>
    <x v="0"/>
  </r>
  <r>
    <x v="1548"/>
    <x v="4"/>
    <s v="United Kingdom"/>
    <x v="3"/>
    <n v="200"/>
    <n v="0.12"/>
    <s v="NULL"/>
    <x v="784"/>
    <x v="3"/>
    <x v="5"/>
    <x v="1"/>
    <n v="0"/>
    <x v="0"/>
  </r>
  <r>
    <x v="1549"/>
    <x v="15"/>
    <s v="United States"/>
    <x v="0"/>
    <n v="186"/>
    <s v="NULL"/>
    <n v="279"/>
    <x v="784"/>
    <x v="3"/>
    <x v="5"/>
    <x v="4"/>
    <s v="NULL"/>
    <x v="0"/>
  </r>
  <r>
    <x v="1550"/>
    <x v="5"/>
    <s v="United States"/>
    <x v="5"/>
    <s v="NULL"/>
    <s v="NULL"/>
    <n v="155"/>
    <x v="784"/>
    <x v="3"/>
    <x v="5"/>
    <x v="4"/>
    <s v="NULL"/>
    <x v="1"/>
  </r>
  <r>
    <x v="1551"/>
    <x v="9"/>
    <s v="Australia"/>
    <x v="5"/>
    <s v="NULL"/>
    <n v="0.11"/>
    <n v="279"/>
    <x v="784"/>
    <x v="3"/>
    <x v="5"/>
    <x v="4"/>
    <n v="0"/>
    <x v="0"/>
  </r>
  <r>
    <x v="1552"/>
    <x v="5"/>
    <s v="United States"/>
    <x v="1"/>
    <s v="NULL"/>
    <n v="0.56999999999999995"/>
    <n v="194"/>
    <x v="784"/>
    <x v="3"/>
    <x v="5"/>
    <x v="4"/>
    <n v="0"/>
    <x v="0"/>
  </r>
  <r>
    <x v="1553"/>
    <x v="11"/>
    <s v="United States"/>
    <x v="6"/>
    <s v="NULL"/>
    <n v="1"/>
    <n v="57"/>
    <x v="784"/>
    <x v="3"/>
    <x v="5"/>
    <x v="3"/>
    <n v="1"/>
    <x v="0"/>
  </r>
  <r>
    <x v="1554"/>
    <x v="18"/>
    <s v="South Korea"/>
    <x v="5"/>
    <n v="350"/>
    <n v="0.7"/>
    <n v="214"/>
    <x v="785"/>
    <x v="3"/>
    <x v="5"/>
    <x v="4"/>
    <n v="0"/>
    <x v="0"/>
  </r>
  <r>
    <x v="201"/>
    <x v="9"/>
    <s v="India"/>
    <x v="3"/>
    <n v="100"/>
    <n v="0.2"/>
    <n v="451"/>
    <x v="785"/>
    <x v="3"/>
    <x v="5"/>
    <x v="4"/>
    <n v="0"/>
    <x v="0"/>
  </r>
  <r>
    <x v="293"/>
    <x v="4"/>
    <s v="Japan"/>
    <x v="3"/>
    <n v="85"/>
    <s v="NULL"/>
    <n v="26"/>
    <x v="785"/>
    <x v="3"/>
    <x v="5"/>
    <x v="3"/>
    <s v="NULL"/>
    <x v="0"/>
  </r>
  <r>
    <x v="1555"/>
    <x v="14"/>
    <s v="United States"/>
    <x v="7"/>
    <n v="50"/>
    <s v="NULL"/>
    <n v="406"/>
    <x v="785"/>
    <x v="3"/>
    <x v="5"/>
    <x v="4"/>
    <s v="NULL"/>
    <x v="0"/>
  </r>
  <r>
    <x v="1556"/>
    <x v="10"/>
    <s v="United States"/>
    <x v="2"/>
    <n v="40"/>
    <n v="0.04"/>
    <n v="52"/>
    <x v="785"/>
    <x v="3"/>
    <x v="5"/>
    <x v="3"/>
    <n v="0"/>
    <x v="0"/>
  </r>
  <r>
    <x v="130"/>
    <x v="11"/>
    <s v="Nigeria"/>
    <x v="4"/>
    <n v="17"/>
    <s v="NULL"/>
    <s v="NULL"/>
    <x v="785"/>
    <x v="3"/>
    <x v="5"/>
    <x v="1"/>
    <s v="NULL"/>
    <x v="0"/>
  </r>
  <r>
    <x v="706"/>
    <x v="10"/>
    <s v="France"/>
    <x v="0"/>
    <s v="NULL"/>
    <s v="NULL"/>
    <n v="61"/>
    <x v="785"/>
    <x v="3"/>
    <x v="5"/>
    <x v="3"/>
    <s v="NULL"/>
    <x v="1"/>
  </r>
  <r>
    <x v="1557"/>
    <x v="16"/>
    <s v="United States"/>
    <x v="5"/>
    <s v="NULL"/>
    <s v="NULL"/>
    <n v="121"/>
    <x v="785"/>
    <x v="3"/>
    <x v="5"/>
    <x v="4"/>
    <s v="NULL"/>
    <x v="1"/>
  </r>
  <r>
    <x v="1290"/>
    <x v="2"/>
    <s v="Germany"/>
    <x v="0"/>
    <s v="NULL"/>
    <s v="NULL"/>
    <n v="467"/>
    <x v="785"/>
    <x v="3"/>
    <x v="5"/>
    <x v="4"/>
    <s v="NULL"/>
    <x v="1"/>
  </r>
  <r>
    <x v="1558"/>
    <x v="0"/>
    <s v="India"/>
    <x v="2"/>
    <n v="200"/>
    <n v="0.3"/>
    <n v="79"/>
    <x v="786"/>
    <x v="3"/>
    <x v="5"/>
    <x v="3"/>
    <n v="0"/>
    <x v="0"/>
  </r>
  <r>
    <x v="794"/>
    <x v="9"/>
    <s v="United States"/>
    <x v="11"/>
    <n v="30"/>
    <n v="0.05"/>
    <n v="1000"/>
    <x v="786"/>
    <x v="3"/>
    <x v="5"/>
    <x v="2"/>
    <n v="0"/>
    <x v="0"/>
  </r>
  <r>
    <x v="1559"/>
    <x v="0"/>
    <s v="Australia"/>
    <x v="6"/>
    <n v="8"/>
    <n v="0.28000000000000003"/>
    <n v="10"/>
    <x v="786"/>
    <x v="3"/>
    <x v="5"/>
    <x v="3"/>
    <n v="0"/>
    <x v="0"/>
  </r>
  <r>
    <x v="1560"/>
    <x v="18"/>
    <s v="India"/>
    <x v="8"/>
    <s v="NULL"/>
    <n v="1"/>
    <n v="9"/>
    <x v="786"/>
    <x v="3"/>
    <x v="5"/>
    <x v="0"/>
    <n v="1"/>
    <x v="0"/>
  </r>
  <r>
    <x v="237"/>
    <x v="12"/>
    <s v="Israel"/>
    <x v="0"/>
    <n v="100"/>
    <s v="NULL"/>
    <n v="4200"/>
    <x v="787"/>
    <x v="3"/>
    <x v="5"/>
    <x v="2"/>
    <s v="NULL"/>
    <x v="0"/>
  </r>
  <r>
    <x v="291"/>
    <x v="12"/>
    <s v="United States"/>
    <x v="0"/>
    <n v="2400"/>
    <n v="0.05"/>
    <n v="50"/>
    <x v="788"/>
    <x v="3"/>
    <x v="5"/>
    <x v="3"/>
    <n v="0"/>
    <x v="0"/>
  </r>
  <r>
    <x v="1561"/>
    <x v="1"/>
    <s v="China"/>
    <x v="0"/>
    <n v="300"/>
    <s v="NULL"/>
    <n v="12600"/>
    <x v="788"/>
    <x v="3"/>
    <x v="5"/>
    <x v="2"/>
    <s v="NULL"/>
    <x v="0"/>
  </r>
  <r>
    <x v="1231"/>
    <x v="1"/>
    <s v="United States"/>
    <x v="1"/>
    <n v="129"/>
    <s v="NULL"/>
    <n v="290"/>
    <x v="788"/>
    <x v="3"/>
    <x v="5"/>
    <x v="4"/>
    <s v="NULL"/>
    <x v="0"/>
  </r>
  <r>
    <x v="737"/>
    <x v="14"/>
    <s v="United States"/>
    <x v="5"/>
    <n v="100"/>
    <n v="0.33"/>
    <n v="302"/>
    <x v="788"/>
    <x v="3"/>
    <x v="5"/>
    <x v="4"/>
    <n v="0"/>
    <x v="0"/>
  </r>
  <r>
    <x v="388"/>
    <x v="0"/>
    <s v="United States"/>
    <x v="0"/>
    <s v="NULL"/>
    <s v="NULL"/>
    <n v="105"/>
    <x v="788"/>
    <x v="3"/>
    <x v="5"/>
    <x v="4"/>
    <s v="NULL"/>
    <x v="1"/>
  </r>
  <r>
    <x v="1562"/>
    <x v="9"/>
    <s v="United States"/>
    <x v="3"/>
    <s v="NULL"/>
    <s v="NULL"/>
    <s v="NULL"/>
    <x v="788"/>
    <x v="3"/>
    <x v="5"/>
    <x v="1"/>
    <s v="NULL"/>
    <x v="1"/>
  </r>
  <r>
    <x v="797"/>
    <x v="19"/>
    <s v="United States"/>
    <x v="0"/>
    <n v="680"/>
    <n v="0.1"/>
    <n v="536"/>
    <x v="789"/>
    <x v="3"/>
    <x v="5"/>
    <x v="4"/>
    <n v="0"/>
    <x v="0"/>
  </r>
  <r>
    <x v="972"/>
    <x v="0"/>
    <s v="United States"/>
    <x v="1"/>
    <n v="400"/>
    <n v="0.2"/>
    <n v="62"/>
    <x v="789"/>
    <x v="3"/>
    <x v="5"/>
    <x v="3"/>
    <n v="0"/>
    <x v="0"/>
  </r>
  <r>
    <x v="1563"/>
    <x v="2"/>
    <s v="United States"/>
    <x v="0"/>
    <n v="230"/>
    <n v="7.0000000000000007E-2"/>
    <n v="356"/>
    <x v="789"/>
    <x v="3"/>
    <x v="5"/>
    <x v="4"/>
    <n v="0"/>
    <x v="0"/>
  </r>
  <r>
    <x v="187"/>
    <x v="0"/>
    <s v="United States"/>
    <x v="0"/>
    <n v="85"/>
    <n v="0.03"/>
    <n v="152"/>
    <x v="789"/>
    <x v="3"/>
    <x v="5"/>
    <x v="4"/>
    <n v="0"/>
    <x v="0"/>
  </r>
  <r>
    <x v="999"/>
    <x v="23"/>
    <s v="United States"/>
    <x v="11"/>
    <s v="NULL"/>
    <s v="NULL"/>
    <n v="1100"/>
    <x v="789"/>
    <x v="3"/>
    <x v="5"/>
    <x v="2"/>
    <s v="NULL"/>
    <x v="1"/>
  </r>
  <r>
    <x v="63"/>
    <x v="10"/>
    <s v="Israel"/>
    <x v="0"/>
    <n v="370"/>
    <n v="0.06"/>
    <n v="58"/>
    <x v="790"/>
    <x v="3"/>
    <x v="5"/>
    <x v="3"/>
    <n v="0"/>
    <x v="0"/>
  </r>
  <r>
    <x v="1564"/>
    <x v="19"/>
    <s v="United States"/>
    <x v="12"/>
    <n v="221"/>
    <n v="0.08"/>
    <n v="1100"/>
    <x v="790"/>
    <x v="3"/>
    <x v="5"/>
    <x v="2"/>
    <n v="0"/>
    <x v="0"/>
  </r>
  <r>
    <x v="1018"/>
    <x v="14"/>
    <s v="Brazil"/>
    <x v="7"/>
    <n v="210"/>
    <n v="0.09"/>
    <n v="720"/>
    <x v="790"/>
    <x v="3"/>
    <x v="5"/>
    <x v="4"/>
    <n v="0"/>
    <x v="0"/>
  </r>
  <r>
    <x v="509"/>
    <x v="4"/>
    <s v="France"/>
    <x v="5"/>
    <n v="208"/>
    <s v="NULL"/>
    <n v="22"/>
    <x v="790"/>
    <x v="3"/>
    <x v="5"/>
    <x v="3"/>
    <s v="NULL"/>
    <x v="0"/>
  </r>
  <r>
    <x v="1565"/>
    <x v="24"/>
    <s v="United States"/>
    <x v="0"/>
    <n v="200"/>
    <n v="0.11"/>
    <n v="491"/>
    <x v="790"/>
    <x v="3"/>
    <x v="5"/>
    <x v="4"/>
    <n v="0"/>
    <x v="0"/>
  </r>
  <r>
    <x v="410"/>
    <x v="15"/>
    <s v="United States"/>
    <x v="0"/>
    <n v="100"/>
    <n v="0.04"/>
    <n v="429"/>
    <x v="790"/>
    <x v="3"/>
    <x v="5"/>
    <x v="4"/>
    <n v="0"/>
    <x v="0"/>
  </r>
  <r>
    <x v="1566"/>
    <x v="14"/>
    <s v="United States"/>
    <x v="4"/>
    <n v="28"/>
    <s v="NULL"/>
    <n v="435"/>
    <x v="790"/>
    <x v="3"/>
    <x v="5"/>
    <x v="4"/>
    <s v="NULL"/>
    <x v="0"/>
  </r>
  <r>
    <x v="1068"/>
    <x v="16"/>
    <s v="United States"/>
    <x v="2"/>
    <s v="NULL"/>
    <s v="NULL"/>
    <n v="180"/>
    <x v="790"/>
    <x v="3"/>
    <x v="5"/>
    <x v="4"/>
    <s v="NULL"/>
    <x v="1"/>
  </r>
  <r>
    <x v="1430"/>
    <x v="18"/>
    <s v="Australia"/>
    <x v="8"/>
    <s v="NULL"/>
    <n v="0.2"/>
    <n v="86"/>
    <x v="790"/>
    <x v="3"/>
    <x v="5"/>
    <x v="3"/>
    <n v="0"/>
    <x v="0"/>
  </r>
  <r>
    <x v="1567"/>
    <x v="15"/>
    <s v="United States"/>
    <x v="5"/>
    <s v="NULL"/>
    <s v="NULL"/>
    <n v="214"/>
    <x v="790"/>
    <x v="3"/>
    <x v="5"/>
    <x v="4"/>
    <s v="NULL"/>
    <x v="1"/>
  </r>
  <r>
    <x v="1568"/>
    <x v="4"/>
    <s v="United States"/>
    <x v="2"/>
    <s v="NULL"/>
    <s v="NULL"/>
    <n v="63"/>
    <x v="790"/>
    <x v="3"/>
    <x v="5"/>
    <x v="3"/>
    <s v="NULL"/>
    <x v="1"/>
  </r>
  <r>
    <x v="1569"/>
    <x v="10"/>
    <s v="United States"/>
    <x v="0"/>
    <s v="NULL"/>
    <n v="0.14000000000000001"/>
    <n v="1100"/>
    <x v="790"/>
    <x v="3"/>
    <x v="5"/>
    <x v="2"/>
    <n v="0"/>
    <x v="0"/>
  </r>
  <r>
    <x v="1570"/>
    <x v="0"/>
    <s v="United States"/>
    <x v="5"/>
    <s v="NULL"/>
    <n v="0.15"/>
    <n v="148"/>
    <x v="790"/>
    <x v="3"/>
    <x v="5"/>
    <x v="4"/>
    <n v="0"/>
    <x v="0"/>
  </r>
  <r>
    <x v="1571"/>
    <x v="5"/>
    <s v="United States"/>
    <x v="0"/>
    <s v="NULL"/>
    <n v="0.14000000000000001"/>
    <n v="185"/>
    <x v="790"/>
    <x v="3"/>
    <x v="5"/>
    <x v="4"/>
    <n v="0"/>
    <x v="0"/>
  </r>
  <r>
    <x v="1572"/>
    <x v="0"/>
    <s v="United States"/>
    <x v="0"/>
    <n v="500"/>
    <n v="0.14000000000000001"/>
    <s v="NULL"/>
    <x v="791"/>
    <x v="3"/>
    <x v="5"/>
    <x v="1"/>
    <n v="0"/>
    <x v="0"/>
  </r>
  <r>
    <x v="1573"/>
    <x v="2"/>
    <s v="United States"/>
    <x v="1"/>
    <n v="371"/>
    <n v="0.31"/>
    <s v="NULL"/>
    <x v="791"/>
    <x v="3"/>
    <x v="5"/>
    <x v="1"/>
    <n v="0"/>
    <x v="0"/>
  </r>
  <r>
    <x v="1574"/>
    <x v="2"/>
    <s v="Germany"/>
    <x v="3"/>
    <n v="60"/>
    <n v="1"/>
    <n v="2"/>
    <x v="791"/>
    <x v="3"/>
    <x v="5"/>
    <x v="0"/>
    <n v="1"/>
    <x v="0"/>
  </r>
  <r>
    <x v="1575"/>
    <x v="7"/>
    <s v="United States"/>
    <x v="2"/>
    <s v="NULL"/>
    <n v="0.08"/>
    <n v="11"/>
    <x v="791"/>
    <x v="3"/>
    <x v="5"/>
    <x v="3"/>
    <n v="0"/>
    <x v="0"/>
  </r>
  <r>
    <x v="1576"/>
    <x v="5"/>
    <s v="India"/>
    <x v="2"/>
    <s v="NULL"/>
    <n v="0.7"/>
    <n v="40"/>
    <x v="791"/>
    <x v="3"/>
    <x v="5"/>
    <x v="3"/>
    <n v="0"/>
    <x v="0"/>
  </r>
  <r>
    <x v="546"/>
    <x v="21"/>
    <s v="United States"/>
    <x v="0"/>
    <s v="NULL"/>
    <n v="0.1"/>
    <n v="311"/>
    <x v="791"/>
    <x v="3"/>
    <x v="5"/>
    <x v="4"/>
    <n v="0"/>
    <x v="0"/>
  </r>
  <r>
    <x v="931"/>
    <x v="0"/>
    <s v="United States"/>
    <x v="0"/>
    <n v="1500"/>
    <n v="0.17"/>
    <n v="614"/>
    <x v="792"/>
    <x v="3"/>
    <x v="5"/>
    <x v="4"/>
    <n v="0"/>
    <x v="0"/>
  </r>
  <r>
    <x v="1577"/>
    <x v="0"/>
    <s v="United States"/>
    <x v="7"/>
    <n v="141"/>
    <n v="0.25"/>
    <n v="212"/>
    <x v="792"/>
    <x v="3"/>
    <x v="5"/>
    <x v="4"/>
    <n v="0"/>
    <x v="0"/>
  </r>
  <r>
    <x v="1578"/>
    <x v="10"/>
    <s v="United States"/>
    <x v="3"/>
    <n v="100"/>
    <n v="1"/>
    <s v="NULL"/>
    <x v="792"/>
    <x v="3"/>
    <x v="5"/>
    <x v="1"/>
    <n v="1"/>
    <x v="0"/>
  </r>
  <r>
    <x v="1579"/>
    <x v="2"/>
    <s v="Brazil"/>
    <x v="5"/>
    <n v="94"/>
    <s v="NULL"/>
    <n v="225"/>
    <x v="792"/>
    <x v="3"/>
    <x v="5"/>
    <x v="4"/>
    <s v="NULL"/>
    <x v="0"/>
  </r>
  <r>
    <x v="491"/>
    <x v="1"/>
    <s v="United States"/>
    <x v="1"/>
    <n v="85"/>
    <n v="7.0000000000000007E-2"/>
    <n v="30"/>
    <x v="792"/>
    <x v="3"/>
    <x v="5"/>
    <x v="3"/>
    <n v="0"/>
    <x v="0"/>
  </r>
  <r>
    <x v="1580"/>
    <x v="5"/>
    <s v="United States"/>
    <x v="4"/>
    <n v="54"/>
    <s v="NULL"/>
    <n v="719"/>
    <x v="792"/>
    <x v="3"/>
    <x v="5"/>
    <x v="4"/>
    <s v="NULL"/>
    <x v="0"/>
  </r>
  <r>
    <x v="1581"/>
    <x v="9"/>
    <s v="United States"/>
    <x v="2"/>
    <n v="22"/>
    <s v="NULL"/>
    <n v="170"/>
    <x v="792"/>
    <x v="3"/>
    <x v="5"/>
    <x v="4"/>
    <s v="NULL"/>
    <x v="0"/>
  </r>
  <r>
    <x v="1582"/>
    <x v="16"/>
    <s v="Italy"/>
    <x v="3"/>
    <s v="NULL"/>
    <n v="0.3"/>
    <n v="708"/>
    <x v="792"/>
    <x v="3"/>
    <x v="5"/>
    <x v="4"/>
    <n v="0"/>
    <x v="0"/>
  </r>
  <r>
    <x v="1049"/>
    <x v="18"/>
    <s v="Singapore"/>
    <x v="1"/>
    <s v="NULL"/>
    <s v="NULL"/>
    <n v="749"/>
    <x v="792"/>
    <x v="3"/>
    <x v="5"/>
    <x v="4"/>
    <s v="NULL"/>
    <x v="1"/>
  </r>
  <r>
    <x v="689"/>
    <x v="18"/>
    <s v="United Kingdom"/>
    <x v="11"/>
    <s v="NULL"/>
    <s v="NULL"/>
    <n v="1800"/>
    <x v="792"/>
    <x v="3"/>
    <x v="5"/>
    <x v="2"/>
    <s v="NULL"/>
    <x v="1"/>
  </r>
  <r>
    <x v="73"/>
    <x v="8"/>
    <s v="United States"/>
    <x v="1"/>
    <s v="NULL"/>
    <s v="NULL"/>
    <n v="154"/>
    <x v="792"/>
    <x v="3"/>
    <x v="5"/>
    <x v="4"/>
    <s v="NULL"/>
    <x v="1"/>
  </r>
  <r>
    <x v="1583"/>
    <x v="11"/>
    <s v="Indonesia"/>
    <x v="2"/>
    <n v="360"/>
    <n v="0.11"/>
    <n v="138"/>
    <x v="793"/>
    <x v="3"/>
    <x v="5"/>
    <x v="4"/>
    <n v="0"/>
    <x v="0"/>
  </r>
  <r>
    <x v="315"/>
    <x v="10"/>
    <s v="United States"/>
    <x v="1"/>
    <n v="100"/>
    <n v="0.2"/>
    <n v="16"/>
    <x v="794"/>
    <x v="3"/>
    <x v="5"/>
    <x v="3"/>
    <n v="0"/>
    <x v="0"/>
  </r>
  <r>
    <x v="1584"/>
    <x v="5"/>
    <s v="Canada"/>
    <x v="0"/>
    <n v="48"/>
    <n v="0.72"/>
    <n v="278"/>
    <x v="794"/>
    <x v="3"/>
    <x v="5"/>
    <x v="4"/>
    <n v="0"/>
    <x v="0"/>
  </r>
  <r>
    <x v="1585"/>
    <x v="1"/>
    <s v="India"/>
    <x v="1"/>
    <n v="40"/>
    <s v="NULL"/>
    <n v="9400"/>
    <x v="794"/>
    <x v="3"/>
    <x v="5"/>
    <x v="2"/>
    <s v="NULL"/>
    <x v="0"/>
  </r>
  <r>
    <x v="1586"/>
    <x v="20"/>
    <s v="New Zealand"/>
    <x v="9"/>
    <n v="30"/>
    <n v="0.2"/>
    <s v="NULL"/>
    <x v="794"/>
    <x v="3"/>
    <x v="5"/>
    <x v="1"/>
    <n v="0"/>
    <x v="0"/>
  </r>
  <r>
    <x v="1587"/>
    <x v="14"/>
    <s v="Brazil"/>
    <x v="7"/>
    <s v="NULL"/>
    <s v="NULL"/>
    <n v="140"/>
    <x v="794"/>
    <x v="3"/>
    <x v="5"/>
    <x v="4"/>
    <s v="NULL"/>
    <x v="1"/>
  </r>
  <r>
    <x v="1588"/>
    <x v="12"/>
    <s v="United States"/>
    <x v="0"/>
    <s v="NULL"/>
    <n v="0.28000000000000003"/>
    <n v="298"/>
    <x v="794"/>
    <x v="3"/>
    <x v="5"/>
    <x v="4"/>
    <n v="0"/>
    <x v="0"/>
  </r>
  <r>
    <x v="1589"/>
    <x v="21"/>
    <s v="United States"/>
    <x v="8"/>
    <s v="NULL"/>
    <s v="NULL"/>
    <n v="24"/>
    <x v="794"/>
    <x v="3"/>
    <x v="5"/>
    <x v="3"/>
    <s v="NULL"/>
    <x v="1"/>
  </r>
  <r>
    <x v="452"/>
    <x v="1"/>
    <s v="United States"/>
    <x v="1"/>
    <n v="1600"/>
    <n v="0.2"/>
    <n v="6"/>
    <x v="795"/>
    <x v="3"/>
    <x v="5"/>
    <x v="0"/>
    <n v="0"/>
    <x v="0"/>
  </r>
  <r>
    <x v="1590"/>
    <x v="18"/>
    <s v="United States"/>
    <x v="5"/>
    <n v="649"/>
    <n v="0.33"/>
    <n v="526"/>
    <x v="795"/>
    <x v="3"/>
    <x v="5"/>
    <x v="4"/>
    <n v="0"/>
    <x v="0"/>
  </r>
  <r>
    <x v="170"/>
    <x v="18"/>
    <s v="United Kingdom"/>
    <x v="0"/>
    <n v="350"/>
    <n v="0.09"/>
    <n v="1700"/>
    <x v="795"/>
    <x v="3"/>
    <x v="5"/>
    <x v="2"/>
    <n v="0"/>
    <x v="0"/>
  </r>
  <r>
    <x v="1591"/>
    <x v="5"/>
    <s v="United States"/>
    <x v="13"/>
    <n v="215"/>
    <n v="0.35"/>
    <n v="856"/>
    <x v="795"/>
    <x v="3"/>
    <x v="5"/>
    <x v="4"/>
    <n v="0"/>
    <x v="0"/>
  </r>
  <r>
    <x v="968"/>
    <x v="14"/>
    <s v="United States"/>
    <x v="0"/>
    <n v="155"/>
    <n v="0.1"/>
    <n v="566"/>
    <x v="795"/>
    <x v="3"/>
    <x v="5"/>
    <x v="4"/>
    <n v="0"/>
    <x v="0"/>
  </r>
  <r>
    <x v="49"/>
    <x v="22"/>
    <s v="United States"/>
    <x v="0"/>
    <n v="130"/>
    <n v="7.0000000000000007E-2"/>
    <n v="413"/>
    <x v="795"/>
    <x v="3"/>
    <x v="5"/>
    <x v="4"/>
    <n v="0"/>
    <x v="0"/>
  </r>
  <r>
    <x v="1213"/>
    <x v="2"/>
    <s v="United States"/>
    <x v="0"/>
    <n v="126"/>
    <n v="0.12"/>
    <s v="NULL"/>
    <x v="795"/>
    <x v="3"/>
    <x v="5"/>
    <x v="1"/>
    <n v="0"/>
    <x v="0"/>
  </r>
  <r>
    <x v="1592"/>
    <x v="11"/>
    <s v="Israel"/>
    <x v="0"/>
    <n v="100"/>
    <n v="0.5"/>
    <n v="317"/>
    <x v="795"/>
    <x v="3"/>
    <x v="5"/>
    <x v="4"/>
    <n v="0"/>
    <x v="0"/>
  </r>
  <r>
    <x v="1107"/>
    <x v="3"/>
    <s v="Estonia"/>
    <x v="5"/>
    <n v="66"/>
    <n v="0.12"/>
    <n v="192"/>
    <x v="795"/>
    <x v="3"/>
    <x v="5"/>
    <x v="4"/>
    <n v="0"/>
    <x v="0"/>
  </r>
  <r>
    <x v="1592"/>
    <x v="11"/>
    <s v="Israel"/>
    <x v="0"/>
    <n v="31"/>
    <n v="0.11"/>
    <n v="317"/>
    <x v="795"/>
    <x v="3"/>
    <x v="5"/>
    <x v="4"/>
    <n v="0"/>
    <x v="0"/>
  </r>
  <r>
    <x v="1593"/>
    <x v="22"/>
    <s v="United States"/>
    <x v="1"/>
    <s v="NULL"/>
    <n v="0.1"/>
    <n v="350"/>
    <x v="795"/>
    <x v="3"/>
    <x v="5"/>
    <x v="4"/>
    <n v="0"/>
    <x v="0"/>
  </r>
  <r>
    <x v="1594"/>
    <x v="4"/>
    <s v="United States"/>
    <x v="3"/>
    <s v="NULL"/>
    <s v="NULL"/>
    <s v="NULL"/>
    <x v="795"/>
    <x v="3"/>
    <x v="5"/>
    <x v="1"/>
    <s v="NULL"/>
    <x v="1"/>
  </r>
  <r>
    <x v="1595"/>
    <x v="9"/>
    <s v="India"/>
    <x v="3"/>
    <s v="NULL"/>
    <n v="1"/>
    <s v="NULL"/>
    <x v="795"/>
    <x v="3"/>
    <x v="5"/>
    <x v="1"/>
    <n v="1"/>
    <x v="0"/>
  </r>
  <r>
    <x v="1596"/>
    <x v="10"/>
    <s v="United States"/>
    <x v="0"/>
    <n v="530"/>
    <n v="0.08"/>
    <n v="800"/>
    <x v="796"/>
    <x v="3"/>
    <x v="5"/>
    <x v="4"/>
    <n v="0"/>
    <x v="0"/>
  </r>
  <r>
    <x v="763"/>
    <x v="14"/>
    <s v="United States"/>
    <x v="0"/>
    <n v="500"/>
    <n v="0.19"/>
    <n v="1500"/>
    <x v="796"/>
    <x v="3"/>
    <x v="5"/>
    <x v="2"/>
    <n v="0"/>
    <x v="0"/>
  </r>
  <r>
    <x v="1597"/>
    <x v="7"/>
    <s v="United States"/>
    <x v="11"/>
    <n v="126"/>
    <n v="0.05"/>
    <n v="746"/>
    <x v="796"/>
    <x v="3"/>
    <x v="5"/>
    <x v="4"/>
    <n v="0"/>
    <x v="0"/>
  </r>
  <r>
    <x v="1598"/>
    <x v="19"/>
    <s v="United States"/>
    <x v="11"/>
    <n v="80"/>
    <n v="7.0000000000000007E-2"/>
    <n v="583"/>
    <x v="796"/>
    <x v="3"/>
    <x v="5"/>
    <x v="4"/>
    <n v="0"/>
    <x v="0"/>
  </r>
  <r>
    <x v="867"/>
    <x v="5"/>
    <s v="United States"/>
    <x v="11"/>
    <n v="31"/>
    <n v="0.08"/>
    <n v="168"/>
    <x v="796"/>
    <x v="3"/>
    <x v="5"/>
    <x v="4"/>
    <n v="0"/>
    <x v="0"/>
  </r>
  <r>
    <x v="1599"/>
    <x v="14"/>
    <s v="United States"/>
    <x v="2"/>
    <n v="24"/>
    <n v="0.25"/>
    <n v="85"/>
    <x v="796"/>
    <x v="3"/>
    <x v="5"/>
    <x v="3"/>
    <n v="0"/>
    <x v="0"/>
  </r>
  <r>
    <x v="1600"/>
    <x v="11"/>
    <s v="Australia"/>
    <x v="3"/>
    <s v="NULL"/>
    <n v="0.75"/>
    <n v="63"/>
    <x v="796"/>
    <x v="3"/>
    <x v="5"/>
    <x v="3"/>
    <n v="0"/>
    <x v="0"/>
  </r>
  <r>
    <x v="1601"/>
    <x v="14"/>
    <s v="Canada"/>
    <x v="7"/>
    <s v="NULL"/>
    <n v="0.14000000000000001"/>
    <n v="278"/>
    <x v="796"/>
    <x v="3"/>
    <x v="5"/>
    <x v="4"/>
    <n v="0"/>
    <x v="0"/>
  </r>
  <r>
    <x v="1602"/>
    <x v="5"/>
    <s v="United States"/>
    <x v="5"/>
    <s v="NULL"/>
    <n v="1"/>
    <n v="100"/>
    <x v="796"/>
    <x v="3"/>
    <x v="5"/>
    <x v="4"/>
    <n v="1"/>
    <x v="0"/>
  </r>
  <r>
    <x v="1603"/>
    <x v="30"/>
    <s v="Australia"/>
    <x v="1"/>
    <s v="NULL"/>
    <n v="0.2"/>
    <n v="15"/>
    <x v="796"/>
    <x v="3"/>
    <x v="5"/>
    <x v="3"/>
    <n v="0"/>
    <x v="0"/>
  </r>
  <r>
    <x v="811"/>
    <x v="0"/>
    <s v="United States"/>
    <x v="0"/>
    <n v="1300"/>
    <n v="0.15"/>
    <n v="276"/>
    <x v="797"/>
    <x v="3"/>
    <x v="5"/>
    <x v="4"/>
    <n v="0"/>
    <x v="0"/>
  </r>
  <r>
    <x v="168"/>
    <x v="2"/>
    <s v="United States"/>
    <x v="0"/>
    <n v="500"/>
    <n v="0.04"/>
    <n v="1200"/>
    <x v="797"/>
    <x v="3"/>
    <x v="5"/>
    <x v="2"/>
    <n v="0"/>
    <x v="0"/>
  </r>
  <r>
    <x v="1128"/>
    <x v="3"/>
    <s v="United States"/>
    <x v="0"/>
    <n v="212"/>
    <n v="0.09"/>
    <n v="83"/>
    <x v="797"/>
    <x v="3"/>
    <x v="5"/>
    <x v="3"/>
    <n v="0"/>
    <x v="0"/>
  </r>
  <r>
    <x v="1604"/>
    <x v="19"/>
    <s v="United States"/>
    <x v="1"/>
    <n v="100"/>
    <n v="0.1"/>
    <n v="245"/>
    <x v="797"/>
    <x v="3"/>
    <x v="5"/>
    <x v="4"/>
    <n v="0"/>
    <x v="0"/>
  </r>
  <r>
    <x v="1605"/>
    <x v="14"/>
    <s v="Australia"/>
    <x v="0"/>
    <n v="83"/>
    <n v="1"/>
    <n v="299"/>
    <x v="797"/>
    <x v="3"/>
    <x v="5"/>
    <x v="4"/>
    <n v="1"/>
    <x v="0"/>
  </r>
  <r>
    <x v="1606"/>
    <x v="21"/>
    <s v="Ireland"/>
    <x v="9"/>
    <n v="27"/>
    <n v="0.09"/>
    <n v="56"/>
    <x v="797"/>
    <x v="3"/>
    <x v="5"/>
    <x v="3"/>
    <n v="0"/>
    <x v="0"/>
  </r>
  <r>
    <x v="982"/>
    <x v="7"/>
    <s v="United States"/>
    <x v="2"/>
    <s v="NULL"/>
    <n v="0.19"/>
    <n v="106"/>
    <x v="797"/>
    <x v="3"/>
    <x v="5"/>
    <x v="4"/>
    <n v="0"/>
    <x v="0"/>
  </r>
  <r>
    <x v="150"/>
    <x v="12"/>
    <s v="United States"/>
    <x v="0"/>
    <n v="6650"/>
    <n v="0.05"/>
    <s v="NULL"/>
    <x v="798"/>
    <x v="3"/>
    <x v="5"/>
    <x v="1"/>
    <n v="0"/>
    <x v="0"/>
  </r>
  <r>
    <x v="1607"/>
    <x v="23"/>
    <s v="Brazil"/>
    <x v="4"/>
    <n v="300"/>
    <n v="7.0000000000000007E-2"/>
    <n v="507"/>
    <x v="798"/>
    <x v="3"/>
    <x v="5"/>
    <x v="4"/>
    <n v="0"/>
    <x v="0"/>
  </r>
  <r>
    <x v="1608"/>
    <x v="2"/>
    <s v="Australia"/>
    <x v="1"/>
    <n v="100"/>
    <s v="NULL"/>
    <n v="80"/>
    <x v="798"/>
    <x v="3"/>
    <x v="5"/>
    <x v="3"/>
    <s v="NULL"/>
    <x v="0"/>
  </r>
  <r>
    <x v="1609"/>
    <x v="11"/>
    <s v="United States"/>
    <x v="10"/>
    <n v="80"/>
    <s v="NULL"/>
    <s v="NULL"/>
    <x v="798"/>
    <x v="3"/>
    <x v="5"/>
    <x v="1"/>
    <s v="NULL"/>
    <x v="0"/>
  </r>
  <r>
    <x v="1073"/>
    <x v="10"/>
    <s v="United States"/>
    <x v="1"/>
    <n v="59"/>
    <s v="NULL"/>
    <n v="107"/>
    <x v="798"/>
    <x v="3"/>
    <x v="5"/>
    <x v="4"/>
    <s v="NULL"/>
    <x v="0"/>
  </r>
  <r>
    <x v="1610"/>
    <x v="4"/>
    <s v="India"/>
    <x v="3"/>
    <n v="50"/>
    <n v="0.25"/>
    <n v="19"/>
    <x v="798"/>
    <x v="3"/>
    <x v="5"/>
    <x v="3"/>
    <n v="0"/>
    <x v="0"/>
  </r>
  <r>
    <x v="181"/>
    <x v="19"/>
    <s v="United States"/>
    <x v="4"/>
    <n v="20"/>
    <s v="NULL"/>
    <n v="496"/>
    <x v="798"/>
    <x v="3"/>
    <x v="5"/>
    <x v="4"/>
    <s v="NULL"/>
    <x v="0"/>
  </r>
  <r>
    <x v="1611"/>
    <x v="14"/>
    <s v="Brazil"/>
    <x v="3"/>
    <s v="NULL"/>
    <s v="NULL"/>
    <n v="2300"/>
    <x v="798"/>
    <x v="3"/>
    <x v="5"/>
    <x v="2"/>
    <s v="NULL"/>
    <x v="1"/>
  </r>
  <r>
    <x v="759"/>
    <x v="2"/>
    <s v="Singapore"/>
    <x v="3"/>
    <s v="NULL"/>
    <n v="0.11"/>
    <s v="NULL"/>
    <x v="798"/>
    <x v="3"/>
    <x v="5"/>
    <x v="1"/>
    <n v="0"/>
    <x v="0"/>
  </r>
  <r>
    <x v="1612"/>
    <x v="14"/>
    <s v="Israel"/>
    <x v="6"/>
    <s v="NULL"/>
    <s v="NULL"/>
    <n v="6"/>
    <x v="798"/>
    <x v="3"/>
    <x v="5"/>
    <x v="0"/>
    <s v="NULL"/>
    <x v="1"/>
  </r>
  <r>
    <x v="1613"/>
    <x v="5"/>
    <s v="United States"/>
    <x v="3"/>
    <n v="70"/>
    <s v="NULL"/>
    <n v="183"/>
    <x v="799"/>
    <x v="3"/>
    <x v="5"/>
    <x v="4"/>
    <s v="NULL"/>
    <x v="0"/>
  </r>
  <r>
    <x v="1614"/>
    <x v="14"/>
    <s v="Israel"/>
    <x v="2"/>
    <n v="20"/>
    <n v="0.25"/>
    <n v="42"/>
    <x v="799"/>
    <x v="3"/>
    <x v="5"/>
    <x v="3"/>
    <n v="0"/>
    <x v="0"/>
  </r>
  <r>
    <x v="1615"/>
    <x v="7"/>
    <s v="United States"/>
    <x v="11"/>
    <n v="90"/>
    <n v="0.15"/>
    <n v="396"/>
    <x v="800"/>
    <x v="3"/>
    <x v="5"/>
    <x v="4"/>
    <n v="0"/>
    <x v="0"/>
  </r>
  <r>
    <x v="1616"/>
    <x v="23"/>
    <s v="India"/>
    <x v="11"/>
    <n v="90"/>
    <s v="NULL"/>
    <n v="150"/>
    <x v="800"/>
    <x v="3"/>
    <x v="5"/>
    <x v="4"/>
    <s v="NULL"/>
    <x v="0"/>
  </r>
  <r>
    <x v="1617"/>
    <x v="9"/>
    <s v="United States"/>
    <x v="3"/>
    <n v="89"/>
    <n v="0.2"/>
    <n v="10"/>
    <x v="800"/>
    <x v="3"/>
    <x v="5"/>
    <x v="3"/>
    <n v="0"/>
    <x v="0"/>
  </r>
  <r>
    <x v="1618"/>
    <x v="30"/>
    <s v="United States"/>
    <x v="3"/>
    <s v="NULL"/>
    <n v="0.08"/>
    <n v="313"/>
    <x v="800"/>
    <x v="3"/>
    <x v="5"/>
    <x v="4"/>
    <n v="0"/>
    <x v="0"/>
  </r>
  <r>
    <x v="764"/>
    <x v="2"/>
    <s v="Australia"/>
    <x v="3"/>
    <s v="NULL"/>
    <n v="0.15"/>
    <n v="30"/>
    <x v="800"/>
    <x v="3"/>
    <x v="5"/>
    <x v="3"/>
    <n v="0"/>
    <x v="0"/>
  </r>
  <r>
    <x v="721"/>
    <x v="21"/>
    <s v="India"/>
    <x v="9"/>
    <n v="1500"/>
    <s v="NULL"/>
    <n v="5500"/>
    <x v="801"/>
    <x v="3"/>
    <x v="5"/>
    <x v="2"/>
    <s v="NULL"/>
    <x v="0"/>
  </r>
  <r>
    <x v="418"/>
    <x v="3"/>
    <s v="United States"/>
    <x v="0"/>
    <n v="300"/>
    <n v="0.05"/>
    <n v="1200"/>
    <x v="801"/>
    <x v="3"/>
    <x v="5"/>
    <x v="2"/>
    <n v="0"/>
    <x v="0"/>
  </r>
  <r>
    <x v="200"/>
    <x v="0"/>
    <s v="United States"/>
    <x v="0"/>
    <n v="250"/>
    <n v="0.02"/>
    <s v="NULL"/>
    <x v="801"/>
    <x v="3"/>
    <x v="5"/>
    <x v="1"/>
    <n v="0"/>
    <x v="0"/>
  </r>
  <r>
    <x v="1619"/>
    <x v="5"/>
    <s v="United States"/>
    <x v="5"/>
    <n v="127"/>
    <s v="NULL"/>
    <n v="160"/>
    <x v="801"/>
    <x v="3"/>
    <x v="5"/>
    <x v="4"/>
    <s v="NULL"/>
    <x v="0"/>
  </r>
  <r>
    <x v="1134"/>
    <x v="3"/>
    <s v="United Kingdom"/>
    <x v="0"/>
    <n v="125"/>
    <n v="7.0000000000000007E-2"/>
    <s v="NULL"/>
    <x v="801"/>
    <x v="3"/>
    <x v="5"/>
    <x v="1"/>
    <n v="0"/>
    <x v="0"/>
  </r>
  <r>
    <x v="501"/>
    <x v="0"/>
    <s v="United States"/>
    <x v="5"/>
    <n v="119"/>
    <n v="7.0000000000000007E-2"/>
    <n v="476"/>
    <x v="801"/>
    <x v="3"/>
    <x v="5"/>
    <x v="4"/>
    <n v="0"/>
    <x v="0"/>
  </r>
  <r>
    <x v="689"/>
    <x v="18"/>
    <s v="United States"/>
    <x v="11"/>
    <n v="100"/>
    <s v="NULL"/>
    <n v="1800"/>
    <x v="801"/>
    <x v="3"/>
    <x v="5"/>
    <x v="2"/>
    <s v="NULL"/>
    <x v="0"/>
  </r>
  <r>
    <x v="1297"/>
    <x v="19"/>
    <s v="United States"/>
    <x v="4"/>
    <n v="100"/>
    <n v="0.1"/>
    <n v="644"/>
    <x v="801"/>
    <x v="3"/>
    <x v="5"/>
    <x v="4"/>
    <n v="0"/>
    <x v="0"/>
  </r>
  <r>
    <x v="1620"/>
    <x v="9"/>
    <s v="United States"/>
    <x v="3"/>
    <n v="80"/>
    <s v="NULL"/>
    <s v="NULL"/>
    <x v="801"/>
    <x v="3"/>
    <x v="5"/>
    <x v="1"/>
    <s v="NULL"/>
    <x v="0"/>
  </r>
  <r>
    <x v="1621"/>
    <x v="6"/>
    <s v="United Kingdom"/>
    <x v="2"/>
    <n v="40"/>
    <s v="NULL"/>
    <n v="55"/>
    <x v="801"/>
    <x v="3"/>
    <x v="5"/>
    <x v="3"/>
    <s v="NULL"/>
    <x v="0"/>
  </r>
  <r>
    <x v="1622"/>
    <x v="21"/>
    <s v="United States"/>
    <x v="8"/>
    <n v="38"/>
    <s v="NULL"/>
    <n v="1500"/>
    <x v="801"/>
    <x v="3"/>
    <x v="5"/>
    <x v="2"/>
    <s v="NULL"/>
    <x v="0"/>
  </r>
  <r>
    <x v="831"/>
    <x v="0"/>
    <s v="United States"/>
    <x v="0"/>
    <s v="NULL"/>
    <s v="NULL"/>
    <n v="811"/>
    <x v="801"/>
    <x v="3"/>
    <x v="5"/>
    <x v="4"/>
    <s v="NULL"/>
    <x v="1"/>
  </r>
  <r>
    <x v="406"/>
    <x v="11"/>
    <s v="United States"/>
    <x v="0"/>
    <s v="NULL"/>
    <n v="0.1"/>
    <n v="948"/>
    <x v="801"/>
    <x v="3"/>
    <x v="5"/>
    <x v="4"/>
    <n v="0"/>
    <x v="0"/>
  </r>
  <r>
    <x v="1623"/>
    <x v="1"/>
    <s v="South Korea"/>
    <x v="0"/>
    <s v="NULL"/>
    <n v="0.2"/>
    <n v="240"/>
    <x v="801"/>
    <x v="3"/>
    <x v="5"/>
    <x v="4"/>
    <n v="0"/>
    <x v="0"/>
  </r>
  <r>
    <x v="1624"/>
    <x v="14"/>
    <s v="New Zealand"/>
    <x v="5"/>
    <s v="NULL"/>
    <s v="NULL"/>
    <n v="60"/>
    <x v="801"/>
    <x v="3"/>
    <x v="5"/>
    <x v="3"/>
    <s v="NULL"/>
    <x v="1"/>
  </r>
  <r>
    <x v="1044"/>
    <x v="15"/>
    <s v="United States"/>
    <x v="7"/>
    <s v="NULL"/>
    <s v="NULL"/>
    <n v="497"/>
    <x v="801"/>
    <x v="3"/>
    <x v="5"/>
    <x v="4"/>
    <s v="NULL"/>
    <x v="1"/>
  </r>
  <r>
    <x v="980"/>
    <x v="6"/>
    <s v="United States"/>
    <x v="0"/>
    <n v="325"/>
    <n v="0.04"/>
    <n v="2400"/>
    <x v="802"/>
    <x v="3"/>
    <x v="5"/>
    <x v="2"/>
    <n v="0"/>
    <x v="0"/>
  </r>
  <r>
    <x v="196"/>
    <x v="1"/>
    <s v="United States"/>
    <x v="0"/>
    <n v="150"/>
    <s v="NULL"/>
    <n v="1500"/>
    <x v="802"/>
    <x v="3"/>
    <x v="5"/>
    <x v="2"/>
    <s v="NULL"/>
    <x v="0"/>
  </r>
  <r>
    <x v="173"/>
    <x v="1"/>
    <s v="United States"/>
    <x v="0"/>
    <n v="140"/>
    <n v="0.04"/>
    <n v="719"/>
    <x v="802"/>
    <x v="3"/>
    <x v="5"/>
    <x v="4"/>
    <n v="0"/>
    <x v="0"/>
  </r>
  <r>
    <x v="1625"/>
    <x v="3"/>
    <s v="United States"/>
    <x v="0"/>
    <n v="121"/>
    <s v="NULL"/>
    <n v="161"/>
    <x v="802"/>
    <x v="3"/>
    <x v="5"/>
    <x v="4"/>
    <s v="NULL"/>
    <x v="0"/>
  </r>
  <r>
    <x v="1626"/>
    <x v="0"/>
    <s v="United States"/>
    <x v="11"/>
    <n v="90"/>
    <n v="0.1"/>
    <n v="415"/>
    <x v="802"/>
    <x v="3"/>
    <x v="5"/>
    <x v="4"/>
    <n v="0"/>
    <x v="0"/>
  </r>
  <r>
    <x v="1627"/>
    <x v="4"/>
    <s v="Canada"/>
    <x v="0"/>
    <n v="60"/>
    <n v="0.22"/>
    <s v="NULL"/>
    <x v="802"/>
    <x v="3"/>
    <x v="5"/>
    <x v="1"/>
    <n v="0"/>
    <x v="0"/>
  </r>
  <r>
    <x v="1628"/>
    <x v="5"/>
    <s v="United States"/>
    <x v="5"/>
    <n v="56"/>
    <n v="0.28000000000000003"/>
    <n v="215"/>
    <x v="802"/>
    <x v="3"/>
    <x v="5"/>
    <x v="4"/>
    <n v="0"/>
    <x v="0"/>
  </r>
  <r>
    <x v="1033"/>
    <x v="9"/>
    <s v="United States"/>
    <x v="4"/>
    <n v="44"/>
    <n v="0.05"/>
    <n v="536"/>
    <x v="802"/>
    <x v="3"/>
    <x v="5"/>
    <x v="4"/>
    <n v="0"/>
    <x v="0"/>
  </r>
  <r>
    <x v="1629"/>
    <x v="3"/>
    <s v="United States"/>
    <x v="0"/>
    <n v="34"/>
    <n v="0.08"/>
    <s v="NULL"/>
    <x v="802"/>
    <x v="3"/>
    <x v="5"/>
    <x v="1"/>
    <n v="0"/>
    <x v="0"/>
  </r>
  <r>
    <x v="1630"/>
    <x v="27"/>
    <s v="United States"/>
    <x v="9"/>
    <n v="24"/>
    <n v="0.03"/>
    <n v="100"/>
    <x v="802"/>
    <x v="3"/>
    <x v="5"/>
    <x v="4"/>
    <n v="0"/>
    <x v="0"/>
  </r>
  <r>
    <x v="1378"/>
    <x v="4"/>
    <s v="United States"/>
    <x v="5"/>
    <n v="17"/>
    <n v="0.1"/>
    <n v="28"/>
    <x v="802"/>
    <x v="3"/>
    <x v="5"/>
    <x v="3"/>
    <n v="0"/>
    <x v="0"/>
  </r>
  <r>
    <x v="1631"/>
    <x v="15"/>
    <s v="Canada"/>
    <x v="5"/>
    <s v="NULL"/>
    <s v="NULL"/>
    <n v="190"/>
    <x v="802"/>
    <x v="3"/>
    <x v="5"/>
    <x v="4"/>
    <s v="NULL"/>
    <x v="1"/>
  </r>
  <r>
    <x v="1632"/>
    <x v="4"/>
    <s v="United States"/>
    <x v="11"/>
    <s v="NULL"/>
    <n v="0.08"/>
    <n v="80"/>
    <x v="802"/>
    <x v="3"/>
    <x v="5"/>
    <x v="3"/>
    <n v="0"/>
    <x v="0"/>
  </r>
  <r>
    <x v="1633"/>
    <x v="5"/>
    <s v="United States"/>
    <x v="0"/>
    <s v="NULL"/>
    <n v="0.5"/>
    <n v="76"/>
    <x v="802"/>
    <x v="3"/>
    <x v="5"/>
    <x v="3"/>
    <n v="0"/>
    <x v="0"/>
  </r>
  <r>
    <x v="1015"/>
    <x v="6"/>
    <s v="Finland"/>
    <x v="0"/>
    <s v="NULL"/>
    <n v="0.08"/>
    <n v="245"/>
    <x v="802"/>
    <x v="3"/>
    <x v="5"/>
    <x v="4"/>
    <n v="0"/>
    <x v="0"/>
  </r>
  <r>
    <x v="343"/>
    <x v="1"/>
    <s v="United States"/>
    <x v="0"/>
    <s v="NULL"/>
    <n v="0.08"/>
    <s v="NULL"/>
    <x v="802"/>
    <x v="3"/>
    <x v="5"/>
    <x v="1"/>
    <n v="0"/>
    <x v="0"/>
  </r>
  <r>
    <x v="1634"/>
    <x v="7"/>
    <s v="United Kingdom"/>
    <x v="2"/>
    <s v="NULL"/>
    <s v="NULL"/>
    <n v="137"/>
    <x v="802"/>
    <x v="3"/>
    <x v="5"/>
    <x v="4"/>
    <s v="NULL"/>
    <x v="1"/>
  </r>
  <r>
    <x v="62"/>
    <x v="18"/>
    <s v="United States"/>
    <x v="3"/>
    <s v="NULL"/>
    <s v="NULL"/>
    <n v="52"/>
    <x v="802"/>
    <x v="3"/>
    <x v="5"/>
    <x v="3"/>
    <s v="NULL"/>
    <x v="1"/>
  </r>
  <r>
    <x v="31"/>
    <x v="11"/>
    <s v="United States"/>
    <x v="0"/>
    <s v="NULL"/>
    <n v="0.06"/>
    <n v="10700"/>
    <x v="802"/>
    <x v="3"/>
    <x v="5"/>
    <x v="2"/>
    <n v="0"/>
    <x v="0"/>
  </r>
  <r>
    <x v="96"/>
    <x v="14"/>
    <s v="United States"/>
    <x v="0"/>
    <n v="2000"/>
    <n v="7.0000000000000007E-2"/>
    <n v="216"/>
    <x v="803"/>
    <x v="3"/>
    <x v="6"/>
    <x v="4"/>
    <n v="0"/>
    <x v="0"/>
  </r>
  <r>
    <x v="58"/>
    <x v="6"/>
    <s v="United States"/>
    <x v="0"/>
    <n v="960"/>
    <n v="0.08"/>
    <s v="NULL"/>
    <x v="803"/>
    <x v="3"/>
    <x v="6"/>
    <x v="1"/>
    <n v="0"/>
    <x v="0"/>
  </r>
  <r>
    <x v="185"/>
    <x v="7"/>
    <s v="United States"/>
    <x v="0"/>
    <n v="525"/>
    <n v="0.03"/>
    <n v="230"/>
    <x v="803"/>
    <x v="3"/>
    <x v="6"/>
    <x v="4"/>
    <n v="0"/>
    <x v="0"/>
  </r>
  <r>
    <x v="832"/>
    <x v="10"/>
    <s v="United States"/>
    <x v="0"/>
    <n v="500"/>
    <n v="7.0000000000000007E-2"/>
    <n v="100"/>
    <x v="803"/>
    <x v="3"/>
    <x v="6"/>
    <x v="4"/>
    <n v="0"/>
    <x v="0"/>
  </r>
  <r>
    <x v="1635"/>
    <x v="14"/>
    <s v="United States"/>
    <x v="0"/>
    <n v="365"/>
    <n v="0.2"/>
    <n v="144"/>
    <x v="803"/>
    <x v="3"/>
    <x v="6"/>
    <x v="4"/>
    <n v="0"/>
    <x v="0"/>
  </r>
  <r>
    <x v="1636"/>
    <x v="6"/>
    <s v="Germany"/>
    <x v="0"/>
    <n v="200"/>
    <n v="0.04"/>
    <n v="344"/>
    <x v="803"/>
    <x v="3"/>
    <x v="6"/>
    <x v="4"/>
    <n v="0"/>
    <x v="0"/>
  </r>
  <r>
    <x v="1178"/>
    <x v="2"/>
    <s v="United States"/>
    <x v="0"/>
    <n v="150"/>
    <n v="0.17"/>
    <n v="1600"/>
    <x v="803"/>
    <x v="3"/>
    <x v="6"/>
    <x v="2"/>
    <n v="0"/>
    <x v="0"/>
  </r>
  <r>
    <x v="664"/>
    <x v="14"/>
    <s v="Germany"/>
    <x v="7"/>
    <n v="100"/>
    <s v="NULL"/>
    <n v="1300"/>
    <x v="803"/>
    <x v="3"/>
    <x v="6"/>
    <x v="2"/>
    <s v="NULL"/>
    <x v="0"/>
  </r>
  <r>
    <x v="1637"/>
    <x v="1"/>
    <s v="United States"/>
    <x v="3"/>
    <n v="60"/>
    <n v="0.14000000000000001"/>
    <n v="235"/>
    <x v="803"/>
    <x v="3"/>
    <x v="6"/>
    <x v="4"/>
    <n v="0"/>
    <x v="0"/>
  </r>
  <r>
    <x v="1638"/>
    <x v="11"/>
    <s v="Nigeria"/>
    <x v="3"/>
    <n v="54"/>
    <s v="NULL"/>
    <n v="12"/>
    <x v="803"/>
    <x v="3"/>
    <x v="6"/>
    <x v="3"/>
    <s v="NULL"/>
    <x v="0"/>
  </r>
  <r>
    <x v="1300"/>
    <x v="14"/>
    <s v="Brazil"/>
    <x v="0"/>
    <n v="40"/>
    <s v="NULL"/>
    <n v="4100"/>
    <x v="803"/>
    <x v="3"/>
    <x v="6"/>
    <x v="2"/>
    <s v="NULL"/>
    <x v="0"/>
  </r>
  <r>
    <x v="1639"/>
    <x v="3"/>
    <s v="Israel"/>
    <x v="3"/>
    <n v="19"/>
    <n v="0.09"/>
    <n v="80"/>
    <x v="803"/>
    <x v="3"/>
    <x v="6"/>
    <x v="3"/>
    <n v="0"/>
    <x v="0"/>
  </r>
  <r>
    <x v="1640"/>
    <x v="12"/>
    <s v="United States"/>
    <x v="0"/>
    <s v="NULL"/>
    <n v="0.04"/>
    <s v="NULL"/>
    <x v="803"/>
    <x v="3"/>
    <x v="6"/>
    <x v="1"/>
    <n v="0"/>
    <x v="0"/>
  </r>
  <r>
    <x v="144"/>
    <x v="6"/>
    <s v="Canada"/>
    <x v="0"/>
    <s v="NULL"/>
    <n v="0.08"/>
    <n v="1100"/>
    <x v="803"/>
    <x v="3"/>
    <x v="6"/>
    <x v="2"/>
    <n v="0"/>
    <x v="0"/>
  </r>
  <r>
    <x v="1641"/>
    <x v="5"/>
    <s v="Netherlands"/>
    <x v="0"/>
    <n v="6000"/>
    <n v="0.13"/>
    <s v="NULL"/>
    <x v="804"/>
    <x v="3"/>
    <x v="6"/>
    <x v="1"/>
    <n v="0"/>
    <x v="0"/>
  </r>
  <r>
    <x v="1275"/>
    <x v="10"/>
    <s v="Netherlands"/>
    <x v="1"/>
    <n v="1500"/>
    <n v="0.15"/>
    <s v="NULL"/>
    <x v="804"/>
    <x v="3"/>
    <x v="6"/>
    <x v="1"/>
    <n v="0"/>
    <x v="0"/>
  </r>
  <r>
    <x v="381"/>
    <x v="11"/>
    <s v="United Kingdom"/>
    <x v="0"/>
    <n v="800"/>
    <n v="0.5"/>
    <n v="629"/>
    <x v="804"/>
    <x v="3"/>
    <x v="6"/>
    <x v="4"/>
    <n v="0"/>
    <x v="0"/>
  </r>
  <r>
    <x v="60"/>
    <x v="2"/>
    <s v="United States"/>
    <x v="0"/>
    <n v="500"/>
    <s v="NULL"/>
    <n v="1400"/>
    <x v="804"/>
    <x v="3"/>
    <x v="6"/>
    <x v="2"/>
    <s v="NULL"/>
    <x v="0"/>
  </r>
  <r>
    <x v="314"/>
    <x v="12"/>
    <s v="United States"/>
    <x v="0"/>
    <n v="343"/>
    <s v="NULL"/>
    <n v="12"/>
    <x v="804"/>
    <x v="3"/>
    <x v="6"/>
    <x v="3"/>
    <s v="NULL"/>
    <x v="0"/>
  </r>
  <r>
    <x v="657"/>
    <x v="18"/>
    <s v="Spain"/>
    <x v="1"/>
    <n v="250"/>
    <n v="0.06"/>
    <n v="1200"/>
    <x v="804"/>
    <x v="3"/>
    <x v="6"/>
    <x v="2"/>
    <n v="0"/>
    <x v="0"/>
  </r>
  <r>
    <x v="595"/>
    <x v="18"/>
    <s v="Germany"/>
    <x v="0"/>
    <n v="156"/>
    <n v="0.04"/>
    <n v="9900"/>
    <x v="804"/>
    <x v="3"/>
    <x v="6"/>
    <x v="2"/>
    <n v="0"/>
    <x v="0"/>
  </r>
  <r>
    <x v="1642"/>
    <x v="18"/>
    <s v="United States"/>
    <x v="13"/>
    <n v="140"/>
    <n v="0.2"/>
    <n v="1900"/>
    <x v="804"/>
    <x v="3"/>
    <x v="6"/>
    <x v="2"/>
    <n v="0"/>
    <x v="0"/>
  </r>
  <r>
    <x v="430"/>
    <x v="2"/>
    <s v="Germany"/>
    <x v="5"/>
    <n v="65"/>
    <n v="0.13"/>
    <n v="205"/>
    <x v="804"/>
    <x v="3"/>
    <x v="6"/>
    <x v="4"/>
    <n v="0"/>
    <x v="0"/>
  </r>
  <r>
    <x v="1643"/>
    <x v="14"/>
    <s v="United States"/>
    <x v="0"/>
    <s v="NULL"/>
    <n v="0.25"/>
    <s v="NULL"/>
    <x v="804"/>
    <x v="3"/>
    <x v="6"/>
    <x v="1"/>
    <n v="0"/>
    <x v="0"/>
  </r>
  <r>
    <x v="1644"/>
    <x v="2"/>
    <s v="Brazil"/>
    <x v="11"/>
    <s v="NULL"/>
    <s v="NULL"/>
    <n v="322"/>
    <x v="804"/>
    <x v="3"/>
    <x v="6"/>
    <x v="4"/>
    <s v="NULL"/>
    <x v="1"/>
  </r>
  <r>
    <x v="1071"/>
    <x v="7"/>
    <s v="United States"/>
    <x v="5"/>
    <s v="NULL"/>
    <s v="NULL"/>
    <n v="224"/>
    <x v="804"/>
    <x v="3"/>
    <x v="6"/>
    <x v="4"/>
    <s v="NULL"/>
    <x v="1"/>
  </r>
  <r>
    <x v="1645"/>
    <x v="9"/>
    <s v="United States"/>
    <x v="2"/>
    <s v="NULL"/>
    <n v="0.33"/>
    <n v="176"/>
    <x v="804"/>
    <x v="3"/>
    <x v="6"/>
    <x v="4"/>
    <n v="0"/>
    <x v="0"/>
  </r>
  <r>
    <x v="1646"/>
    <x v="5"/>
    <s v="United States"/>
    <x v="0"/>
    <s v="NULL"/>
    <n v="0.12"/>
    <n v="425"/>
    <x v="804"/>
    <x v="3"/>
    <x v="6"/>
    <x v="4"/>
    <n v="0"/>
    <x v="0"/>
  </r>
  <r>
    <x v="869"/>
    <x v="14"/>
    <s v="United States"/>
    <x v="0"/>
    <s v="NULL"/>
    <s v="NULL"/>
    <n v="3000"/>
    <x v="804"/>
    <x v="3"/>
    <x v="6"/>
    <x v="2"/>
    <s v="NULL"/>
    <x v="1"/>
  </r>
  <r>
    <x v="1647"/>
    <x v="3"/>
    <s v="Finland"/>
    <x v="2"/>
    <s v="NULL"/>
    <s v="NULL"/>
    <n v="43"/>
    <x v="805"/>
    <x v="3"/>
    <x v="6"/>
    <x v="3"/>
    <s v="NULL"/>
    <x v="1"/>
  </r>
  <r>
    <x v="1648"/>
    <x v="14"/>
    <s v="Brazil"/>
    <x v="3"/>
    <n v="60"/>
    <n v="0.5"/>
    <s v="NULL"/>
    <x v="806"/>
    <x v="3"/>
    <x v="6"/>
    <x v="1"/>
    <n v="0"/>
    <x v="0"/>
  </r>
  <r>
    <x v="1649"/>
    <x v="9"/>
    <s v="United States"/>
    <x v="8"/>
    <n v="19"/>
    <s v="NULL"/>
    <n v="101"/>
    <x v="806"/>
    <x v="3"/>
    <x v="6"/>
    <x v="4"/>
    <s v="NULL"/>
    <x v="0"/>
  </r>
  <r>
    <x v="157"/>
    <x v="2"/>
    <s v="Canada"/>
    <x v="8"/>
    <n v="138"/>
    <n v="7.0000000000000007E-2"/>
    <s v="NULL"/>
    <x v="807"/>
    <x v="3"/>
    <x v="6"/>
    <x v="1"/>
    <n v="0"/>
    <x v="0"/>
  </r>
  <r>
    <x v="1051"/>
    <x v="2"/>
    <s v="India"/>
    <x v="11"/>
    <n v="100"/>
    <n v="0.06"/>
    <n v="390"/>
    <x v="807"/>
    <x v="3"/>
    <x v="6"/>
    <x v="4"/>
    <n v="0"/>
    <x v="0"/>
  </r>
  <r>
    <x v="1650"/>
    <x v="2"/>
    <s v="United States"/>
    <x v="6"/>
    <n v="100"/>
    <s v="NULL"/>
    <s v="NULL"/>
    <x v="807"/>
    <x v="3"/>
    <x v="6"/>
    <x v="1"/>
    <s v="NULL"/>
    <x v="0"/>
  </r>
  <r>
    <x v="244"/>
    <x v="0"/>
    <s v="United States"/>
    <x v="0"/>
    <n v="100"/>
    <s v="NULL"/>
    <s v="NULL"/>
    <x v="807"/>
    <x v="3"/>
    <x v="6"/>
    <x v="1"/>
    <s v="NULL"/>
    <x v="0"/>
  </r>
  <r>
    <x v="1651"/>
    <x v="11"/>
    <s v="Germany"/>
    <x v="3"/>
    <n v="73"/>
    <s v="NULL"/>
    <s v="NULL"/>
    <x v="807"/>
    <x v="3"/>
    <x v="6"/>
    <x v="1"/>
    <s v="NULL"/>
    <x v="0"/>
  </r>
  <r>
    <x v="1652"/>
    <x v="9"/>
    <s v="Singapore"/>
    <x v="5"/>
    <n v="29"/>
    <n v="0.1"/>
    <n v="100"/>
    <x v="807"/>
    <x v="3"/>
    <x v="6"/>
    <x v="4"/>
    <n v="0"/>
    <x v="0"/>
  </r>
  <r>
    <x v="1653"/>
    <x v="9"/>
    <s v="Canada"/>
    <x v="8"/>
    <n v="21"/>
    <n v="0.25"/>
    <n v="45"/>
    <x v="807"/>
    <x v="3"/>
    <x v="6"/>
    <x v="3"/>
    <n v="0"/>
    <x v="0"/>
  </r>
  <r>
    <x v="1654"/>
    <x v="10"/>
    <s v="Canada"/>
    <x v="2"/>
    <n v="19"/>
    <n v="0.17"/>
    <n v="21"/>
    <x v="807"/>
    <x v="3"/>
    <x v="6"/>
    <x v="3"/>
    <n v="0"/>
    <x v="0"/>
  </r>
  <r>
    <x v="1655"/>
    <x v="5"/>
    <s v="United States"/>
    <x v="8"/>
    <s v="NULL"/>
    <s v="NULL"/>
    <n v="18"/>
    <x v="807"/>
    <x v="3"/>
    <x v="6"/>
    <x v="3"/>
    <s v="NULL"/>
    <x v="1"/>
  </r>
  <r>
    <x v="1656"/>
    <x v="14"/>
    <s v="Portugal"/>
    <x v="3"/>
    <s v="NULL"/>
    <s v="NULL"/>
    <n v="273"/>
    <x v="807"/>
    <x v="3"/>
    <x v="6"/>
    <x v="4"/>
    <s v="NULL"/>
    <x v="1"/>
  </r>
  <r>
    <x v="1657"/>
    <x v="2"/>
    <s v="United States"/>
    <x v="8"/>
    <s v="NULL"/>
    <s v="NULL"/>
    <n v="47"/>
    <x v="807"/>
    <x v="3"/>
    <x v="6"/>
    <x v="3"/>
    <s v="NULL"/>
    <x v="1"/>
  </r>
  <r>
    <x v="1658"/>
    <x v="0"/>
    <s v="Germany"/>
    <x v="16"/>
    <s v="NULL"/>
    <n v="0.08"/>
    <s v="NULL"/>
    <x v="807"/>
    <x v="3"/>
    <x v="6"/>
    <x v="1"/>
    <n v="0"/>
    <x v="0"/>
  </r>
  <r>
    <x v="833"/>
    <x v="0"/>
    <s v="Germany"/>
    <x v="0"/>
    <n v="3000"/>
    <n v="0.03"/>
    <n v="1300"/>
    <x v="808"/>
    <x v="3"/>
    <x v="6"/>
    <x v="2"/>
    <n v="0"/>
    <x v="0"/>
  </r>
  <r>
    <x v="1659"/>
    <x v="6"/>
    <s v="United States"/>
    <x v="0"/>
    <n v="221"/>
    <n v="0.08"/>
    <n v="455"/>
    <x v="808"/>
    <x v="3"/>
    <x v="6"/>
    <x v="4"/>
    <n v="0"/>
    <x v="0"/>
  </r>
  <r>
    <x v="1660"/>
    <x v="13"/>
    <s v="United Kingdom"/>
    <x v="3"/>
    <n v="25"/>
    <n v="1"/>
    <n v="1"/>
    <x v="808"/>
    <x v="3"/>
    <x v="6"/>
    <x v="0"/>
    <n v="1"/>
    <x v="0"/>
  </r>
  <r>
    <x v="1661"/>
    <x v="14"/>
    <s v="United States"/>
    <x v="7"/>
    <s v="NULL"/>
    <n v="0.2"/>
    <n v="550"/>
    <x v="808"/>
    <x v="3"/>
    <x v="6"/>
    <x v="4"/>
    <n v="0"/>
    <x v="0"/>
  </r>
  <r>
    <x v="1662"/>
    <x v="14"/>
    <s v="United Kingdom"/>
    <x v="0"/>
    <s v="NULL"/>
    <n v="1"/>
    <s v="NULL"/>
    <x v="808"/>
    <x v="3"/>
    <x v="6"/>
    <x v="1"/>
    <n v="1"/>
    <x v="0"/>
  </r>
  <r>
    <x v="1663"/>
    <x v="0"/>
    <s v="United States"/>
    <x v="2"/>
    <s v="NULL"/>
    <n v="0.1"/>
    <n v="43"/>
    <x v="808"/>
    <x v="3"/>
    <x v="6"/>
    <x v="3"/>
    <n v="0"/>
    <x v="0"/>
  </r>
  <r>
    <x v="112"/>
    <x v="1"/>
    <s v="United States"/>
    <x v="7"/>
    <s v="NULL"/>
    <s v="NULL"/>
    <n v="226"/>
    <x v="808"/>
    <x v="3"/>
    <x v="6"/>
    <x v="4"/>
    <s v="NULL"/>
    <x v="1"/>
  </r>
  <r>
    <x v="544"/>
    <x v="12"/>
    <s v="United States"/>
    <x v="0"/>
    <n v="3900"/>
    <n v="0.02"/>
    <s v="NULL"/>
    <x v="809"/>
    <x v="3"/>
    <x v="6"/>
    <x v="1"/>
    <n v="0"/>
    <x v="0"/>
  </r>
  <r>
    <x v="1664"/>
    <x v="12"/>
    <s v="United States"/>
    <x v="0"/>
    <n v="1300"/>
    <n v="7.0000000000000007E-2"/>
    <s v="NULL"/>
    <x v="809"/>
    <x v="3"/>
    <x v="6"/>
    <x v="1"/>
    <n v="0"/>
    <x v="0"/>
  </r>
  <r>
    <x v="111"/>
    <x v="2"/>
    <s v="United States"/>
    <x v="1"/>
    <n v="360"/>
    <s v="NULL"/>
    <n v="50"/>
    <x v="809"/>
    <x v="3"/>
    <x v="6"/>
    <x v="3"/>
    <s v="NULL"/>
    <x v="0"/>
  </r>
  <r>
    <x v="1665"/>
    <x v="9"/>
    <s v="United Kingdom"/>
    <x v="1"/>
    <n v="330"/>
    <n v="0.35"/>
    <n v="13"/>
    <x v="809"/>
    <x v="3"/>
    <x v="6"/>
    <x v="3"/>
    <n v="0"/>
    <x v="0"/>
  </r>
  <r>
    <x v="1666"/>
    <x v="16"/>
    <s v="United States"/>
    <x v="3"/>
    <n v="250"/>
    <n v="0.25"/>
    <s v="NULL"/>
    <x v="809"/>
    <x v="3"/>
    <x v="6"/>
    <x v="1"/>
    <n v="0"/>
    <x v="0"/>
  </r>
  <r>
    <x v="1667"/>
    <x v="5"/>
    <s v="United States"/>
    <x v="0"/>
    <n v="130"/>
    <n v="7.0000000000000007E-2"/>
    <n v="550"/>
    <x v="809"/>
    <x v="3"/>
    <x v="6"/>
    <x v="4"/>
    <n v="0"/>
    <x v="0"/>
  </r>
  <r>
    <x v="1668"/>
    <x v="27"/>
    <s v="United States"/>
    <x v="7"/>
    <n v="130"/>
    <n v="0.15"/>
    <n v="171"/>
    <x v="809"/>
    <x v="3"/>
    <x v="6"/>
    <x v="4"/>
    <n v="0"/>
    <x v="0"/>
  </r>
  <r>
    <x v="938"/>
    <x v="11"/>
    <s v="Germany"/>
    <x v="7"/>
    <n v="80"/>
    <n v="7.0000000000000007E-2"/>
    <n v="646"/>
    <x v="809"/>
    <x v="3"/>
    <x v="6"/>
    <x v="4"/>
    <n v="0"/>
    <x v="0"/>
  </r>
  <r>
    <x v="1283"/>
    <x v="5"/>
    <s v="United States"/>
    <x v="8"/>
    <s v="NULL"/>
    <s v="NULL"/>
    <n v="51"/>
    <x v="809"/>
    <x v="3"/>
    <x v="6"/>
    <x v="3"/>
    <s v="NULL"/>
    <x v="1"/>
  </r>
  <r>
    <x v="1155"/>
    <x v="14"/>
    <s v="Israel"/>
    <x v="3"/>
    <s v="NULL"/>
    <s v="NULL"/>
    <s v="NULL"/>
    <x v="809"/>
    <x v="3"/>
    <x v="6"/>
    <x v="1"/>
    <s v="NULL"/>
    <x v="1"/>
  </r>
  <r>
    <x v="821"/>
    <x v="25"/>
    <s v="United States"/>
    <x v="4"/>
    <s v="NULL"/>
    <s v="NULL"/>
    <n v="657"/>
    <x v="809"/>
    <x v="3"/>
    <x v="6"/>
    <x v="4"/>
    <s v="NULL"/>
    <x v="1"/>
  </r>
  <r>
    <x v="1669"/>
    <x v="14"/>
    <s v="Brazil"/>
    <x v="0"/>
    <s v="NULL"/>
    <n v="7.0000000000000007E-2"/>
    <s v="NULL"/>
    <x v="809"/>
    <x v="3"/>
    <x v="6"/>
    <x v="1"/>
    <n v="0"/>
    <x v="0"/>
  </r>
  <r>
    <x v="1670"/>
    <x v="0"/>
    <s v="Netherlands"/>
    <x v="3"/>
    <s v="NULL"/>
    <n v="0.3"/>
    <s v="NULL"/>
    <x v="809"/>
    <x v="3"/>
    <x v="6"/>
    <x v="1"/>
    <n v="0"/>
    <x v="0"/>
  </r>
  <r>
    <x v="674"/>
    <x v="13"/>
    <s v="United States"/>
    <x v="0"/>
    <n v="1300"/>
    <n v="0.17"/>
    <n v="834"/>
    <x v="810"/>
    <x v="3"/>
    <x v="6"/>
    <x v="4"/>
    <n v="0"/>
    <x v="0"/>
  </r>
  <r>
    <x v="69"/>
    <x v="5"/>
    <s v="United States"/>
    <x v="11"/>
    <n v="245"/>
    <n v="0.15"/>
    <n v="379"/>
    <x v="810"/>
    <x v="3"/>
    <x v="6"/>
    <x v="4"/>
    <n v="0"/>
    <x v="0"/>
  </r>
  <r>
    <x v="130"/>
    <x v="14"/>
    <s v="United States"/>
    <x v="11"/>
    <n v="50"/>
    <n v="0.1"/>
    <n v="1300"/>
    <x v="810"/>
    <x v="3"/>
    <x v="6"/>
    <x v="2"/>
    <n v="0"/>
    <x v="0"/>
  </r>
  <r>
    <x v="1671"/>
    <x v="19"/>
    <s v="Canada"/>
    <x v="2"/>
    <n v="40"/>
    <n v="0.2"/>
    <n v="36"/>
    <x v="810"/>
    <x v="3"/>
    <x v="6"/>
    <x v="3"/>
    <n v="0"/>
    <x v="0"/>
  </r>
  <r>
    <x v="1672"/>
    <x v="22"/>
    <s v="Germany"/>
    <x v="8"/>
    <n v="21"/>
    <n v="0.28000000000000003"/>
    <n v="41"/>
    <x v="810"/>
    <x v="3"/>
    <x v="6"/>
    <x v="3"/>
    <n v="0"/>
    <x v="0"/>
  </r>
  <r>
    <x v="1673"/>
    <x v="5"/>
    <s v="United States"/>
    <x v="8"/>
    <n v="16"/>
    <s v="NULL"/>
    <n v="14"/>
    <x v="810"/>
    <x v="3"/>
    <x v="6"/>
    <x v="3"/>
    <s v="NULL"/>
    <x v="0"/>
  </r>
  <r>
    <x v="1674"/>
    <x v="10"/>
    <s v="Canada"/>
    <x v="3"/>
    <n v="11"/>
    <n v="0.2"/>
    <s v="NULL"/>
    <x v="810"/>
    <x v="3"/>
    <x v="6"/>
    <x v="1"/>
    <n v="0"/>
    <x v="0"/>
  </r>
  <r>
    <x v="1317"/>
    <x v="7"/>
    <s v="Germany"/>
    <x v="5"/>
    <s v="NULL"/>
    <n v="0.1"/>
    <n v="332"/>
    <x v="810"/>
    <x v="3"/>
    <x v="6"/>
    <x v="4"/>
    <n v="0"/>
    <x v="0"/>
  </r>
  <r>
    <x v="1675"/>
    <x v="14"/>
    <s v="United States"/>
    <x v="5"/>
    <s v="NULL"/>
    <n v="0.14000000000000001"/>
    <n v="160"/>
    <x v="810"/>
    <x v="3"/>
    <x v="6"/>
    <x v="4"/>
    <n v="0"/>
    <x v="0"/>
  </r>
  <r>
    <x v="440"/>
    <x v="30"/>
    <s v="United States"/>
    <x v="2"/>
    <s v="NULL"/>
    <s v="NULL"/>
    <n v="451"/>
    <x v="810"/>
    <x v="3"/>
    <x v="6"/>
    <x v="4"/>
    <s v="NULL"/>
    <x v="1"/>
  </r>
  <r>
    <x v="1676"/>
    <x v="22"/>
    <s v="United States"/>
    <x v="0"/>
    <s v="NULL"/>
    <n v="7.0000000000000007E-2"/>
    <n v="173"/>
    <x v="810"/>
    <x v="3"/>
    <x v="6"/>
    <x v="4"/>
    <n v="0"/>
    <x v="0"/>
  </r>
  <r>
    <x v="1677"/>
    <x v="7"/>
    <s v="United Kingdom"/>
    <x v="2"/>
    <s v="NULL"/>
    <n v="0.09"/>
    <n v="23"/>
    <x v="810"/>
    <x v="3"/>
    <x v="6"/>
    <x v="3"/>
    <n v="0"/>
    <x v="0"/>
  </r>
  <r>
    <x v="145"/>
    <x v="4"/>
    <s v="Sweden"/>
    <x v="0"/>
    <n v="600"/>
    <n v="0.06"/>
    <n v="2100"/>
    <x v="811"/>
    <x v="3"/>
    <x v="6"/>
    <x v="2"/>
    <n v="0"/>
    <x v="0"/>
  </r>
  <r>
    <x v="874"/>
    <x v="23"/>
    <s v="United States"/>
    <x v="10"/>
    <n v="150"/>
    <n v="0.03"/>
    <n v="2700"/>
    <x v="811"/>
    <x v="3"/>
    <x v="6"/>
    <x v="2"/>
    <n v="0"/>
    <x v="0"/>
  </r>
  <r>
    <x v="858"/>
    <x v="10"/>
    <s v="India"/>
    <x v="3"/>
    <n v="50"/>
    <s v="NULL"/>
    <n v="320"/>
    <x v="811"/>
    <x v="3"/>
    <x v="6"/>
    <x v="4"/>
    <s v="NULL"/>
    <x v="0"/>
  </r>
  <r>
    <x v="1678"/>
    <x v="10"/>
    <s v="United States"/>
    <x v="0"/>
    <n v="40"/>
    <n v="0.1"/>
    <n v="295"/>
    <x v="811"/>
    <x v="3"/>
    <x v="6"/>
    <x v="4"/>
    <n v="0"/>
    <x v="0"/>
  </r>
  <r>
    <x v="1679"/>
    <x v="2"/>
    <s v="Australia"/>
    <x v="8"/>
    <n v="30"/>
    <s v="NULL"/>
    <n v="23"/>
    <x v="811"/>
    <x v="3"/>
    <x v="6"/>
    <x v="3"/>
    <s v="NULL"/>
    <x v="0"/>
  </r>
  <r>
    <x v="1680"/>
    <x v="3"/>
    <s v="United States"/>
    <x v="2"/>
    <n v="30"/>
    <n v="0.17"/>
    <n v="97"/>
    <x v="811"/>
    <x v="3"/>
    <x v="6"/>
    <x v="3"/>
    <n v="0"/>
    <x v="0"/>
  </r>
  <r>
    <x v="1681"/>
    <x v="10"/>
    <s v="Israel"/>
    <x v="5"/>
    <n v="20"/>
    <n v="0.15"/>
    <n v="69"/>
    <x v="811"/>
    <x v="3"/>
    <x v="6"/>
    <x v="3"/>
    <n v="0"/>
    <x v="0"/>
  </r>
  <r>
    <x v="1682"/>
    <x v="21"/>
    <s v="India"/>
    <x v="8"/>
    <s v="NULL"/>
    <n v="0.7"/>
    <n v="16"/>
    <x v="811"/>
    <x v="3"/>
    <x v="6"/>
    <x v="3"/>
    <n v="0"/>
    <x v="0"/>
  </r>
  <r>
    <x v="146"/>
    <x v="9"/>
    <s v="United States"/>
    <x v="3"/>
    <s v="NULL"/>
    <n v="0.1"/>
    <n v="423"/>
    <x v="811"/>
    <x v="3"/>
    <x v="6"/>
    <x v="4"/>
    <n v="0"/>
    <x v="0"/>
  </r>
  <r>
    <x v="649"/>
    <x v="10"/>
    <s v="United States"/>
    <x v="0"/>
    <s v="NULL"/>
    <n v="0.08"/>
    <n v="117"/>
    <x v="811"/>
    <x v="3"/>
    <x v="6"/>
    <x v="4"/>
    <n v="0"/>
    <x v="0"/>
  </r>
  <r>
    <x v="1683"/>
    <x v="14"/>
    <s v="Netherlands"/>
    <x v="5"/>
    <s v="NULL"/>
    <s v="NULL"/>
    <n v="115"/>
    <x v="812"/>
    <x v="3"/>
    <x v="6"/>
    <x v="4"/>
    <s v="NULL"/>
    <x v="1"/>
  </r>
  <r>
    <x v="45"/>
    <x v="1"/>
    <s v="United States"/>
    <x v="0"/>
    <n v="12000"/>
    <n v="0.06"/>
    <n v="26"/>
    <x v="813"/>
    <x v="3"/>
    <x v="6"/>
    <x v="3"/>
    <n v="0"/>
    <x v="0"/>
  </r>
  <r>
    <x v="383"/>
    <x v="2"/>
    <s v="United States"/>
    <x v="0"/>
    <n v="1750"/>
    <n v="0.1"/>
    <n v="1700"/>
    <x v="813"/>
    <x v="3"/>
    <x v="6"/>
    <x v="2"/>
    <n v="0"/>
    <x v="0"/>
  </r>
  <r>
    <x v="825"/>
    <x v="18"/>
    <s v="India"/>
    <x v="3"/>
    <n v="380"/>
    <n v="0.06"/>
    <n v="3600"/>
    <x v="813"/>
    <x v="3"/>
    <x v="6"/>
    <x v="2"/>
    <n v="0"/>
    <x v="0"/>
  </r>
  <r>
    <x v="1684"/>
    <x v="5"/>
    <s v="India"/>
    <x v="1"/>
    <n v="200"/>
    <n v="0.08"/>
    <n v="192"/>
    <x v="813"/>
    <x v="3"/>
    <x v="6"/>
    <x v="4"/>
    <n v="0"/>
    <x v="0"/>
  </r>
  <r>
    <x v="462"/>
    <x v="4"/>
    <s v="United States"/>
    <x v="4"/>
    <n v="130"/>
    <n v="7.0000000000000007E-2"/>
    <n v="307"/>
    <x v="813"/>
    <x v="3"/>
    <x v="6"/>
    <x v="4"/>
    <n v="0"/>
    <x v="0"/>
  </r>
  <r>
    <x v="1685"/>
    <x v="24"/>
    <s v="United States"/>
    <x v="1"/>
    <n v="92"/>
    <s v="NULL"/>
    <s v="NULL"/>
    <x v="813"/>
    <x v="3"/>
    <x v="6"/>
    <x v="1"/>
    <s v="NULL"/>
    <x v="0"/>
  </r>
  <r>
    <x v="1256"/>
    <x v="7"/>
    <s v="United States"/>
    <x v="3"/>
    <n v="47"/>
    <s v="NULL"/>
    <n v="169"/>
    <x v="813"/>
    <x v="3"/>
    <x v="6"/>
    <x v="4"/>
    <s v="NULL"/>
    <x v="0"/>
  </r>
  <r>
    <x v="1686"/>
    <x v="2"/>
    <s v="Brazil"/>
    <x v="3"/>
    <n v="31"/>
    <n v="0.1"/>
    <n v="14"/>
    <x v="813"/>
    <x v="3"/>
    <x v="6"/>
    <x v="3"/>
    <n v="0"/>
    <x v="0"/>
  </r>
  <r>
    <x v="1687"/>
    <x v="5"/>
    <s v="United States"/>
    <x v="3"/>
    <n v="30"/>
    <s v="NULL"/>
    <n v="1"/>
    <x v="813"/>
    <x v="3"/>
    <x v="6"/>
    <x v="0"/>
    <s v="NULL"/>
    <x v="0"/>
  </r>
  <r>
    <x v="1688"/>
    <x v="6"/>
    <s v="United States"/>
    <x v="5"/>
    <n v="22"/>
    <n v="0.27"/>
    <n v="64"/>
    <x v="813"/>
    <x v="3"/>
    <x v="6"/>
    <x v="3"/>
    <n v="0"/>
    <x v="0"/>
  </r>
  <r>
    <x v="1689"/>
    <x v="14"/>
    <s v="United States"/>
    <x v="1"/>
    <s v="NULL"/>
    <s v="NULL"/>
    <n v="341"/>
    <x v="813"/>
    <x v="3"/>
    <x v="6"/>
    <x v="4"/>
    <s v="NULL"/>
    <x v="1"/>
  </r>
  <r>
    <x v="1690"/>
    <x v="5"/>
    <s v="United States"/>
    <x v="5"/>
    <s v="NULL"/>
    <n v="0.7"/>
    <n v="156"/>
    <x v="813"/>
    <x v="3"/>
    <x v="6"/>
    <x v="4"/>
    <n v="0"/>
    <x v="0"/>
  </r>
  <r>
    <x v="879"/>
    <x v="6"/>
    <s v="United States"/>
    <x v="2"/>
    <s v="NULL"/>
    <s v="NULL"/>
    <n v="91"/>
    <x v="813"/>
    <x v="3"/>
    <x v="6"/>
    <x v="3"/>
    <s v="NULL"/>
    <x v="1"/>
  </r>
  <r>
    <x v="1"/>
    <x v="1"/>
    <s v="United States"/>
    <x v="1"/>
    <s v="NULL"/>
    <s v="NULL"/>
    <s v="NULL"/>
    <x v="813"/>
    <x v="3"/>
    <x v="6"/>
    <x v="1"/>
    <s v="NULL"/>
    <x v="1"/>
  </r>
  <r>
    <x v="1691"/>
    <x v="2"/>
    <s v="United States"/>
    <x v="1"/>
    <s v="NULL"/>
    <s v="NULL"/>
    <n v="62"/>
    <x v="813"/>
    <x v="3"/>
    <x v="6"/>
    <x v="3"/>
    <s v="NULL"/>
    <x v="1"/>
  </r>
  <r>
    <x v="1692"/>
    <x v="14"/>
    <s v="United States"/>
    <x v="0"/>
    <n v="1100"/>
    <s v="NULL"/>
    <s v="NULL"/>
    <x v="814"/>
    <x v="3"/>
    <x v="6"/>
    <x v="1"/>
    <s v="NULL"/>
    <x v="0"/>
  </r>
  <r>
    <x v="1693"/>
    <x v="11"/>
    <s v="United States"/>
    <x v="0"/>
    <n v="300"/>
    <s v="NULL"/>
    <n v="1200"/>
    <x v="814"/>
    <x v="3"/>
    <x v="6"/>
    <x v="2"/>
    <s v="NULL"/>
    <x v="0"/>
  </r>
  <r>
    <x v="1694"/>
    <x v="16"/>
    <s v="United States"/>
    <x v="0"/>
    <n v="300"/>
    <s v="NULL"/>
    <n v="22200"/>
    <x v="814"/>
    <x v="3"/>
    <x v="6"/>
    <x v="2"/>
    <s v="NULL"/>
    <x v="0"/>
  </r>
  <r>
    <x v="985"/>
    <x v="0"/>
    <s v="United States"/>
    <x v="2"/>
    <n v="115"/>
    <n v="0.35"/>
    <n v="153"/>
    <x v="814"/>
    <x v="3"/>
    <x v="6"/>
    <x v="4"/>
    <n v="0"/>
    <x v="0"/>
  </r>
  <r>
    <x v="1695"/>
    <x v="2"/>
    <s v="United States"/>
    <x v="3"/>
    <n v="100"/>
    <n v="0.05"/>
    <n v="965"/>
    <x v="814"/>
    <x v="3"/>
    <x v="6"/>
    <x v="4"/>
    <n v="0"/>
    <x v="0"/>
  </r>
  <r>
    <x v="1359"/>
    <x v="27"/>
    <s v="United States"/>
    <x v="0"/>
    <n v="62"/>
    <n v="0.09"/>
    <n v="233"/>
    <x v="814"/>
    <x v="3"/>
    <x v="6"/>
    <x v="4"/>
    <n v="0"/>
    <x v="0"/>
  </r>
  <r>
    <x v="840"/>
    <x v="1"/>
    <s v="United States"/>
    <x v="1"/>
    <n v="46"/>
    <s v="NULL"/>
    <n v="21"/>
    <x v="814"/>
    <x v="3"/>
    <x v="6"/>
    <x v="3"/>
    <s v="NULL"/>
    <x v="0"/>
  </r>
  <r>
    <x v="1696"/>
    <x v="25"/>
    <s v="United States"/>
    <x v="7"/>
    <n v="30"/>
    <s v="NULL"/>
    <n v="269"/>
    <x v="814"/>
    <x v="3"/>
    <x v="6"/>
    <x v="4"/>
    <s v="NULL"/>
    <x v="0"/>
  </r>
  <r>
    <x v="1697"/>
    <x v="11"/>
    <s v="United States"/>
    <x v="3"/>
    <s v="NULL"/>
    <n v="1"/>
    <n v="2"/>
    <x v="814"/>
    <x v="3"/>
    <x v="6"/>
    <x v="0"/>
    <n v="1"/>
    <x v="0"/>
  </r>
  <r>
    <x v="1698"/>
    <x v="4"/>
    <s v="United States"/>
    <x v="11"/>
    <s v="NULL"/>
    <s v="NULL"/>
    <n v="145"/>
    <x v="814"/>
    <x v="3"/>
    <x v="6"/>
    <x v="4"/>
    <s v="NULL"/>
    <x v="1"/>
  </r>
  <r>
    <x v="1699"/>
    <x v="12"/>
    <s v="United States"/>
    <x v="3"/>
    <s v="NULL"/>
    <s v="NULL"/>
    <n v="21"/>
    <x v="814"/>
    <x v="3"/>
    <x v="6"/>
    <x v="3"/>
    <s v="NULL"/>
    <x v="1"/>
  </r>
  <r>
    <x v="1700"/>
    <x v="27"/>
    <s v="United States"/>
    <x v="3"/>
    <s v="NULL"/>
    <s v="NULL"/>
    <n v="521"/>
    <x v="814"/>
    <x v="3"/>
    <x v="6"/>
    <x v="4"/>
    <s v="NULL"/>
    <x v="1"/>
  </r>
  <r>
    <x v="1701"/>
    <x v="10"/>
    <s v="United States"/>
    <x v="0"/>
    <s v="NULL"/>
    <n v="0.06"/>
    <n v="400"/>
    <x v="814"/>
    <x v="3"/>
    <x v="6"/>
    <x v="4"/>
    <n v="0"/>
    <x v="0"/>
  </r>
  <r>
    <x v="1702"/>
    <x v="16"/>
    <s v="Mexico"/>
    <x v="8"/>
    <s v="NULL"/>
    <n v="0.7"/>
    <n v="13"/>
    <x v="814"/>
    <x v="3"/>
    <x v="6"/>
    <x v="3"/>
    <n v="0"/>
    <x v="0"/>
  </r>
  <r>
    <x v="1703"/>
    <x v="5"/>
    <s v="United States"/>
    <x v="0"/>
    <s v="NULL"/>
    <n v="0.3"/>
    <n v="225"/>
    <x v="814"/>
    <x v="3"/>
    <x v="6"/>
    <x v="4"/>
    <n v="0"/>
    <x v="0"/>
  </r>
  <r>
    <x v="1704"/>
    <x v="6"/>
    <s v="United States"/>
    <x v="2"/>
    <s v="NULL"/>
    <n v="0.28000000000000003"/>
    <n v="56"/>
    <x v="814"/>
    <x v="3"/>
    <x v="6"/>
    <x v="3"/>
    <n v="0"/>
    <x v="0"/>
  </r>
  <r>
    <x v="1705"/>
    <x v="14"/>
    <s v="Australia"/>
    <x v="8"/>
    <s v="NULL"/>
    <s v="NULL"/>
    <n v="41"/>
    <x v="814"/>
    <x v="3"/>
    <x v="6"/>
    <x v="3"/>
    <s v="NULL"/>
    <x v="1"/>
  </r>
  <r>
    <x v="1706"/>
    <x v="26"/>
    <s v="Spain"/>
    <x v="0"/>
    <s v="NULL"/>
    <n v="0.15"/>
    <n v="167"/>
    <x v="814"/>
    <x v="3"/>
    <x v="6"/>
    <x v="4"/>
    <n v="0"/>
    <x v="0"/>
  </r>
  <r>
    <x v="0"/>
    <x v="0"/>
    <s v="United States"/>
    <x v="0"/>
    <n v="10000"/>
    <n v="0.05"/>
    <n v="1"/>
    <x v="815"/>
    <x v="3"/>
    <x v="6"/>
    <x v="0"/>
    <n v="0"/>
    <x v="0"/>
  </r>
  <r>
    <x v="403"/>
    <x v="3"/>
    <s v="United Kingdom"/>
    <x v="1"/>
    <n v="450"/>
    <n v="0.1"/>
    <n v="125"/>
    <x v="815"/>
    <x v="3"/>
    <x v="6"/>
    <x v="4"/>
    <n v="0"/>
    <x v="0"/>
  </r>
  <r>
    <x v="1707"/>
    <x v="5"/>
    <s v="United States"/>
    <x v="0"/>
    <n v="300"/>
    <n v="0.06"/>
    <n v="172"/>
    <x v="815"/>
    <x v="3"/>
    <x v="6"/>
    <x v="4"/>
    <n v="0"/>
    <x v="0"/>
  </r>
  <r>
    <x v="834"/>
    <x v="11"/>
    <s v="United States"/>
    <x v="0"/>
    <n v="275"/>
    <n v="0.2"/>
    <n v="1300"/>
    <x v="815"/>
    <x v="3"/>
    <x v="6"/>
    <x v="2"/>
    <n v="0"/>
    <x v="0"/>
  </r>
  <r>
    <x v="1708"/>
    <x v="15"/>
    <s v="United States"/>
    <x v="0"/>
    <n v="155"/>
    <n v="7.0000000000000007E-2"/>
    <n v="253"/>
    <x v="815"/>
    <x v="3"/>
    <x v="6"/>
    <x v="4"/>
    <n v="0"/>
    <x v="0"/>
  </r>
  <r>
    <x v="647"/>
    <x v="14"/>
    <s v="Israel"/>
    <x v="0"/>
    <n v="140"/>
    <n v="0.2"/>
    <n v="571"/>
    <x v="815"/>
    <x v="3"/>
    <x v="6"/>
    <x v="4"/>
    <n v="0"/>
    <x v="0"/>
  </r>
  <r>
    <x v="1709"/>
    <x v="0"/>
    <s v="Canada"/>
    <x v="3"/>
    <n v="137"/>
    <n v="0.14000000000000001"/>
    <n v="69"/>
    <x v="815"/>
    <x v="3"/>
    <x v="6"/>
    <x v="3"/>
    <n v="0"/>
    <x v="0"/>
  </r>
  <r>
    <x v="1198"/>
    <x v="13"/>
    <s v="United States"/>
    <x v="0"/>
    <n v="109"/>
    <n v="0.12"/>
    <n v="179"/>
    <x v="815"/>
    <x v="3"/>
    <x v="6"/>
    <x v="4"/>
    <n v="0"/>
    <x v="0"/>
  </r>
  <r>
    <x v="1710"/>
    <x v="3"/>
    <s v="United States"/>
    <x v="4"/>
    <n v="100"/>
    <n v="0.12"/>
    <n v="416"/>
    <x v="815"/>
    <x v="3"/>
    <x v="6"/>
    <x v="4"/>
    <n v="0"/>
    <x v="0"/>
  </r>
  <r>
    <x v="333"/>
    <x v="14"/>
    <s v="United States"/>
    <x v="0"/>
    <n v="100"/>
    <n v="7.0000000000000007E-2"/>
    <n v="1100"/>
    <x v="815"/>
    <x v="3"/>
    <x v="6"/>
    <x v="2"/>
    <n v="0"/>
    <x v="0"/>
  </r>
  <r>
    <x v="1711"/>
    <x v="0"/>
    <s v="United States"/>
    <x v="0"/>
    <n v="100"/>
    <n v="0.24"/>
    <n v="260"/>
    <x v="815"/>
    <x v="3"/>
    <x v="6"/>
    <x v="4"/>
    <n v="0"/>
    <x v="0"/>
  </r>
  <r>
    <x v="256"/>
    <x v="10"/>
    <s v="Canada"/>
    <x v="5"/>
    <n v="70"/>
    <n v="7.0000000000000007E-2"/>
    <n v="300"/>
    <x v="815"/>
    <x v="3"/>
    <x v="6"/>
    <x v="4"/>
    <n v="0"/>
    <x v="0"/>
  </r>
  <r>
    <x v="1712"/>
    <x v="5"/>
    <s v="Germany"/>
    <x v="3"/>
    <n v="31"/>
    <n v="0.31"/>
    <n v="47"/>
    <x v="815"/>
    <x v="3"/>
    <x v="6"/>
    <x v="3"/>
    <n v="0"/>
    <x v="0"/>
  </r>
  <r>
    <x v="1713"/>
    <x v="14"/>
    <s v="United States"/>
    <x v="4"/>
    <n v="20"/>
    <n v="0.03"/>
    <n v="491"/>
    <x v="815"/>
    <x v="3"/>
    <x v="6"/>
    <x v="4"/>
    <n v="0"/>
    <x v="0"/>
  </r>
  <r>
    <x v="1714"/>
    <x v="18"/>
    <s v="United States"/>
    <x v="3"/>
    <s v="NULL"/>
    <n v="0.1"/>
    <n v="275"/>
    <x v="815"/>
    <x v="3"/>
    <x v="6"/>
    <x v="4"/>
    <n v="0"/>
    <x v="0"/>
  </r>
  <r>
    <x v="1715"/>
    <x v="24"/>
    <s v="Finland"/>
    <x v="7"/>
    <s v="NULL"/>
    <n v="0.2"/>
    <n v="420"/>
    <x v="815"/>
    <x v="3"/>
    <x v="6"/>
    <x v="4"/>
    <n v="0"/>
    <x v="0"/>
  </r>
  <r>
    <x v="1716"/>
    <x v="1"/>
    <s v="United States"/>
    <x v="0"/>
    <s v="NULL"/>
    <n v="0.15"/>
    <n v="946"/>
    <x v="815"/>
    <x v="3"/>
    <x v="6"/>
    <x v="4"/>
    <n v="0"/>
    <x v="0"/>
  </r>
  <r>
    <x v="1717"/>
    <x v="5"/>
    <s v="Chile"/>
    <x v="5"/>
    <s v="NULL"/>
    <n v="0.3"/>
    <n v="204"/>
    <x v="815"/>
    <x v="3"/>
    <x v="6"/>
    <x v="4"/>
    <n v="0"/>
    <x v="0"/>
  </r>
  <r>
    <x v="1718"/>
    <x v="11"/>
    <s v="United Kingdom"/>
    <x v="0"/>
    <s v="NULL"/>
    <s v="NULL"/>
    <n v="2000"/>
    <x v="815"/>
    <x v="3"/>
    <x v="6"/>
    <x v="2"/>
    <s v="NULL"/>
    <x v="1"/>
  </r>
  <r>
    <x v="1719"/>
    <x v="0"/>
    <s v="United States"/>
    <x v="7"/>
    <s v="NULL"/>
    <s v="NULL"/>
    <n v="240"/>
    <x v="815"/>
    <x v="3"/>
    <x v="6"/>
    <x v="4"/>
    <s v="NULL"/>
    <x v="1"/>
  </r>
  <r>
    <x v="638"/>
    <x v="22"/>
    <s v="United States"/>
    <x v="2"/>
    <s v="NULL"/>
    <s v="NULL"/>
    <n v="54"/>
    <x v="815"/>
    <x v="3"/>
    <x v="6"/>
    <x v="3"/>
    <s v="NULL"/>
    <x v="1"/>
  </r>
  <r>
    <x v="1720"/>
    <x v="5"/>
    <s v="United States"/>
    <x v="0"/>
    <s v="NULL"/>
    <n v="0.2"/>
    <s v="NULL"/>
    <x v="815"/>
    <x v="3"/>
    <x v="6"/>
    <x v="1"/>
    <n v="0"/>
    <x v="0"/>
  </r>
  <r>
    <x v="1721"/>
    <x v="24"/>
    <s v="United States"/>
    <x v="1"/>
    <s v="NULL"/>
    <s v="NULL"/>
    <n v="854"/>
    <x v="815"/>
    <x v="3"/>
    <x v="6"/>
    <x v="4"/>
    <s v="NULL"/>
    <x v="1"/>
  </r>
  <r>
    <x v="1360"/>
    <x v="2"/>
    <s v="Australia"/>
    <x v="0"/>
    <s v="NULL"/>
    <n v="0.14000000000000001"/>
    <n v="55"/>
    <x v="815"/>
    <x v="3"/>
    <x v="6"/>
    <x v="3"/>
    <n v="0"/>
    <x v="0"/>
  </r>
  <r>
    <x v="465"/>
    <x v="2"/>
    <s v="Canada"/>
    <x v="0"/>
    <n v="300"/>
    <n v="0.1"/>
    <n v="1200"/>
    <x v="816"/>
    <x v="3"/>
    <x v="6"/>
    <x v="2"/>
    <n v="0"/>
    <x v="0"/>
  </r>
  <r>
    <x v="407"/>
    <x v="0"/>
    <s v="United States"/>
    <x v="0"/>
    <n v="284"/>
    <n v="0.03"/>
    <n v="1300"/>
    <x v="816"/>
    <x v="3"/>
    <x v="6"/>
    <x v="2"/>
    <n v="0"/>
    <x v="0"/>
  </r>
  <r>
    <x v="1722"/>
    <x v="11"/>
    <s v="United Kingdom"/>
    <x v="3"/>
    <n v="206"/>
    <n v="1"/>
    <n v="2400"/>
    <x v="816"/>
    <x v="3"/>
    <x v="6"/>
    <x v="2"/>
    <n v="1"/>
    <x v="0"/>
  </r>
  <r>
    <x v="1723"/>
    <x v="11"/>
    <s v="Canada"/>
    <x v="3"/>
    <n v="150"/>
    <s v="NULL"/>
    <n v="253"/>
    <x v="816"/>
    <x v="3"/>
    <x v="6"/>
    <x v="4"/>
    <s v="NULL"/>
    <x v="0"/>
  </r>
  <r>
    <x v="1724"/>
    <x v="15"/>
    <s v="India"/>
    <x v="7"/>
    <n v="142"/>
    <n v="0.15"/>
    <n v="87"/>
    <x v="816"/>
    <x v="3"/>
    <x v="6"/>
    <x v="3"/>
    <n v="0"/>
    <x v="0"/>
  </r>
  <r>
    <x v="1725"/>
    <x v="0"/>
    <s v="Brazil"/>
    <x v="7"/>
    <n v="110"/>
    <n v="0.1"/>
    <n v="336"/>
    <x v="816"/>
    <x v="3"/>
    <x v="6"/>
    <x v="4"/>
    <n v="0"/>
    <x v="0"/>
  </r>
  <r>
    <x v="1726"/>
    <x v="30"/>
    <s v="Colombia"/>
    <x v="2"/>
    <n v="100"/>
    <s v="NULL"/>
    <n v="218"/>
    <x v="816"/>
    <x v="3"/>
    <x v="6"/>
    <x v="4"/>
    <s v="NULL"/>
    <x v="0"/>
  </r>
  <r>
    <x v="1727"/>
    <x v="0"/>
    <s v="United States"/>
    <x v="1"/>
    <n v="50"/>
    <n v="0.65"/>
    <n v="92"/>
    <x v="816"/>
    <x v="3"/>
    <x v="6"/>
    <x v="3"/>
    <n v="0"/>
    <x v="0"/>
  </r>
  <r>
    <x v="1728"/>
    <x v="16"/>
    <s v="United States"/>
    <x v="2"/>
    <n v="44"/>
    <s v="NULL"/>
    <n v="31"/>
    <x v="816"/>
    <x v="3"/>
    <x v="6"/>
    <x v="3"/>
    <s v="NULL"/>
    <x v="0"/>
  </r>
  <r>
    <x v="1729"/>
    <x v="0"/>
    <s v="United States"/>
    <x v="0"/>
    <n v="30"/>
    <s v="NULL"/>
    <n v="44"/>
    <x v="816"/>
    <x v="3"/>
    <x v="6"/>
    <x v="3"/>
    <s v="NULL"/>
    <x v="0"/>
  </r>
  <r>
    <x v="493"/>
    <x v="0"/>
    <s v="United States"/>
    <x v="0"/>
    <s v="NULL"/>
    <s v="NULL"/>
    <n v="700"/>
    <x v="816"/>
    <x v="3"/>
    <x v="6"/>
    <x v="4"/>
    <s v="NULL"/>
    <x v="1"/>
  </r>
  <r>
    <x v="1730"/>
    <x v="1"/>
    <s v="Sweden"/>
    <x v="3"/>
    <s v="NULL"/>
    <s v="NULL"/>
    <n v="59"/>
    <x v="816"/>
    <x v="3"/>
    <x v="6"/>
    <x v="3"/>
    <s v="NULL"/>
    <x v="1"/>
  </r>
  <r>
    <x v="1731"/>
    <x v="11"/>
    <s v="India"/>
    <x v="5"/>
    <s v="NULL"/>
    <n v="0.7"/>
    <n v="54"/>
    <x v="816"/>
    <x v="3"/>
    <x v="6"/>
    <x v="3"/>
    <n v="0"/>
    <x v="0"/>
  </r>
  <r>
    <x v="887"/>
    <x v="15"/>
    <s v="United States"/>
    <x v="0"/>
    <s v="NULL"/>
    <n v="0.16"/>
    <n v="12"/>
    <x v="816"/>
    <x v="3"/>
    <x v="6"/>
    <x v="3"/>
    <n v="0"/>
    <x v="0"/>
  </r>
  <r>
    <x v="18"/>
    <x v="0"/>
    <s v="United States"/>
    <x v="0"/>
    <s v="NULL"/>
    <s v="NULL"/>
    <s v="NULL"/>
    <x v="816"/>
    <x v="3"/>
    <x v="6"/>
    <x v="1"/>
    <s v="NULL"/>
    <x v="1"/>
  </r>
  <r>
    <x v="1732"/>
    <x v="18"/>
    <s v="Argentina"/>
    <x v="3"/>
    <s v="NULL"/>
    <s v="NULL"/>
    <n v="2300"/>
    <x v="816"/>
    <x v="3"/>
    <x v="6"/>
    <x v="2"/>
    <s v="NULL"/>
    <x v="1"/>
  </r>
  <r>
    <x v="1733"/>
    <x v="14"/>
    <s v="United States"/>
    <x v="1"/>
    <s v="NULL"/>
    <s v="NULL"/>
    <n v="2"/>
    <x v="816"/>
    <x v="3"/>
    <x v="6"/>
    <x v="0"/>
    <s v="NULL"/>
    <x v="1"/>
  </r>
  <r>
    <x v="1734"/>
    <x v="14"/>
    <s v="Brazil"/>
    <x v="0"/>
    <s v="NULL"/>
    <s v="NULL"/>
    <s v="NULL"/>
    <x v="816"/>
    <x v="3"/>
    <x v="6"/>
    <x v="1"/>
    <s v="NULL"/>
    <x v="1"/>
  </r>
  <r>
    <x v="1735"/>
    <x v="14"/>
    <s v="Brazil"/>
    <x v="0"/>
    <n v="500"/>
    <n v="7.0000000000000007E-2"/>
    <s v="NULL"/>
    <x v="817"/>
    <x v="3"/>
    <x v="6"/>
    <x v="1"/>
    <n v="0"/>
    <x v="0"/>
  </r>
  <r>
    <x v="433"/>
    <x v="1"/>
    <s v="India"/>
    <x v="13"/>
    <n v="500"/>
    <n v="0.2"/>
    <n v="1700"/>
    <x v="817"/>
    <x v="3"/>
    <x v="6"/>
    <x v="2"/>
    <n v="0"/>
    <x v="0"/>
  </r>
  <r>
    <x v="1736"/>
    <x v="18"/>
    <s v="India"/>
    <x v="2"/>
    <n v="75"/>
    <s v="NULL"/>
    <n v="17"/>
    <x v="817"/>
    <x v="3"/>
    <x v="6"/>
    <x v="3"/>
    <s v="NULL"/>
    <x v="0"/>
  </r>
  <r>
    <x v="1737"/>
    <x v="14"/>
    <s v="Canada"/>
    <x v="5"/>
    <n v="50"/>
    <n v="0.3"/>
    <n v="698"/>
    <x v="817"/>
    <x v="3"/>
    <x v="6"/>
    <x v="4"/>
    <n v="0"/>
    <x v="0"/>
  </r>
  <r>
    <x v="558"/>
    <x v="18"/>
    <s v="India"/>
    <x v="3"/>
    <s v="NULL"/>
    <n v="0.03"/>
    <n v="382"/>
    <x v="817"/>
    <x v="3"/>
    <x v="6"/>
    <x v="4"/>
    <n v="0"/>
    <x v="0"/>
  </r>
  <r>
    <x v="1738"/>
    <x v="14"/>
    <s v="Australia"/>
    <x v="5"/>
    <s v="NULL"/>
    <n v="0.1"/>
    <n v="74"/>
    <x v="817"/>
    <x v="3"/>
    <x v="6"/>
    <x v="3"/>
    <n v="0"/>
    <x v="0"/>
  </r>
  <r>
    <x v="1739"/>
    <x v="18"/>
    <s v="India"/>
    <x v="3"/>
    <s v="NULL"/>
    <n v="0.02"/>
    <n v="548"/>
    <x v="817"/>
    <x v="3"/>
    <x v="6"/>
    <x v="4"/>
    <n v="0"/>
    <x v="0"/>
  </r>
  <r>
    <x v="1740"/>
    <x v="18"/>
    <s v="India"/>
    <x v="5"/>
    <n v="120"/>
    <s v="NULL"/>
    <n v="126"/>
    <x v="818"/>
    <x v="3"/>
    <x v="6"/>
    <x v="4"/>
    <s v="NULL"/>
    <x v="0"/>
  </r>
  <r>
    <x v="1741"/>
    <x v="10"/>
    <s v="United States"/>
    <x v="5"/>
    <n v="100"/>
    <n v="0.3"/>
    <n v="104"/>
    <x v="818"/>
    <x v="3"/>
    <x v="6"/>
    <x v="4"/>
    <n v="0"/>
    <x v="0"/>
  </r>
  <r>
    <x v="242"/>
    <x v="18"/>
    <s v="India"/>
    <x v="8"/>
    <n v="40"/>
    <n v="0.43"/>
    <n v="21"/>
    <x v="818"/>
    <x v="3"/>
    <x v="6"/>
    <x v="3"/>
    <n v="0"/>
    <x v="0"/>
  </r>
  <r>
    <x v="1742"/>
    <x v="18"/>
    <s v="India"/>
    <x v="11"/>
    <s v="NULL"/>
    <n v="0.05"/>
    <n v="254"/>
    <x v="818"/>
    <x v="3"/>
    <x v="6"/>
    <x v="4"/>
    <n v="0"/>
    <x v="0"/>
  </r>
  <r>
    <x v="1743"/>
    <x v="12"/>
    <s v="China"/>
    <x v="3"/>
    <n v="900"/>
    <s v="NULL"/>
    <s v="NULL"/>
    <x v="819"/>
    <x v="3"/>
    <x v="6"/>
    <x v="1"/>
    <s v="NULL"/>
    <x v="0"/>
  </r>
  <r>
    <x v="690"/>
    <x v="11"/>
    <s v="India"/>
    <x v="14"/>
    <n v="200"/>
    <s v="NULL"/>
    <n v="5000"/>
    <x v="819"/>
    <x v="3"/>
    <x v="6"/>
    <x v="2"/>
    <s v="NULL"/>
    <x v="0"/>
  </r>
  <r>
    <x v="1069"/>
    <x v="0"/>
    <s v="United States"/>
    <x v="3"/>
    <n v="140"/>
    <n v="0.1"/>
    <s v="NULL"/>
    <x v="819"/>
    <x v="3"/>
    <x v="6"/>
    <x v="1"/>
    <n v="0"/>
    <x v="0"/>
  </r>
  <r>
    <x v="1744"/>
    <x v="5"/>
    <s v="United States"/>
    <x v="2"/>
    <n v="40"/>
    <s v="NULL"/>
    <n v="101"/>
    <x v="819"/>
    <x v="3"/>
    <x v="6"/>
    <x v="4"/>
    <s v="NULL"/>
    <x v="0"/>
  </r>
  <r>
    <x v="1550"/>
    <x v="5"/>
    <s v="United States"/>
    <x v="5"/>
    <s v="NULL"/>
    <n v="1"/>
    <n v="155"/>
    <x v="819"/>
    <x v="3"/>
    <x v="6"/>
    <x v="4"/>
    <n v="1"/>
    <x v="0"/>
  </r>
  <r>
    <x v="1745"/>
    <x v="11"/>
    <s v="United States"/>
    <x v="0"/>
    <s v="NULL"/>
    <s v="NULL"/>
    <n v="1600"/>
    <x v="819"/>
    <x v="3"/>
    <x v="6"/>
    <x v="2"/>
    <s v="NULL"/>
    <x v="1"/>
  </r>
  <r>
    <x v="1746"/>
    <x v="10"/>
    <s v="United States"/>
    <x v="3"/>
    <s v="NULL"/>
    <s v="NULL"/>
    <n v="2"/>
    <x v="819"/>
    <x v="3"/>
    <x v="6"/>
    <x v="0"/>
    <s v="NULL"/>
    <x v="1"/>
  </r>
  <r>
    <x v="1747"/>
    <x v="0"/>
    <s v="United States"/>
    <x v="1"/>
    <s v="NULL"/>
    <s v="NULL"/>
    <n v="21"/>
    <x v="819"/>
    <x v="3"/>
    <x v="6"/>
    <x v="3"/>
    <s v="NULL"/>
    <x v="1"/>
  </r>
  <r>
    <x v="1748"/>
    <x v="22"/>
    <s v="United States"/>
    <x v="5"/>
    <s v="NULL"/>
    <n v="0.09"/>
    <n v="114"/>
    <x v="819"/>
    <x v="3"/>
    <x v="6"/>
    <x v="4"/>
    <n v="0"/>
    <x v="0"/>
  </r>
  <r>
    <x v="1014"/>
    <x v="14"/>
    <s v="United States"/>
    <x v="0"/>
    <n v="225"/>
    <n v="0.14000000000000001"/>
    <n v="392"/>
    <x v="820"/>
    <x v="3"/>
    <x v="6"/>
    <x v="4"/>
    <n v="0"/>
    <x v="0"/>
  </r>
  <r>
    <x v="1749"/>
    <x v="4"/>
    <s v="Japan"/>
    <x v="4"/>
    <n v="120"/>
    <n v="0.4"/>
    <n v="410"/>
    <x v="820"/>
    <x v="3"/>
    <x v="6"/>
    <x v="4"/>
    <n v="0"/>
    <x v="0"/>
  </r>
  <r>
    <x v="1750"/>
    <x v="15"/>
    <s v="India"/>
    <x v="2"/>
    <n v="115"/>
    <s v="NULL"/>
    <n v="28"/>
    <x v="820"/>
    <x v="3"/>
    <x v="6"/>
    <x v="3"/>
    <s v="NULL"/>
    <x v="0"/>
  </r>
  <r>
    <x v="1751"/>
    <x v="14"/>
    <s v="Brazil"/>
    <x v="2"/>
    <n v="111"/>
    <n v="0.39"/>
    <n v="42"/>
    <x v="820"/>
    <x v="3"/>
    <x v="6"/>
    <x v="3"/>
    <n v="0"/>
    <x v="0"/>
  </r>
  <r>
    <x v="1752"/>
    <x v="9"/>
    <s v="United Kingdom"/>
    <x v="7"/>
    <n v="110"/>
    <n v="0.28000000000000003"/>
    <n v="490"/>
    <x v="820"/>
    <x v="3"/>
    <x v="6"/>
    <x v="4"/>
    <n v="0"/>
    <x v="0"/>
  </r>
  <r>
    <x v="1753"/>
    <x v="7"/>
    <s v="United States"/>
    <x v="4"/>
    <n v="105"/>
    <n v="0.15"/>
    <n v="328"/>
    <x v="820"/>
    <x v="3"/>
    <x v="6"/>
    <x v="4"/>
    <n v="0"/>
    <x v="0"/>
  </r>
  <r>
    <x v="1754"/>
    <x v="14"/>
    <s v="United States"/>
    <x v="7"/>
    <n v="104"/>
    <n v="0.21"/>
    <n v="556"/>
    <x v="820"/>
    <x v="3"/>
    <x v="6"/>
    <x v="4"/>
    <n v="0"/>
    <x v="0"/>
  </r>
  <r>
    <x v="1755"/>
    <x v="14"/>
    <s v="India"/>
    <x v="2"/>
    <n v="100"/>
    <s v="NULL"/>
    <n v="41"/>
    <x v="820"/>
    <x v="3"/>
    <x v="6"/>
    <x v="3"/>
    <s v="NULL"/>
    <x v="0"/>
  </r>
  <r>
    <x v="1756"/>
    <x v="6"/>
    <s v="United States"/>
    <x v="3"/>
    <n v="64"/>
    <s v="NULL"/>
    <n v="334"/>
    <x v="820"/>
    <x v="3"/>
    <x v="6"/>
    <x v="4"/>
    <s v="NULL"/>
    <x v="0"/>
  </r>
  <r>
    <x v="1757"/>
    <x v="5"/>
    <s v="United States"/>
    <x v="0"/>
    <n v="55"/>
    <n v="0.06"/>
    <s v="NULL"/>
    <x v="820"/>
    <x v="3"/>
    <x v="6"/>
    <x v="1"/>
    <n v="0"/>
    <x v="0"/>
  </r>
  <r>
    <x v="1062"/>
    <x v="5"/>
    <s v="United States"/>
    <x v="0"/>
    <n v="46"/>
    <n v="0.3"/>
    <n v="301"/>
    <x v="820"/>
    <x v="3"/>
    <x v="6"/>
    <x v="4"/>
    <n v="0"/>
    <x v="0"/>
  </r>
  <r>
    <x v="1758"/>
    <x v="21"/>
    <s v="United States"/>
    <x v="2"/>
    <n v="22"/>
    <s v="NULL"/>
    <n v="51"/>
    <x v="820"/>
    <x v="3"/>
    <x v="6"/>
    <x v="3"/>
    <s v="NULL"/>
    <x v="0"/>
  </r>
  <r>
    <x v="148"/>
    <x v="9"/>
    <s v="Singapore"/>
    <x v="3"/>
    <s v="NULL"/>
    <n v="0.2"/>
    <s v="NULL"/>
    <x v="820"/>
    <x v="3"/>
    <x v="6"/>
    <x v="1"/>
    <n v="0"/>
    <x v="0"/>
  </r>
  <r>
    <x v="123"/>
    <x v="1"/>
    <s v="United States"/>
    <x v="0"/>
    <s v="NULL"/>
    <n v="0.14000000000000001"/>
    <n v="158"/>
    <x v="820"/>
    <x v="3"/>
    <x v="6"/>
    <x v="4"/>
    <n v="0"/>
    <x v="0"/>
  </r>
  <r>
    <x v="1759"/>
    <x v="10"/>
    <s v="United States"/>
    <x v="2"/>
    <s v="NULL"/>
    <n v="0.15"/>
    <n v="34"/>
    <x v="820"/>
    <x v="3"/>
    <x v="6"/>
    <x v="3"/>
    <n v="0"/>
    <x v="0"/>
  </r>
  <r>
    <x v="527"/>
    <x v="23"/>
    <s v="United States"/>
    <x v="11"/>
    <n v="640"/>
    <n v="0.2"/>
    <n v="2400"/>
    <x v="821"/>
    <x v="3"/>
    <x v="6"/>
    <x v="2"/>
    <n v="0"/>
    <x v="0"/>
  </r>
  <r>
    <x v="1029"/>
    <x v="0"/>
    <s v="United States"/>
    <x v="0"/>
    <n v="270"/>
    <n v="0.05"/>
    <n v="400"/>
    <x v="821"/>
    <x v="3"/>
    <x v="6"/>
    <x v="4"/>
    <n v="0"/>
    <x v="0"/>
  </r>
  <r>
    <x v="39"/>
    <x v="5"/>
    <s v="United States"/>
    <x v="10"/>
    <n v="250"/>
    <n v="0.15"/>
    <n v="3500"/>
    <x v="821"/>
    <x v="3"/>
    <x v="6"/>
    <x v="2"/>
    <n v="0"/>
    <x v="0"/>
  </r>
  <r>
    <x v="203"/>
    <x v="14"/>
    <s v="United States"/>
    <x v="4"/>
    <n v="123"/>
    <n v="0.11"/>
    <n v="565"/>
    <x v="821"/>
    <x v="3"/>
    <x v="6"/>
    <x v="4"/>
    <n v="0"/>
    <x v="0"/>
  </r>
  <r>
    <x v="1760"/>
    <x v="3"/>
    <s v="United States"/>
    <x v="9"/>
    <n v="100"/>
    <n v="0.06"/>
    <n v="205"/>
    <x v="821"/>
    <x v="3"/>
    <x v="6"/>
    <x v="4"/>
    <n v="0"/>
    <x v="0"/>
  </r>
  <r>
    <x v="1112"/>
    <x v="9"/>
    <s v="India"/>
    <x v="7"/>
    <n v="80"/>
    <s v="NULL"/>
    <n v="244"/>
    <x v="821"/>
    <x v="3"/>
    <x v="6"/>
    <x v="4"/>
    <s v="NULL"/>
    <x v="0"/>
  </r>
  <r>
    <x v="1303"/>
    <x v="3"/>
    <s v="United States"/>
    <x v="0"/>
    <n v="69"/>
    <s v="NULL"/>
    <n v="349"/>
    <x v="821"/>
    <x v="3"/>
    <x v="6"/>
    <x v="4"/>
    <s v="NULL"/>
    <x v="0"/>
  </r>
  <r>
    <x v="1387"/>
    <x v="5"/>
    <s v="United States"/>
    <x v="2"/>
    <n v="41"/>
    <s v="NULL"/>
    <n v="94"/>
    <x v="821"/>
    <x v="3"/>
    <x v="6"/>
    <x v="3"/>
    <s v="NULL"/>
    <x v="0"/>
  </r>
  <r>
    <x v="1761"/>
    <x v="0"/>
    <s v="United States"/>
    <x v="1"/>
    <n v="40"/>
    <n v="0.2"/>
    <s v="NULL"/>
    <x v="821"/>
    <x v="3"/>
    <x v="6"/>
    <x v="1"/>
    <n v="0"/>
    <x v="0"/>
  </r>
  <r>
    <x v="1762"/>
    <x v="1"/>
    <s v="United States"/>
    <x v="5"/>
    <n v="33"/>
    <s v="NULL"/>
    <n v="133"/>
    <x v="821"/>
    <x v="3"/>
    <x v="6"/>
    <x v="4"/>
    <s v="NULL"/>
    <x v="0"/>
  </r>
  <r>
    <x v="964"/>
    <x v="7"/>
    <s v="United States"/>
    <x v="12"/>
    <s v="NULL"/>
    <n v="0.1"/>
    <n v="1100"/>
    <x v="821"/>
    <x v="3"/>
    <x v="6"/>
    <x v="2"/>
    <n v="0"/>
    <x v="0"/>
  </r>
  <r>
    <x v="1763"/>
    <x v="7"/>
    <s v="United States"/>
    <x v="5"/>
    <s v="NULL"/>
    <n v="0.15"/>
    <n v="33"/>
    <x v="821"/>
    <x v="3"/>
    <x v="6"/>
    <x v="3"/>
    <n v="0"/>
    <x v="0"/>
  </r>
  <r>
    <x v="1071"/>
    <x v="7"/>
    <s v="United States"/>
    <x v="5"/>
    <s v="NULL"/>
    <s v="NULL"/>
    <n v="224"/>
    <x v="821"/>
    <x v="3"/>
    <x v="6"/>
    <x v="4"/>
    <s v="NULL"/>
    <x v="1"/>
  </r>
  <r>
    <x v="1764"/>
    <x v="14"/>
    <s v="United Kingdom"/>
    <x v="7"/>
    <s v="NULL"/>
    <n v="0.08"/>
    <n v="293"/>
    <x v="821"/>
    <x v="3"/>
    <x v="6"/>
    <x v="4"/>
    <n v="0"/>
    <x v="0"/>
  </r>
  <r>
    <x v="97"/>
    <x v="9"/>
    <s v="United States"/>
    <x v="0"/>
    <n v="950"/>
    <n v="0.2"/>
    <n v="549"/>
    <x v="822"/>
    <x v="3"/>
    <x v="6"/>
    <x v="4"/>
    <n v="0"/>
    <x v="0"/>
  </r>
  <r>
    <x v="204"/>
    <x v="6"/>
    <s v="United States"/>
    <x v="0"/>
    <n v="450"/>
    <n v="7.0000000000000007E-2"/>
    <s v="NULL"/>
    <x v="822"/>
    <x v="3"/>
    <x v="6"/>
    <x v="1"/>
    <n v="0"/>
    <x v="0"/>
  </r>
  <r>
    <x v="1135"/>
    <x v="14"/>
    <s v="United States"/>
    <x v="0"/>
    <n v="340"/>
    <n v="0.28000000000000003"/>
    <n v="665"/>
    <x v="822"/>
    <x v="3"/>
    <x v="6"/>
    <x v="4"/>
    <n v="0"/>
    <x v="0"/>
  </r>
  <r>
    <x v="1765"/>
    <x v="14"/>
    <s v="Australia"/>
    <x v="5"/>
    <n v="120"/>
    <s v="NULL"/>
    <n v="95"/>
    <x v="822"/>
    <x v="3"/>
    <x v="6"/>
    <x v="3"/>
    <s v="NULL"/>
    <x v="0"/>
  </r>
  <r>
    <x v="303"/>
    <x v="9"/>
    <s v="United States"/>
    <x v="7"/>
    <n v="100"/>
    <n v="0.11"/>
    <n v="726"/>
    <x v="822"/>
    <x v="3"/>
    <x v="6"/>
    <x v="4"/>
    <n v="0"/>
    <x v="0"/>
  </r>
  <r>
    <x v="1076"/>
    <x v="3"/>
    <s v="Israel"/>
    <x v="1"/>
    <n v="100"/>
    <n v="0.1"/>
    <n v="125"/>
    <x v="822"/>
    <x v="3"/>
    <x v="6"/>
    <x v="4"/>
    <n v="0"/>
    <x v="0"/>
  </r>
  <r>
    <x v="1766"/>
    <x v="21"/>
    <s v="Canada"/>
    <x v="0"/>
    <n v="76"/>
    <n v="0.19"/>
    <n v="22"/>
    <x v="822"/>
    <x v="3"/>
    <x v="6"/>
    <x v="3"/>
    <n v="0"/>
    <x v="0"/>
  </r>
  <r>
    <x v="1767"/>
    <x v="21"/>
    <s v="India"/>
    <x v="11"/>
    <n v="60"/>
    <s v="NULL"/>
    <n v="190"/>
    <x v="822"/>
    <x v="3"/>
    <x v="6"/>
    <x v="4"/>
    <s v="NULL"/>
    <x v="0"/>
  </r>
  <r>
    <x v="1768"/>
    <x v="1"/>
    <s v="United States"/>
    <x v="2"/>
    <n v="60"/>
    <n v="0.75"/>
    <n v="36"/>
    <x v="822"/>
    <x v="3"/>
    <x v="6"/>
    <x v="3"/>
    <n v="0"/>
    <x v="0"/>
  </r>
  <r>
    <x v="1769"/>
    <x v="23"/>
    <s v="Canada"/>
    <x v="5"/>
    <n v="55"/>
    <n v="0.05"/>
    <n v="178"/>
    <x v="822"/>
    <x v="3"/>
    <x v="6"/>
    <x v="4"/>
    <n v="0"/>
    <x v="0"/>
  </r>
  <r>
    <x v="1770"/>
    <x v="7"/>
    <s v="India"/>
    <x v="3"/>
    <n v="40"/>
    <n v="0.2"/>
    <s v="NULL"/>
    <x v="822"/>
    <x v="3"/>
    <x v="6"/>
    <x v="1"/>
    <n v="0"/>
    <x v="0"/>
  </r>
  <r>
    <x v="1125"/>
    <x v="4"/>
    <s v="Israel"/>
    <x v="2"/>
    <n v="40"/>
    <n v="0.2"/>
    <n v="111"/>
    <x v="822"/>
    <x v="3"/>
    <x v="6"/>
    <x v="4"/>
    <n v="0"/>
    <x v="0"/>
  </r>
  <r>
    <x v="1771"/>
    <x v="2"/>
    <s v="United States"/>
    <x v="3"/>
    <n v="25"/>
    <n v="0.04"/>
    <n v="383"/>
    <x v="822"/>
    <x v="3"/>
    <x v="6"/>
    <x v="4"/>
    <n v="0"/>
    <x v="0"/>
  </r>
  <r>
    <x v="1772"/>
    <x v="2"/>
    <s v="United States"/>
    <x v="5"/>
    <s v="NULL"/>
    <s v="NULL"/>
    <n v="120"/>
    <x v="822"/>
    <x v="3"/>
    <x v="6"/>
    <x v="4"/>
    <s v="NULL"/>
    <x v="1"/>
  </r>
  <r>
    <x v="954"/>
    <x v="7"/>
    <s v="United Kingdom"/>
    <x v="7"/>
    <s v="NULL"/>
    <n v="0.12"/>
    <n v="223"/>
    <x v="822"/>
    <x v="3"/>
    <x v="6"/>
    <x v="4"/>
    <n v="0"/>
    <x v="0"/>
  </r>
  <r>
    <x v="1771"/>
    <x v="2"/>
    <s v="United States"/>
    <x v="3"/>
    <s v="NULL"/>
    <s v="NULL"/>
    <n v="383"/>
    <x v="822"/>
    <x v="3"/>
    <x v="6"/>
    <x v="4"/>
    <s v="NULL"/>
    <x v="1"/>
  </r>
  <r>
    <x v="865"/>
    <x v="24"/>
    <s v="United States"/>
    <x v="1"/>
    <s v="NULL"/>
    <n v="0.15"/>
    <n v="20"/>
    <x v="822"/>
    <x v="3"/>
    <x v="6"/>
    <x v="3"/>
    <n v="0"/>
    <x v="0"/>
  </r>
  <r>
    <x v="1773"/>
    <x v="0"/>
    <s v="United States"/>
    <x v="8"/>
    <s v="NULL"/>
    <n v="0.21"/>
    <n v="10"/>
    <x v="822"/>
    <x v="3"/>
    <x v="6"/>
    <x v="3"/>
    <n v="0"/>
    <x v="0"/>
  </r>
  <r>
    <x v="1774"/>
    <x v="25"/>
    <s v="United States"/>
    <x v="4"/>
    <s v="NULL"/>
    <n v="0.04"/>
    <n v="404"/>
    <x v="822"/>
    <x v="3"/>
    <x v="6"/>
    <x v="4"/>
    <n v="0"/>
    <x v="0"/>
  </r>
  <r>
    <x v="1775"/>
    <x v="5"/>
    <s v="United States"/>
    <x v="0"/>
    <n v="315"/>
    <n v="0.56999999999999995"/>
    <n v="1200"/>
    <x v="823"/>
    <x v="3"/>
    <x v="6"/>
    <x v="2"/>
    <n v="0"/>
    <x v="0"/>
  </r>
  <r>
    <x v="1776"/>
    <x v="5"/>
    <s v="United States"/>
    <x v="0"/>
    <s v="NULL"/>
    <s v="NULL"/>
    <n v="560"/>
    <x v="823"/>
    <x v="3"/>
    <x v="6"/>
    <x v="4"/>
    <s v="NULL"/>
    <x v="1"/>
  </r>
  <r>
    <x v="1777"/>
    <x v="5"/>
    <s v="United States"/>
    <x v="0"/>
    <s v="NULL"/>
    <n v="0.2"/>
    <n v="656"/>
    <x v="823"/>
    <x v="3"/>
    <x v="6"/>
    <x v="4"/>
    <n v="0"/>
    <x v="0"/>
  </r>
  <r>
    <x v="309"/>
    <x v="6"/>
    <s v="United States"/>
    <x v="11"/>
    <s v="NULL"/>
    <n v="0.2"/>
    <n v="602"/>
    <x v="823"/>
    <x v="3"/>
    <x v="6"/>
    <x v="4"/>
    <n v="0"/>
    <x v="0"/>
  </r>
  <r>
    <x v="1778"/>
    <x v="4"/>
    <s v="United Kingdom"/>
    <x v="15"/>
    <n v="50"/>
    <n v="0.1"/>
    <n v="160"/>
    <x v="824"/>
    <x v="3"/>
    <x v="6"/>
    <x v="4"/>
    <n v="0"/>
    <x v="0"/>
  </r>
  <r>
    <x v="1410"/>
    <x v="0"/>
    <s v="United States"/>
    <x v="0"/>
    <n v="43"/>
    <n v="0.03"/>
    <n v="307"/>
    <x v="824"/>
    <x v="3"/>
    <x v="6"/>
    <x v="4"/>
    <n v="0"/>
    <x v="0"/>
  </r>
  <r>
    <x v="1779"/>
    <x v="10"/>
    <s v="United States"/>
    <x v="1"/>
    <s v="NULL"/>
    <s v="NULL"/>
    <n v="80"/>
    <x v="825"/>
    <x v="3"/>
    <x v="6"/>
    <x v="3"/>
    <s v="NULL"/>
    <x v="1"/>
  </r>
  <r>
    <x v="1780"/>
    <x v="9"/>
    <s v="China"/>
    <x v="3"/>
    <n v="275"/>
    <n v="0.2"/>
    <n v="2"/>
    <x v="826"/>
    <x v="3"/>
    <x v="6"/>
    <x v="0"/>
    <n v="0"/>
    <x v="0"/>
  </r>
  <r>
    <x v="761"/>
    <x v="5"/>
    <s v="United States"/>
    <x v="7"/>
    <n v="200"/>
    <s v="NULL"/>
    <n v="522"/>
    <x v="826"/>
    <x v="3"/>
    <x v="6"/>
    <x v="4"/>
    <s v="NULL"/>
    <x v="0"/>
  </r>
  <r>
    <x v="1781"/>
    <x v="11"/>
    <s v="India"/>
    <x v="7"/>
    <n v="40"/>
    <n v="0.05"/>
    <n v="214"/>
    <x v="826"/>
    <x v="3"/>
    <x v="6"/>
    <x v="4"/>
    <n v="0"/>
    <x v="0"/>
  </r>
  <r>
    <x v="1153"/>
    <x v="3"/>
    <s v="United States"/>
    <x v="5"/>
    <s v="NULL"/>
    <s v="NULL"/>
    <n v="88"/>
    <x v="826"/>
    <x v="3"/>
    <x v="6"/>
    <x v="3"/>
    <s v="NULL"/>
    <x v="1"/>
  </r>
  <r>
    <x v="1782"/>
    <x v="7"/>
    <s v="United States"/>
    <x v="9"/>
    <s v="NULL"/>
    <s v="NULL"/>
    <n v="30"/>
    <x v="826"/>
    <x v="3"/>
    <x v="6"/>
    <x v="3"/>
    <s v="NULL"/>
    <x v="1"/>
  </r>
  <r>
    <x v="1783"/>
    <x v="20"/>
    <s v="United States"/>
    <x v="3"/>
    <s v="NULL"/>
    <s v="NULL"/>
    <s v="NULL"/>
    <x v="826"/>
    <x v="3"/>
    <x v="6"/>
    <x v="1"/>
    <s v="NULL"/>
    <x v="1"/>
  </r>
  <r>
    <x v="1784"/>
    <x v="2"/>
    <s v="United States"/>
    <x v="6"/>
    <s v="NULL"/>
    <n v="1"/>
    <n v="40"/>
    <x v="826"/>
    <x v="3"/>
    <x v="6"/>
    <x v="3"/>
    <n v="1"/>
    <x v="0"/>
  </r>
  <r>
    <x v="1785"/>
    <x v="12"/>
    <s v="United States"/>
    <x v="2"/>
    <s v="NULL"/>
    <n v="0.75"/>
    <n v="204"/>
    <x v="826"/>
    <x v="3"/>
    <x v="6"/>
    <x v="4"/>
    <n v="0"/>
    <x v="0"/>
  </r>
  <r>
    <x v="1786"/>
    <x v="9"/>
    <s v="United States"/>
    <x v="8"/>
    <s v="NULL"/>
    <n v="0.3"/>
    <n v="9"/>
    <x v="826"/>
    <x v="3"/>
    <x v="6"/>
    <x v="0"/>
    <n v="0"/>
    <x v="0"/>
  </r>
  <r>
    <x v="1787"/>
    <x v="5"/>
    <s v="United States"/>
    <x v="0"/>
    <n v="388"/>
    <s v="NULL"/>
    <n v="999"/>
    <x v="827"/>
    <x v="3"/>
    <x v="6"/>
    <x v="4"/>
    <s v="NULL"/>
    <x v="0"/>
  </r>
  <r>
    <x v="1788"/>
    <x v="0"/>
    <s v="United States"/>
    <x v="0"/>
    <n v="200"/>
    <n v="0.5"/>
    <n v="326"/>
    <x v="827"/>
    <x v="3"/>
    <x v="6"/>
    <x v="4"/>
    <n v="0"/>
    <x v="0"/>
  </r>
  <r>
    <x v="1789"/>
    <x v="14"/>
    <s v="United States"/>
    <x v="11"/>
    <n v="104"/>
    <n v="0.19"/>
    <n v="646"/>
    <x v="827"/>
    <x v="3"/>
    <x v="6"/>
    <x v="4"/>
    <n v="0"/>
    <x v="0"/>
  </r>
  <r>
    <x v="1790"/>
    <x v="9"/>
    <s v="United States"/>
    <x v="8"/>
    <n v="60"/>
    <n v="0.3"/>
    <s v="NULL"/>
    <x v="827"/>
    <x v="3"/>
    <x v="6"/>
    <x v="1"/>
    <n v="0"/>
    <x v="0"/>
  </r>
  <r>
    <x v="1791"/>
    <x v="2"/>
    <s v="Singapore"/>
    <x v="4"/>
    <n v="40"/>
    <n v="0.02"/>
    <n v="472"/>
    <x v="827"/>
    <x v="3"/>
    <x v="6"/>
    <x v="4"/>
    <n v="0"/>
    <x v="0"/>
  </r>
  <r>
    <x v="1534"/>
    <x v="1"/>
    <s v="United States"/>
    <x v="0"/>
    <n v="40"/>
    <s v="NULL"/>
    <n v="12900"/>
    <x v="827"/>
    <x v="3"/>
    <x v="6"/>
    <x v="2"/>
    <s v="NULL"/>
    <x v="0"/>
  </r>
  <r>
    <x v="1792"/>
    <x v="2"/>
    <s v="United States"/>
    <x v="3"/>
    <n v="30"/>
    <n v="0.17"/>
    <n v="176"/>
    <x v="827"/>
    <x v="3"/>
    <x v="6"/>
    <x v="4"/>
    <n v="0"/>
    <x v="0"/>
  </r>
  <r>
    <x v="1793"/>
    <x v="6"/>
    <s v="Israel"/>
    <x v="5"/>
    <n v="30"/>
    <n v="0.25"/>
    <n v="116"/>
    <x v="827"/>
    <x v="3"/>
    <x v="6"/>
    <x v="4"/>
    <n v="0"/>
    <x v="0"/>
  </r>
  <r>
    <x v="1794"/>
    <x v="15"/>
    <s v="United States"/>
    <x v="9"/>
    <n v="30"/>
    <n v="0.08"/>
    <n v="178"/>
    <x v="827"/>
    <x v="3"/>
    <x v="6"/>
    <x v="4"/>
    <n v="0"/>
    <x v="0"/>
  </r>
  <r>
    <x v="1795"/>
    <x v="12"/>
    <s v="Israel"/>
    <x v="3"/>
    <n v="30"/>
    <n v="0.33"/>
    <n v="50"/>
    <x v="827"/>
    <x v="3"/>
    <x v="6"/>
    <x v="3"/>
    <n v="0"/>
    <x v="0"/>
  </r>
  <r>
    <x v="1796"/>
    <x v="2"/>
    <s v="India"/>
    <x v="2"/>
    <n v="25"/>
    <n v="0.15"/>
    <n v="62"/>
    <x v="827"/>
    <x v="3"/>
    <x v="6"/>
    <x v="3"/>
    <n v="0"/>
    <x v="0"/>
  </r>
  <r>
    <x v="1797"/>
    <x v="10"/>
    <s v="United States"/>
    <x v="11"/>
    <s v="NULL"/>
    <n v="0.15"/>
    <n v="863"/>
    <x v="827"/>
    <x v="3"/>
    <x v="6"/>
    <x v="4"/>
    <n v="0"/>
    <x v="0"/>
  </r>
  <r>
    <x v="1798"/>
    <x v="16"/>
    <s v="United States"/>
    <x v="0"/>
    <s v="NULL"/>
    <s v="NULL"/>
    <n v="1600"/>
    <x v="827"/>
    <x v="3"/>
    <x v="6"/>
    <x v="2"/>
    <s v="NULL"/>
    <x v="1"/>
  </r>
  <r>
    <x v="1394"/>
    <x v="24"/>
    <s v="Australia"/>
    <x v="0"/>
    <s v="NULL"/>
    <s v="NULL"/>
    <n v="98"/>
    <x v="827"/>
    <x v="3"/>
    <x v="6"/>
    <x v="3"/>
    <s v="NULL"/>
    <x v="1"/>
  </r>
  <r>
    <x v="843"/>
    <x v="2"/>
    <s v="United States"/>
    <x v="0"/>
    <s v="NULL"/>
    <n v="0.2"/>
    <n v="79"/>
    <x v="827"/>
    <x v="3"/>
    <x v="6"/>
    <x v="3"/>
    <n v="0"/>
    <x v="0"/>
  </r>
  <r>
    <x v="1799"/>
    <x v="5"/>
    <s v="United States"/>
    <x v="0"/>
    <s v="NULL"/>
    <n v="0.4"/>
    <n v="173"/>
    <x v="827"/>
    <x v="3"/>
    <x v="6"/>
    <x v="4"/>
    <n v="0"/>
    <x v="0"/>
  </r>
  <r>
    <x v="161"/>
    <x v="2"/>
    <s v="United States"/>
    <x v="0"/>
    <n v="8000"/>
    <n v="0.02"/>
    <n v="108"/>
    <x v="828"/>
    <x v="3"/>
    <x v="6"/>
    <x v="4"/>
    <n v="0"/>
    <x v="0"/>
  </r>
  <r>
    <x v="38"/>
    <x v="19"/>
    <s v="United States"/>
    <x v="0"/>
    <n v="8000"/>
    <n v="0.1"/>
    <n v="65"/>
    <x v="828"/>
    <x v="3"/>
    <x v="6"/>
    <x v="3"/>
    <n v="0"/>
    <x v="0"/>
  </r>
  <r>
    <x v="1424"/>
    <x v="6"/>
    <s v="United States"/>
    <x v="5"/>
    <n v="76"/>
    <n v="0.2"/>
    <n v="282"/>
    <x v="828"/>
    <x v="3"/>
    <x v="6"/>
    <x v="4"/>
    <n v="0"/>
    <x v="0"/>
  </r>
  <r>
    <x v="294"/>
    <x v="4"/>
    <s v="United States"/>
    <x v="0"/>
    <n v="75"/>
    <n v="0.11"/>
    <n v="166"/>
    <x v="828"/>
    <x v="3"/>
    <x v="6"/>
    <x v="4"/>
    <n v="0"/>
    <x v="0"/>
  </r>
  <r>
    <x v="317"/>
    <x v="20"/>
    <s v="United States"/>
    <x v="11"/>
    <n v="20"/>
    <n v="0.05"/>
    <n v="274"/>
    <x v="828"/>
    <x v="3"/>
    <x v="6"/>
    <x v="4"/>
    <n v="0"/>
    <x v="0"/>
  </r>
  <r>
    <x v="1800"/>
    <x v="5"/>
    <s v="United States"/>
    <x v="0"/>
    <s v="NULL"/>
    <n v="0.25"/>
    <n v="530"/>
    <x v="828"/>
    <x v="3"/>
    <x v="6"/>
    <x v="4"/>
    <n v="0"/>
    <x v="0"/>
  </r>
  <r>
    <x v="133"/>
    <x v="1"/>
    <s v="United States"/>
    <x v="0"/>
    <s v="NULL"/>
    <n v="0.11"/>
    <n v="450"/>
    <x v="828"/>
    <x v="3"/>
    <x v="6"/>
    <x v="4"/>
    <n v="0"/>
    <x v="0"/>
  </r>
  <r>
    <x v="1801"/>
    <x v="9"/>
    <s v="United States"/>
    <x v="3"/>
    <s v="NULL"/>
    <n v="1"/>
    <n v="29"/>
    <x v="828"/>
    <x v="3"/>
    <x v="6"/>
    <x v="3"/>
    <n v="1"/>
    <x v="0"/>
  </r>
  <r>
    <x v="1090"/>
    <x v="7"/>
    <s v="United States"/>
    <x v="0"/>
    <n v="245"/>
    <n v="0.04"/>
    <s v="NULL"/>
    <x v="829"/>
    <x v="3"/>
    <x v="6"/>
    <x v="1"/>
    <n v="0"/>
    <x v="0"/>
  </r>
  <r>
    <x v="1802"/>
    <x v="15"/>
    <s v="United States"/>
    <x v="11"/>
    <n v="76"/>
    <n v="0.1"/>
    <n v="620"/>
    <x v="829"/>
    <x v="3"/>
    <x v="6"/>
    <x v="4"/>
    <n v="0"/>
    <x v="0"/>
  </r>
  <r>
    <x v="1803"/>
    <x v="21"/>
    <s v="India"/>
    <x v="1"/>
    <n v="60"/>
    <n v="0.3"/>
    <s v="NULL"/>
    <x v="829"/>
    <x v="3"/>
    <x v="6"/>
    <x v="1"/>
    <n v="0"/>
    <x v="0"/>
  </r>
  <r>
    <x v="514"/>
    <x v="1"/>
    <s v="China"/>
    <x v="3"/>
    <s v="NULL"/>
    <n v="0.1"/>
    <n v="9400"/>
    <x v="829"/>
    <x v="3"/>
    <x v="6"/>
    <x v="2"/>
    <n v="0"/>
    <x v="0"/>
  </r>
  <r>
    <x v="56"/>
    <x v="15"/>
    <s v="United States"/>
    <x v="0"/>
    <n v="700"/>
    <n v="0.03"/>
    <s v="NULL"/>
    <x v="830"/>
    <x v="3"/>
    <x v="6"/>
    <x v="1"/>
    <n v="0"/>
    <x v="0"/>
  </r>
  <r>
    <x v="291"/>
    <x v="12"/>
    <s v="United States"/>
    <x v="0"/>
    <n v="4800"/>
    <n v="0.1"/>
    <n v="50"/>
    <x v="831"/>
    <x v="3"/>
    <x v="6"/>
    <x v="3"/>
    <n v="0"/>
    <x v="0"/>
  </r>
  <r>
    <x v="1804"/>
    <x v="12"/>
    <s v="China"/>
    <x v="11"/>
    <s v="NULL"/>
    <s v="NULL"/>
    <n v="682"/>
    <x v="831"/>
    <x v="3"/>
    <x v="6"/>
    <x v="4"/>
    <s v="NULL"/>
    <x v="1"/>
  </r>
  <r>
    <x v="1204"/>
    <x v="24"/>
    <s v="United States"/>
    <x v="8"/>
    <n v="35"/>
    <s v="NULL"/>
    <n v="39"/>
    <x v="832"/>
    <x v="4"/>
    <x v="7"/>
    <x v="3"/>
    <s v="NULL"/>
    <x v="0"/>
  </r>
  <r>
    <x v="1805"/>
    <x v="18"/>
    <s v="United Kingdom"/>
    <x v="3"/>
    <s v="NULL"/>
    <n v="0.14000000000000001"/>
    <n v="675"/>
    <x v="832"/>
    <x v="4"/>
    <x v="7"/>
    <x v="4"/>
    <n v="0"/>
    <x v="0"/>
  </r>
  <r>
    <x v="134"/>
    <x v="9"/>
    <s v="Kenya"/>
    <x v="6"/>
    <s v="NULL"/>
    <s v="NULL"/>
    <n v="23"/>
    <x v="832"/>
    <x v="4"/>
    <x v="7"/>
    <x v="3"/>
    <s v="NULL"/>
    <x v="1"/>
  </r>
  <r>
    <x v="1806"/>
    <x v="4"/>
    <s v="China"/>
    <x v="0"/>
    <s v="NULL"/>
    <n v="0.3"/>
    <n v="3700"/>
    <x v="833"/>
    <x v="4"/>
    <x v="7"/>
    <x v="2"/>
    <n v="0"/>
    <x v="0"/>
  </r>
  <r>
    <x v="1807"/>
    <x v="9"/>
    <s v="Seychelles"/>
    <x v="8"/>
    <s v="NULL"/>
    <n v="0.4"/>
    <n v="8"/>
    <x v="833"/>
    <x v="4"/>
    <x v="7"/>
    <x v="0"/>
    <n v="0"/>
    <x v="0"/>
  </r>
  <r>
    <x v="1808"/>
    <x v="14"/>
    <s v="Netherlands"/>
    <x v="1"/>
    <n v="150"/>
    <n v="0.06"/>
    <s v="NULL"/>
    <x v="834"/>
    <x v="4"/>
    <x v="7"/>
    <x v="1"/>
    <n v="0"/>
    <x v="0"/>
  </r>
  <r>
    <x v="1809"/>
    <x v="0"/>
    <s v="United Kingdom"/>
    <x v="2"/>
    <s v="NULL"/>
    <n v="0.15"/>
    <n v="96"/>
    <x v="835"/>
    <x v="4"/>
    <x v="7"/>
    <x v="3"/>
    <n v="0"/>
    <x v="0"/>
  </r>
  <r>
    <x v="1810"/>
    <x v="16"/>
    <s v="Australia"/>
    <x v="3"/>
    <n v="99"/>
    <n v="0.22"/>
    <s v="NULL"/>
    <x v="836"/>
    <x v="4"/>
    <x v="7"/>
    <x v="1"/>
    <n v="0"/>
    <x v="0"/>
  </r>
  <r>
    <x v="1811"/>
    <x v="2"/>
    <s v="France"/>
    <x v="11"/>
    <n v="93"/>
    <n v="0.13"/>
    <n v="1000"/>
    <x v="836"/>
    <x v="4"/>
    <x v="7"/>
    <x v="2"/>
    <n v="0"/>
    <x v="0"/>
  </r>
  <r>
    <x v="1812"/>
    <x v="16"/>
    <s v="United Kingdom"/>
    <x v="5"/>
    <n v="50"/>
    <s v="NULL"/>
    <n v="25"/>
    <x v="836"/>
    <x v="4"/>
    <x v="7"/>
    <x v="3"/>
    <s v="NULL"/>
    <x v="0"/>
  </r>
  <r>
    <x v="124"/>
    <x v="12"/>
    <s v="United States"/>
    <x v="0"/>
    <n v="153"/>
    <s v="NULL"/>
    <s v="NULL"/>
    <x v="837"/>
    <x v="4"/>
    <x v="7"/>
    <x v="1"/>
    <s v="NULL"/>
    <x v="0"/>
  </r>
  <r>
    <x v="928"/>
    <x v="11"/>
    <s v="United States"/>
    <x v="0"/>
    <n v="350"/>
    <n v="0.25"/>
    <n v="648"/>
    <x v="838"/>
    <x v="4"/>
    <x v="7"/>
    <x v="4"/>
    <n v="0"/>
    <x v="0"/>
  </r>
  <r>
    <x v="1813"/>
    <x v="0"/>
    <s v="Germany"/>
    <x v="8"/>
    <s v="NULL"/>
    <n v="0.5"/>
    <n v="90"/>
    <x v="838"/>
    <x v="4"/>
    <x v="7"/>
    <x v="3"/>
    <n v="0"/>
    <x v="0"/>
  </r>
  <r>
    <x v="1814"/>
    <x v="18"/>
    <s v="Singapore"/>
    <x v="11"/>
    <n v="65"/>
    <n v="0.24"/>
    <n v="50"/>
    <x v="839"/>
    <x v="4"/>
    <x v="7"/>
    <x v="3"/>
    <n v="0"/>
    <x v="0"/>
  </r>
  <r>
    <x v="1815"/>
    <x v="14"/>
    <s v="Canada"/>
    <x v="8"/>
    <n v="26"/>
    <n v="0.4"/>
    <n v="10"/>
    <x v="839"/>
    <x v="4"/>
    <x v="7"/>
    <x v="3"/>
    <n v="0"/>
    <x v="0"/>
  </r>
  <r>
    <x v="1816"/>
    <x v="6"/>
    <s v="United Kingdom"/>
    <x v="3"/>
    <s v="NULL"/>
    <s v="NULL"/>
    <n v="63"/>
    <x v="839"/>
    <x v="4"/>
    <x v="7"/>
    <x v="3"/>
    <s v="NULL"/>
    <x v="1"/>
  </r>
  <r>
    <x v="1817"/>
    <x v="1"/>
    <s v="China"/>
    <x v="4"/>
    <s v="NULL"/>
    <n v="0.1"/>
    <n v="892"/>
    <x v="839"/>
    <x v="4"/>
    <x v="7"/>
    <x v="4"/>
    <n v="0"/>
    <x v="0"/>
  </r>
  <r>
    <x v="1818"/>
    <x v="16"/>
    <s v="United States"/>
    <x v="1"/>
    <n v="18"/>
    <n v="0.13"/>
    <n v="4"/>
    <x v="840"/>
    <x v="4"/>
    <x v="7"/>
    <x v="0"/>
    <n v="0"/>
    <x v="0"/>
  </r>
  <r>
    <x v="1819"/>
    <x v="5"/>
    <s v="United States"/>
    <x v="7"/>
    <s v="NULL"/>
    <s v="NULL"/>
    <n v="136"/>
    <x v="840"/>
    <x v="4"/>
    <x v="7"/>
    <x v="4"/>
    <s v="NULL"/>
    <x v="1"/>
  </r>
  <r>
    <x v="1820"/>
    <x v="1"/>
    <s v="China"/>
    <x v="0"/>
    <s v="NULL"/>
    <s v="NULL"/>
    <n v="7400"/>
    <x v="840"/>
    <x v="4"/>
    <x v="7"/>
    <x v="2"/>
    <s v="NULL"/>
    <x v="1"/>
  </r>
  <r>
    <x v="1821"/>
    <x v="18"/>
    <s v="Australia"/>
    <x v="3"/>
    <s v="NULL"/>
    <n v="1"/>
    <n v="2"/>
    <x v="840"/>
    <x v="4"/>
    <x v="7"/>
    <x v="0"/>
    <n v="1"/>
    <x v="0"/>
  </r>
  <r>
    <x v="353"/>
    <x v="14"/>
    <s v="Germany"/>
    <x v="3"/>
    <n v="30"/>
    <n v="0.25"/>
    <n v="29"/>
    <x v="841"/>
    <x v="4"/>
    <x v="7"/>
    <x v="3"/>
    <n v="0"/>
    <x v="0"/>
  </r>
  <r>
    <x v="1822"/>
    <x v="6"/>
    <s v="Canada"/>
    <x v="8"/>
    <n v="24"/>
    <n v="0.3"/>
    <n v="26"/>
    <x v="841"/>
    <x v="4"/>
    <x v="7"/>
    <x v="3"/>
    <n v="0"/>
    <x v="0"/>
  </r>
  <r>
    <x v="1373"/>
    <x v="9"/>
    <s v="United States"/>
    <x v="2"/>
    <s v="NULL"/>
    <s v="NULL"/>
    <n v="205"/>
    <x v="841"/>
    <x v="4"/>
    <x v="7"/>
    <x v="4"/>
    <s v="NULL"/>
    <x v="1"/>
  </r>
  <r>
    <x v="1823"/>
    <x v="11"/>
    <s v="Canada"/>
    <x v="0"/>
    <s v="NULL"/>
    <s v="NULL"/>
    <s v="NULL"/>
    <x v="841"/>
    <x v="4"/>
    <x v="7"/>
    <x v="1"/>
    <s v="NULL"/>
    <x v="1"/>
  </r>
  <r>
    <x v="529"/>
    <x v="14"/>
    <s v="Canada"/>
    <x v="3"/>
    <s v="NULL"/>
    <s v="NULL"/>
    <n v="331"/>
    <x v="841"/>
    <x v="4"/>
    <x v="7"/>
    <x v="4"/>
    <s v="NULL"/>
    <x v="1"/>
  </r>
  <r>
    <x v="1824"/>
    <x v="0"/>
    <s v="United Kingdom"/>
    <x v="3"/>
    <s v="NULL"/>
    <n v="0.1"/>
    <n v="704"/>
    <x v="841"/>
    <x v="4"/>
    <x v="7"/>
    <x v="4"/>
    <n v="0"/>
    <x v="0"/>
  </r>
  <r>
    <x v="1825"/>
    <x v="14"/>
    <s v="United States"/>
    <x v="5"/>
    <s v="NULL"/>
    <n v="0.18"/>
    <n v="183"/>
    <x v="841"/>
    <x v="4"/>
    <x v="7"/>
    <x v="4"/>
    <n v="0"/>
    <x v="0"/>
  </r>
  <r>
    <x v="1826"/>
    <x v="2"/>
    <s v="Canada"/>
    <x v="8"/>
    <s v="NULL"/>
    <n v="0.12"/>
    <n v="30"/>
    <x v="841"/>
    <x v="4"/>
    <x v="7"/>
    <x v="3"/>
    <n v="0"/>
    <x v="0"/>
  </r>
  <r>
    <x v="846"/>
    <x v="5"/>
    <s v="United States"/>
    <x v="5"/>
    <s v="NULL"/>
    <n v="0.15"/>
    <n v="183"/>
    <x v="841"/>
    <x v="4"/>
    <x v="7"/>
    <x v="4"/>
    <n v="0"/>
    <x v="0"/>
  </r>
  <r>
    <x v="486"/>
    <x v="2"/>
    <s v="United States"/>
    <x v="0"/>
    <n v="180"/>
    <n v="0.13"/>
    <n v="224"/>
    <x v="842"/>
    <x v="4"/>
    <x v="7"/>
    <x v="4"/>
    <n v="0"/>
    <x v="0"/>
  </r>
  <r>
    <x v="98"/>
    <x v="15"/>
    <s v="United States"/>
    <x v="0"/>
    <n v="90"/>
    <n v="0.02"/>
    <n v="484"/>
    <x v="842"/>
    <x v="4"/>
    <x v="7"/>
    <x v="4"/>
    <n v="0"/>
    <x v="0"/>
  </r>
  <r>
    <x v="1827"/>
    <x v="0"/>
    <s v="United States"/>
    <x v="5"/>
    <n v="80"/>
    <n v="0.31"/>
    <n v="379"/>
    <x v="842"/>
    <x v="4"/>
    <x v="7"/>
    <x v="4"/>
    <n v="0"/>
    <x v="0"/>
  </r>
  <r>
    <x v="1828"/>
    <x v="7"/>
    <s v="Germany"/>
    <x v="2"/>
    <n v="60"/>
    <n v="0.2"/>
    <n v="76"/>
    <x v="842"/>
    <x v="4"/>
    <x v="7"/>
    <x v="3"/>
    <n v="0"/>
    <x v="0"/>
  </r>
  <r>
    <x v="1829"/>
    <x v="22"/>
    <s v="United States"/>
    <x v="7"/>
    <s v="NULL"/>
    <n v="0.15"/>
    <n v="183"/>
    <x v="842"/>
    <x v="4"/>
    <x v="7"/>
    <x v="4"/>
    <n v="0"/>
    <x v="0"/>
  </r>
  <r>
    <x v="1830"/>
    <x v="2"/>
    <s v="Indonesia"/>
    <x v="0"/>
    <n v="200"/>
    <n v="0.3"/>
    <n v="5100"/>
    <x v="843"/>
    <x v="4"/>
    <x v="7"/>
    <x v="2"/>
    <n v="0"/>
    <x v="0"/>
  </r>
  <r>
    <x v="837"/>
    <x v="21"/>
    <s v="Austria"/>
    <x v="7"/>
    <n v="100"/>
    <s v="NULL"/>
    <n v="686"/>
    <x v="843"/>
    <x v="4"/>
    <x v="7"/>
    <x v="4"/>
    <s v="NULL"/>
    <x v="0"/>
  </r>
  <r>
    <x v="1831"/>
    <x v="11"/>
    <s v="United States"/>
    <x v="0"/>
    <n v="72"/>
    <s v="NULL"/>
    <n v="175"/>
    <x v="843"/>
    <x v="4"/>
    <x v="7"/>
    <x v="4"/>
    <s v="NULL"/>
    <x v="0"/>
  </r>
  <r>
    <x v="473"/>
    <x v="5"/>
    <s v="United States"/>
    <x v="3"/>
    <n v="50"/>
    <n v="0.04"/>
    <n v="215"/>
    <x v="843"/>
    <x v="4"/>
    <x v="7"/>
    <x v="4"/>
    <n v="0"/>
    <x v="0"/>
  </r>
  <r>
    <x v="728"/>
    <x v="18"/>
    <s v="United States"/>
    <x v="5"/>
    <n v="40"/>
    <n v="0.1"/>
    <n v="64"/>
    <x v="843"/>
    <x v="4"/>
    <x v="7"/>
    <x v="3"/>
    <n v="0"/>
    <x v="0"/>
  </r>
  <r>
    <x v="956"/>
    <x v="16"/>
    <s v="United States"/>
    <x v="5"/>
    <s v="NULL"/>
    <s v="NULL"/>
    <n v="347"/>
    <x v="843"/>
    <x v="4"/>
    <x v="7"/>
    <x v="4"/>
    <s v="NULL"/>
    <x v="1"/>
  </r>
  <r>
    <x v="1832"/>
    <x v="1"/>
    <s v="United States"/>
    <x v="15"/>
    <n v="160"/>
    <n v="0.14000000000000001"/>
    <n v="698"/>
    <x v="844"/>
    <x v="4"/>
    <x v="7"/>
    <x v="4"/>
    <n v="0"/>
    <x v="0"/>
  </r>
  <r>
    <x v="749"/>
    <x v="24"/>
    <s v="United States"/>
    <x v="0"/>
    <n v="95"/>
    <n v="0.1"/>
    <n v="462"/>
    <x v="844"/>
    <x v="4"/>
    <x v="7"/>
    <x v="4"/>
    <n v="0"/>
    <x v="0"/>
  </r>
  <r>
    <x v="1833"/>
    <x v="5"/>
    <s v="United States"/>
    <x v="11"/>
    <n v="78"/>
    <n v="0.09"/>
    <n v="514"/>
    <x v="844"/>
    <x v="4"/>
    <x v="7"/>
    <x v="4"/>
    <n v="0"/>
    <x v="0"/>
  </r>
  <r>
    <x v="1834"/>
    <x v="10"/>
    <s v="United States"/>
    <x v="0"/>
    <n v="46"/>
    <n v="0.13"/>
    <s v="NULL"/>
    <x v="844"/>
    <x v="4"/>
    <x v="7"/>
    <x v="1"/>
    <n v="0"/>
    <x v="0"/>
  </r>
  <r>
    <x v="1292"/>
    <x v="9"/>
    <s v="United States"/>
    <x v="2"/>
    <s v="NULL"/>
    <s v="NULL"/>
    <n v="235"/>
    <x v="844"/>
    <x v="4"/>
    <x v="7"/>
    <x v="4"/>
    <s v="NULL"/>
    <x v="1"/>
  </r>
  <r>
    <x v="325"/>
    <x v="21"/>
    <s v="United States"/>
    <x v="1"/>
    <n v="400"/>
    <n v="0.2"/>
    <n v="192"/>
    <x v="845"/>
    <x v="4"/>
    <x v="7"/>
    <x v="4"/>
    <n v="0"/>
    <x v="0"/>
  </r>
  <r>
    <x v="1835"/>
    <x v="18"/>
    <s v="United States"/>
    <x v="1"/>
    <n v="329"/>
    <s v="NULL"/>
    <n v="107"/>
    <x v="845"/>
    <x v="4"/>
    <x v="7"/>
    <x v="4"/>
    <s v="NULL"/>
    <x v="0"/>
  </r>
  <r>
    <x v="1836"/>
    <x v="19"/>
    <s v="United States"/>
    <x v="2"/>
    <n v="35"/>
    <s v="NULL"/>
    <n v="51"/>
    <x v="845"/>
    <x v="4"/>
    <x v="7"/>
    <x v="3"/>
    <s v="NULL"/>
    <x v="0"/>
  </r>
  <r>
    <x v="1837"/>
    <x v="14"/>
    <s v="United States"/>
    <x v="5"/>
    <s v="NULL"/>
    <s v="NULL"/>
    <n v="189"/>
    <x v="845"/>
    <x v="4"/>
    <x v="7"/>
    <x v="4"/>
    <s v="NULL"/>
    <x v="1"/>
  </r>
  <r>
    <x v="1838"/>
    <x v="21"/>
    <s v="United States"/>
    <x v="7"/>
    <n v="43"/>
    <n v="0.25"/>
    <n v="240"/>
    <x v="846"/>
    <x v="4"/>
    <x v="7"/>
    <x v="4"/>
    <n v="0"/>
    <x v="0"/>
  </r>
  <r>
    <x v="1839"/>
    <x v="22"/>
    <s v="Germany"/>
    <x v="2"/>
    <n v="20"/>
    <n v="0.1"/>
    <n v="94"/>
    <x v="846"/>
    <x v="4"/>
    <x v="7"/>
    <x v="3"/>
    <n v="0"/>
    <x v="0"/>
  </r>
  <r>
    <x v="1840"/>
    <x v="14"/>
    <s v="United States"/>
    <x v="5"/>
    <s v="NULL"/>
    <s v="NULL"/>
    <n v="97"/>
    <x v="846"/>
    <x v="4"/>
    <x v="7"/>
    <x v="3"/>
    <s v="NULL"/>
    <x v="1"/>
  </r>
  <r>
    <x v="1841"/>
    <x v="16"/>
    <s v="United States"/>
    <x v="3"/>
    <s v="NULL"/>
    <s v="NULL"/>
    <n v="281"/>
    <x v="846"/>
    <x v="4"/>
    <x v="7"/>
    <x v="4"/>
    <s v="NULL"/>
    <x v="1"/>
  </r>
  <r>
    <x v="1384"/>
    <x v="5"/>
    <s v="India"/>
    <x v="3"/>
    <s v="NULL"/>
    <s v="NULL"/>
    <n v="1600"/>
    <x v="846"/>
    <x v="4"/>
    <x v="7"/>
    <x v="2"/>
    <s v="NULL"/>
    <x v="1"/>
  </r>
  <r>
    <x v="205"/>
    <x v="1"/>
    <s v="Israel"/>
    <x v="0"/>
    <n v="600"/>
    <n v="0.15"/>
    <s v="NULL"/>
    <x v="847"/>
    <x v="4"/>
    <x v="7"/>
    <x v="1"/>
    <n v="0"/>
    <x v="0"/>
  </r>
  <r>
    <x v="1842"/>
    <x v="2"/>
    <s v="Netherlands"/>
    <x v="1"/>
    <n v="300"/>
    <n v="0.1"/>
    <s v="NULL"/>
    <x v="847"/>
    <x v="4"/>
    <x v="7"/>
    <x v="1"/>
    <n v="0"/>
    <x v="0"/>
  </r>
  <r>
    <x v="1843"/>
    <x v="11"/>
    <s v="Germany"/>
    <x v="1"/>
    <n v="150"/>
    <n v="0.36"/>
    <s v="NULL"/>
    <x v="847"/>
    <x v="4"/>
    <x v="7"/>
    <x v="1"/>
    <n v="0"/>
    <x v="0"/>
  </r>
  <r>
    <x v="1844"/>
    <x v="5"/>
    <s v="Brazil"/>
    <x v="5"/>
    <n v="113"/>
    <n v="0.16"/>
    <n v="174"/>
    <x v="847"/>
    <x v="4"/>
    <x v="7"/>
    <x v="4"/>
    <n v="0"/>
    <x v="0"/>
  </r>
  <r>
    <x v="1845"/>
    <x v="14"/>
    <s v="United Kingdom"/>
    <x v="2"/>
    <n v="85"/>
    <n v="0.33"/>
    <n v="73"/>
    <x v="847"/>
    <x v="4"/>
    <x v="7"/>
    <x v="3"/>
    <n v="0"/>
    <x v="0"/>
  </r>
  <r>
    <x v="1542"/>
    <x v="10"/>
    <s v="Germany"/>
    <x v="7"/>
    <n v="62"/>
    <n v="0.12"/>
    <n v="442"/>
    <x v="847"/>
    <x v="4"/>
    <x v="7"/>
    <x v="4"/>
    <n v="0"/>
    <x v="0"/>
  </r>
  <r>
    <x v="631"/>
    <x v="14"/>
    <s v="United States"/>
    <x v="13"/>
    <n v="20"/>
    <n v="0.02"/>
    <n v="537"/>
    <x v="847"/>
    <x v="4"/>
    <x v="7"/>
    <x v="4"/>
    <n v="0"/>
    <x v="0"/>
  </r>
  <r>
    <x v="1846"/>
    <x v="0"/>
    <s v="Israel"/>
    <x v="8"/>
    <s v="NULL"/>
    <n v="1"/>
    <n v="25"/>
    <x v="847"/>
    <x v="4"/>
    <x v="7"/>
    <x v="3"/>
    <n v="1"/>
    <x v="0"/>
  </r>
  <r>
    <x v="1847"/>
    <x v="9"/>
    <s v="Australia"/>
    <x v="3"/>
    <s v="NULL"/>
    <n v="1"/>
    <s v="NULL"/>
    <x v="847"/>
    <x v="4"/>
    <x v="7"/>
    <x v="1"/>
    <n v="1"/>
    <x v="0"/>
  </r>
  <r>
    <x v="1848"/>
    <x v="0"/>
    <s v="United States"/>
    <x v="0"/>
    <s v="NULL"/>
    <s v="NULL"/>
    <n v="225"/>
    <x v="847"/>
    <x v="4"/>
    <x v="7"/>
    <x v="4"/>
    <s v="NULL"/>
    <x v="1"/>
  </r>
  <r>
    <x v="1849"/>
    <x v="9"/>
    <s v="United States"/>
    <x v="2"/>
    <s v="NULL"/>
    <n v="0.1"/>
    <n v="25"/>
    <x v="847"/>
    <x v="4"/>
    <x v="7"/>
    <x v="3"/>
    <n v="0"/>
    <x v="0"/>
  </r>
  <r>
    <x v="1059"/>
    <x v="22"/>
    <s v="United States"/>
    <x v="4"/>
    <n v="254"/>
    <n v="0.2"/>
    <n v="1400"/>
    <x v="848"/>
    <x v="4"/>
    <x v="7"/>
    <x v="2"/>
    <n v="0"/>
    <x v="0"/>
  </r>
  <r>
    <x v="825"/>
    <x v="18"/>
    <s v="India"/>
    <x v="3"/>
    <n v="250"/>
    <n v="0.03"/>
    <n v="3600"/>
    <x v="848"/>
    <x v="4"/>
    <x v="7"/>
    <x v="2"/>
    <n v="0"/>
    <x v="0"/>
  </r>
  <r>
    <x v="1850"/>
    <x v="7"/>
    <s v="Singapore"/>
    <x v="7"/>
    <n v="198"/>
    <n v="0.18"/>
    <n v="82"/>
    <x v="848"/>
    <x v="4"/>
    <x v="7"/>
    <x v="3"/>
    <n v="0"/>
    <x v="0"/>
  </r>
  <r>
    <x v="1851"/>
    <x v="11"/>
    <s v="Brazil"/>
    <x v="5"/>
    <n v="160"/>
    <n v="0.3"/>
    <n v="138"/>
    <x v="848"/>
    <x v="4"/>
    <x v="7"/>
    <x v="4"/>
    <n v="0"/>
    <x v="0"/>
  </r>
  <r>
    <x v="1108"/>
    <x v="14"/>
    <s v="United States"/>
    <x v="9"/>
    <n v="95"/>
    <n v="0.05"/>
    <n v="220"/>
    <x v="848"/>
    <x v="4"/>
    <x v="7"/>
    <x v="4"/>
    <n v="0"/>
    <x v="0"/>
  </r>
  <r>
    <x v="430"/>
    <x v="2"/>
    <s v="Germany"/>
    <x v="5"/>
    <n v="80"/>
    <s v="NULL"/>
    <n v="205"/>
    <x v="848"/>
    <x v="4"/>
    <x v="7"/>
    <x v="4"/>
    <s v="NULL"/>
    <x v="0"/>
  </r>
  <r>
    <x v="1852"/>
    <x v="11"/>
    <s v="Israel"/>
    <x v="0"/>
    <n v="80"/>
    <n v="0.5"/>
    <n v="231"/>
    <x v="848"/>
    <x v="4"/>
    <x v="7"/>
    <x v="4"/>
    <n v="0"/>
    <x v="0"/>
  </r>
  <r>
    <x v="1853"/>
    <x v="10"/>
    <s v="United States"/>
    <x v="0"/>
    <n v="60"/>
    <n v="0.05"/>
    <n v="115"/>
    <x v="848"/>
    <x v="4"/>
    <x v="7"/>
    <x v="4"/>
    <n v="0"/>
    <x v="0"/>
  </r>
  <r>
    <x v="1854"/>
    <x v="5"/>
    <s v="United States"/>
    <x v="11"/>
    <n v="43"/>
    <s v="NULL"/>
    <n v="459"/>
    <x v="848"/>
    <x v="4"/>
    <x v="7"/>
    <x v="4"/>
    <s v="NULL"/>
    <x v="0"/>
  </r>
  <r>
    <x v="1855"/>
    <x v="3"/>
    <s v="United States"/>
    <x v="5"/>
    <n v="30"/>
    <n v="0.15"/>
    <n v="153"/>
    <x v="848"/>
    <x v="4"/>
    <x v="7"/>
    <x v="4"/>
    <n v="0"/>
    <x v="0"/>
  </r>
  <r>
    <x v="1856"/>
    <x v="3"/>
    <s v="United States"/>
    <x v="9"/>
    <n v="25"/>
    <n v="0.04"/>
    <n v="537"/>
    <x v="848"/>
    <x v="4"/>
    <x v="7"/>
    <x v="4"/>
    <n v="0"/>
    <x v="0"/>
  </r>
  <r>
    <x v="682"/>
    <x v="9"/>
    <s v="United States"/>
    <x v="0"/>
    <s v="NULL"/>
    <n v="0.15"/>
    <n v="932"/>
    <x v="848"/>
    <x v="4"/>
    <x v="7"/>
    <x v="4"/>
    <n v="0"/>
    <x v="0"/>
  </r>
  <r>
    <x v="1200"/>
    <x v="18"/>
    <s v="United States"/>
    <x v="0"/>
    <s v="NULL"/>
    <n v="0.1"/>
    <n v="352"/>
    <x v="848"/>
    <x v="4"/>
    <x v="7"/>
    <x v="4"/>
    <n v="0"/>
    <x v="0"/>
  </r>
  <r>
    <x v="1857"/>
    <x v="24"/>
    <s v="United States"/>
    <x v="2"/>
    <s v="NULL"/>
    <s v="NULL"/>
    <n v="32"/>
    <x v="848"/>
    <x v="4"/>
    <x v="7"/>
    <x v="3"/>
    <s v="NULL"/>
    <x v="1"/>
  </r>
  <r>
    <x v="310"/>
    <x v="12"/>
    <s v="United States"/>
    <x v="0"/>
    <s v="NULL"/>
    <s v="NULL"/>
    <n v="850"/>
    <x v="848"/>
    <x v="4"/>
    <x v="7"/>
    <x v="4"/>
    <s v="NULL"/>
    <x v="1"/>
  </r>
  <r>
    <x v="1858"/>
    <x v="21"/>
    <s v="United States"/>
    <x v="0"/>
    <s v="NULL"/>
    <n v="0.17"/>
    <n v="150"/>
    <x v="848"/>
    <x v="4"/>
    <x v="7"/>
    <x v="4"/>
    <n v="0"/>
    <x v="0"/>
  </r>
  <r>
    <x v="1859"/>
    <x v="3"/>
    <s v="United States"/>
    <x v="2"/>
    <s v="NULL"/>
    <n v="0.14000000000000001"/>
    <n v="203"/>
    <x v="848"/>
    <x v="4"/>
    <x v="7"/>
    <x v="4"/>
    <n v="0"/>
    <x v="0"/>
  </r>
  <r>
    <x v="1860"/>
    <x v="21"/>
    <s v="India"/>
    <x v="11"/>
    <n v="385"/>
    <s v="NULL"/>
    <n v="292"/>
    <x v="849"/>
    <x v="4"/>
    <x v="7"/>
    <x v="4"/>
    <s v="NULL"/>
    <x v="0"/>
  </r>
  <r>
    <x v="1511"/>
    <x v="16"/>
    <s v="Brazil"/>
    <x v="3"/>
    <n v="312"/>
    <n v="0.12"/>
    <n v="788"/>
    <x v="849"/>
    <x v="4"/>
    <x v="7"/>
    <x v="4"/>
    <n v="0"/>
    <x v="0"/>
  </r>
  <r>
    <x v="1861"/>
    <x v="14"/>
    <s v="United States"/>
    <x v="7"/>
    <n v="260"/>
    <n v="0.2"/>
    <n v="734"/>
    <x v="849"/>
    <x v="4"/>
    <x v="7"/>
    <x v="4"/>
    <n v="0"/>
    <x v="0"/>
  </r>
  <r>
    <x v="1229"/>
    <x v="11"/>
    <s v="United States"/>
    <x v="4"/>
    <n v="237"/>
    <n v="0.06"/>
    <n v="567"/>
    <x v="849"/>
    <x v="4"/>
    <x v="7"/>
    <x v="4"/>
    <n v="0"/>
    <x v="0"/>
  </r>
  <r>
    <x v="1862"/>
    <x v="9"/>
    <s v="United States"/>
    <x v="8"/>
    <n v="235"/>
    <s v="NULL"/>
    <n v="55"/>
    <x v="849"/>
    <x v="4"/>
    <x v="7"/>
    <x v="3"/>
    <s v="NULL"/>
    <x v="0"/>
  </r>
  <r>
    <x v="1863"/>
    <x v="27"/>
    <s v="United States"/>
    <x v="9"/>
    <n v="150"/>
    <n v="0.1"/>
    <n v="125"/>
    <x v="849"/>
    <x v="4"/>
    <x v="7"/>
    <x v="4"/>
    <n v="0"/>
    <x v="0"/>
  </r>
  <r>
    <x v="772"/>
    <x v="11"/>
    <s v="Sweden"/>
    <x v="7"/>
    <n v="130"/>
    <n v="0.13"/>
    <n v="515"/>
    <x v="849"/>
    <x v="4"/>
    <x v="7"/>
    <x v="4"/>
    <n v="0"/>
    <x v="0"/>
  </r>
  <r>
    <x v="1864"/>
    <x v="10"/>
    <s v="United States"/>
    <x v="1"/>
    <n v="120"/>
    <n v="0.13"/>
    <n v="116"/>
    <x v="849"/>
    <x v="4"/>
    <x v="7"/>
    <x v="4"/>
    <n v="0"/>
    <x v="0"/>
  </r>
  <r>
    <x v="1865"/>
    <x v="1"/>
    <s v="United States"/>
    <x v="11"/>
    <n v="95"/>
    <n v="0.08"/>
    <n v="613"/>
    <x v="849"/>
    <x v="4"/>
    <x v="7"/>
    <x v="4"/>
    <n v="0"/>
    <x v="0"/>
  </r>
  <r>
    <x v="1866"/>
    <x v="2"/>
    <s v="Germany"/>
    <x v="3"/>
    <n v="40"/>
    <n v="0.1"/>
    <n v="2300"/>
    <x v="849"/>
    <x v="4"/>
    <x v="7"/>
    <x v="2"/>
    <n v="0"/>
    <x v="0"/>
  </r>
  <r>
    <x v="1383"/>
    <x v="16"/>
    <s v="United States"/>
    <x v="2"/>
    <n v="30"/>
    <n v="0.3"/>
    <n v="114"/>
    <x v="849"/>
    <x v="4"/>
    <x v="7"/>
    <x v="4"/>
    <n v="0"/>
    <x v="0"/>
  </r>
  <r>
    <x v="1867"/>
    <x v="14"/>
    <s v="United States"/>
    <x v="5"/>
    <n v="27"/>
    <n v="0.18"/>
    <n v="115"/>
    <x v="849"/>
    <x v="4"/>
    <x v="7"/>
    <x v="4"/>
    <n v="0"/>
    <x v="0"/>
  </r>
  <r>
    <x v="816"/>
    <x v="22"/>
    <s v="United States"/>
    <x v="4"/>
    <s v="NULL"/>
    <n v="0.17"/>
    <n v="315"/>
    <x v="849"/>
    <x v="4"/>
    <x v="7"/>
    <x v="4"/>
    <n v="0"/>
    <x v="0"/>
  </r>
  <r>
    <x v="1121"/>
    <x v="3"/>
    <s v="Sweden"/>
    <x v="3"/>
    <s v="NULL"/>
    <s v="NULL"/>
    <n v="42"/>
    <x v="849"/>
    <x v="4"/>
    <x v="7"/>
    <x v="3"/>
    <s v="NULL"/>
    <x v="1"/>
  </r>
  <r>
    <x v="1423"/>
    <x v="18"/>
    <s v="Indonesia"/>
    <x v="5"/>
    <s v="NULL"/>
    <n v="0.05"/>
    <n v="139"/>
    <x v="849"/>
    <x v="4"/>
    <x v="7"/>
    <x v="4"/>
    <n v="0"/>
    <x v="0"/>
  </r>
  <r>
    <x v="1868"/>
    <x v="14"/>
    <s v="United States"/>
    <x v="1"/>
    <s v="NULL"/>
    <s v="NULL"/>
    <s v="NULL"/>
    <x v="849"/>
    <x v="4"/>
    <x v="7"/>
    <x v="1"/>
    <s v="NULL"/>
    <x v="1"/>
  </r>
  <r>
    <x v="1869"/>
    <x v="14"/>
    <s v="United States"/>
    <x v="0"/>
    <n v="515"/>
    <n v="0.4"/>
    <n v="679"/>
    <x v="850"/>
    <x v="4"/>
    <x v="7"/>
    <x v="4"/>
    <n v="0"/>
    <x v="0"/>
  </r>
  <r>
    <x v="314"/>
    <x v="12"/>
    <s v="United States"/>
    <x v="0"/>
    <n v="201"/>
    <s v="NULL"/>
    <n v="12"/>
    <x v="850"/>
    <x v="4"/>
    <x v="7"/>
    <x v="3"/>
    <s v="NULL"/>
    <x v="0"/>
  </r>
  <r>
    <x v="765"/>
    <x v="4"/>
    <s v="United States"/>
    <x v="0"/>
    <n v="180"/>
    <n v="0.12"/>
    <n v="696"/>
    <x v="850"/>
    <x v="4"/>
    <x v="7"/>
    <x v="4"/>
    <n v="0"/>
    <x v="0"/>
  </r>
  <r>
    <x v="1870"/>
    <x v="0"/>
    <s v="United States"/>
    <x v="1"/>
    <n v="175"/>
    <n v="0.25"/>
    <s v="NULL"/>
    <x v="850"/>
    <x v="4"/>
    <x v="7"/>
    <x v="1"/>
    <n v="0"/>
    <x v="0"/>
  </r>
  <r>
    <x v="1871"/>
    <x v="10"/>
    <s v="United States"/>
    <x v="0"/>
    <n v="100"/>
    <s v="NULL"/>
    <n v="2"/>
    <x v="850"/>
    <x v="4"/>
    <x v="7"/>
    <x v="0"/>
    <s v="NULL"/>
    <x v="0"/>
  </r>
  <r>
    <x v="737"/>
    <x v="14"/>
    <s v="United States"/>
    <x v="5"/>
    <n v="50"/>
    <n v="0.13"/>
    <n v="302"/>
    <x v="850"/>
    <x v="4"/>
    <x v="7"/>
    <x v="4"/>
    <n v="0"/>
    <x v="0"/>
  </r>
  <r>
    <x v="463"/>
    <x v="14"/>
    <s v="United States"/>
    <x v="3"/>
    <n v="32"/>
    <n v="0.08"/>
    <n v="480"/>
    <x v="850"/>
    <x v="4"/>
    <x v="7"/>
    <x v="4"/>
    <n v="0"/>
    <x v="0"/>
  </r>
  <r>
    <x v="1872"/>
    <x v="3"/>
    <s v="Israel"/>
    <x v="5"/>
    <n v="20"/>
    <n v="0.08"/>
    <n v="165"/>
    <x v="850"/>
    <x v="4"/>
    <x v="7"/>
    <x v="4"/>
    <n v="0"/>
    <x v="0"/>
  </r>
  <r>
    <x v="1873"/>
    <x v="9"/>
    <s v="United Kingdom"/>
    <x v="3"/>
    <n v="16"/>
    <n v="0.14000000000000001"/>
    <s v="NULL"/>
    <x v="850"/>
    <x v="4"/>
    <x v="7"/>
    <x v="1"/>
    <n v="0"/>
    <x v="0"/>
  </r>
  <r>
    <x v="1874"/>
    <x v="30"/>
    <s v="Canada"/>
    <x v="2"/>
    <n v="13"/>
    <n v="0.13"/>
    <n v="36"/>
    <x v="850"/>
    <x v="4"/>
    <x v="7"/>
    <x v="3"/>
    <n v="0"/>
    <x v="0"/>
  </r>
  <r>
    <x v="1875"/>
    <x v="27"/>
    <s v="United States"/>
    <x v="7"/>
    <s v="NULL"/>
    <s v="NULL"/>
    <n v="226"/>
    <x v="850"/>
    <x v="4"/>
    <x v="7"/>
    <x v="4"/>
    <s v="NULL"/>
    <x v="1"/>
  </r>
  <r>
    <x v="1876"/>
    <x v="11"/>
    <s v="Nigeria"/>
    <x v="3"/>
    <s v="NULL"/>
    <s v="NULL"/>
    <n v="630"/>
    <x v="850"/>
    <x v="4"/>
    <x v="7"/>
    <x v="4"/>
    <s v="NULL"/>
    <x v="1"/>
  </r>
  <r>
    <x v="1877"/>
    <x v="0"/>
    <s v="United States"/>
    <x v="9"/>
    <s v="NULL"/>
    <n v="0.17"/>
    <n v="200"/>
    <x v="850"/>
    <x v="4"/>
    <x v="7"/>
    <x v="4"/>
    <n v="0"/>
    <x v="0"/>
  </r>
  <r>
    <x v="1878"/>
    <x v="5"/>
    <s v="United States"/>
    <x v="7"/>
    <s v="NULL"/>
    <n v="0.25"/>
    <n v="479"/>
    <x v="850"/>
    <x v="4"/>
    <x v="7"/>
    <x v="4"/>
    <n v="0"/>
    <x v="0"/>
  </r>
  <r>
    <x v="819"/>
    <x v="14"/>
    <s v="United States"/>
    <x v="0"/>
    <s v="NULL"/>
    <n v="0.11"/>
    <n v="647"/>
    <x v="850"/>
    <x v="4"/>
    <x v="7"/>
    <x v="4"/>
    <n v="0"/>
    <x v="0"/>
  </r>
  <r>
    <x v="116"/>
    <x v="9"/>
    <s v="Australia"/>
    <x v="3"/>
    <n v="90"/>
    <n v="0.4"/>
    <s v="NULL"/>
    <x v="851"/>
    <x v="4"/>
    <x v="7"/>
    <x v="1"/>
    <n v="0"/>
    <x v="0"/>
  </r>
  <r>
    <x v="234"/>
    <x v="3"/>
    <s v="United States"/>
    <x v="11"/>
    <n v="65"/>
    <n v="0.1"/>
    <n v="265"/>
    <x v="851"/>
    <x v="4"/>
    <x v="7"/>
    <x v="4"/>
    <n v="0"/>
    <x v="0"/>
  </r>
  <r>
    <x v="1879"/>
    <x v="14"/>
    <s v="Israel"/>
    <x v="2"/>
    <n v="30"/>
    <n v="0.18"/>
    <n v="103"/>
    <x v="851"/>
    <x v="4"/>
    <x v="7"/>
    <x v="4"/>
    <n v="0"/>
    <x v="0"/>
  </r>
  <r>
    <x v="1880"/>
    <x v="5"/>
    <s v="United States"/>
    <x v="2"/>
    <s v="NULL"/>
    <s v="NULL"/>
    <n v="323"/>
    <x v="851"/>
    <x v="4"/>
    <x v="7"/>
    <x v="4"/>
    <s v="NULL"/>
    <x v="1"/>
  </r>
  <r>
    <x v="1881"/>
    <x v="2"/>
    <s v="United States"/>
    <x v="3"/>
    <s v="NULL"/>
    <s v="NULL"/>
    <n v="481"/>
    <x v="851"/>
    <x v="4"/>
    <x v="7"/>
    <x v="4"/>
    <s v="NULL"/>
    <x v="1"/>
  </r>
  <r>
    <x v="1766"/>
    <x v="21"/>
    <s v="Canada"/>
    <x v="0"/>
    <s v="NULL"/>
    <s v="NULL"/>
    <n v="22"/>
    <x v="851"/>
    <x v="4"/>
    <x v="7"/>
    <x v="3"/>
    <s v="NULL"/>
    <x v="1"/>
  </r>
  <r>
    <x v="1882"/>
    <x v="13"/>
    <s v="India"/>
    <x v="4"/>
    <n v="600"/>
    <s v="NULL"/>
    <n v="4000"/>
    <x v="852"/>
    <x v="4"/>
    <x v="7"/>
    <x v="2"/>
    <s v="NULL"/>
    <x v="0"/>
  </r>
  <r>
    <x v="692"/>
    <x v="25"/>
    <s v="India"/>
    <x v="5"/>
    <n v="150"/>
    <s v="NULL"/>
    <n v="100"/>
    <x v="852"/>
    <x v="4"/>
    <x v="7"/>
    <x v="4"/>
    <s v="NULL"/>
    <x v="0"/>
  </r>
  <r>
    <x v="1883"/>
    <x v="9"/>
    <s v="Singapore"/>
    <x v="3"/>
    <s v="NULL"/>
    <n v="0.3"/>
    <s v="NULL"/>
    <x v="852"/>
    <x v="4"/>
    <x v="7"/>
    <x v="1"/>
    <n v="0"/>
    <x v="0"/>
  </r>
  <r>
    <x v="1884"/>
    <x v="3"/>
    <s v="Israel"/>
    <x v="3"/>
    <n v="100"/>
    <n v="0.05"/>
    <s v="NULL"/>
    <x v="853"/>
    <x v="4"/>
    <x v="7"/>
    <x v="1"/>
    <n v="0"/>
    <x v="0"/>
  </r>
  <r>
    <x v="433"/>
    <x v="1"/>
    <s v="India"/>
    <x v="3"/>
    <n v="100"/>
    <s v="NULL"/>
    <n v="1700"/>
    <x v="853"/>
    <x v="4"/>
    <x v="7"/>
    <x v="2"/>
    <s v="NULL"/>
    <x v="0"/>
  </r>
  <r>
    <x v="1885"/>
    <x v="14"/>
    <s v="United States"/>
    <x v="5"/>
    <n v="47"/>
    <n v="0.15"/>
    <n v="184"/>
    <x v="853"/>
    <x v="4"/>
    <x v="7"/>
    <x v="4"/>
    <n v="0"/>
    <x v="0"/>
  </r>
  <r>
    <x v="28"/>
    <x v="14"/>
    <s v="United Kingdom"/>
    <x v="9"/>
    <s v="NULL"/>
    <s v="NULL"/>
    <n v="3500"/>
    <x v="853"/>
    <x v="4"/>
    <x v="7"/>
    <x v="2"/>
    <s v="NULL"/>
    <x v="1"/>
  </r>
  <r>
    <x v="1886"/>
    <x v="16"/>
    <s v="United States"/>
    <x v="3"/>
    <s v="NULL"/>
    <s v="NULL"/>
    <n v="128"/>
    <x v="853"/>
    <x v="4"/>
    <x v="7"/>
    <x v="4"/>
    <s v="NULL"/>
    <x v="1"/>
  </r>
  <r>
    <x v="1887"/>
    <x v="1"/>
    <s v="United States"/>
    <x v="3"/>
    <s v="NULL"/>
    <n v="1"/>
    <n v="9"/>
    <x v="853"/>
    <x v="4"/>
    <x v="7"/>
    <x v="0"/>
    <n v="1"/>
    <x v="0"/>
  </r>
  <r>
    <x v="459"/>
    <x v="2"/>
    <s v="Singapore"/>
    <x v="9"/>
    <n v="110"/>
    <n v="0.1"/>
    <n v="372"/>
    <x v="854"/>
    <x v="4"/>
    <x v="7"/>
    <x v="4"/>
    <n v="0"/>
    <x v="0"/>
  </r>
  <r>
    <x v="1888"/>
    <x v="10"/>
    <s v="United States"/>
    <x v="11"/>
    <n v="100"/>
    <n v="0.37"/>
    <n v="194"/>
    <x v="854"/>
    <x v="4"/>
    <x v="7"/>
    <x v="4"/>
    <n v="0"/>
    <x v="0"/>
  </r>
  <r>
    <x v="1889"/>
    <x v="21"/>
    <s v="United States"/>
    <x v="3"/>
    <n v="88"/>
    <n v="0.5"/>
    <s v="NULL"/>
    <x v="854"/>
    <x v="4"/>
    <x v="7"/>
    <x v="1"/>
    <n v="0"/>
    <x v="0"/>
  </r>
  <r>
    <x v="1214"/>
    <x v="22"/>
    <s v="United States"/>
    <x v="7"/>
    <n v="48"/>
    <n v="0.16"/>
    <n v="212"/>
    <x v="854"/>
    <x v="4"/>
    <x v="7"/>
    <x v="4"/>
    <n v="0"/>
    <x v="0"/>
  </r>
  <r>
    <x v="1890"/>
    <x v="19"/>
    <s v="United States"/>
    <x v="0"/>
    <n v="37"/>
    <n v="0.23"/>
    <n v="32"/>
    <x v="854"/>
    <x v="4"/>
    <x v="7"/>
    <x v="3"/>
    <n v="0"/>
    <x v="0"/>
  </r>
  <r>
    <x v="1139"/>
    <x v="15"/>
    <s v="United States"/>
    <x v="7"/>
    <s v="NULL"/>
    <n v="0.12"/>
    <n v="419"/>
    <x v="854"/>
    <x v="4"/>
    <x v="7"/>
    <x v="4"/>
    <n v="0"/>
    <x v="0"/>
  </r>
  <r>
    <x v="1891"/>
    <x v="5"/>
    <s v="United States"/>
    <x v="0"/>
    <s v="NULL"/>
    <n v="0.6"/>
    <n v="229"/>
    <x v="854"/>
    <x v="4"/>
    <x v="7"/>
    <x v="4"/>
    <n v="0"/>
    <x v="0"/>
  </r>
  <r>
    <x v="1892"/>
    <x v="25"/>
    <s v="United States"/>
    <x v="4"/>
    <s v="NULL"/>
    <n v="0.14000000000000001"/>
    <n v="151"/>
    <x v="854"/>
    <x v="4"/>
    <x v="7"/>
    <x v="4"/>
    <n v="0"/>
    <x v="0"/>
  </r>
  <r>
    <x v="1893"/>
    <x v="5"/>
    <s v="United States"/>
    <x v="0"/>
    <s v="NULL"/>
    <n v="0.25"/>
    <n v="321"/>
    <x v="854"/>
    <x v="4"/>
    <x v="7"/>
    <x v="4"/>
    <n v="0"/>
    <x v="0"/>
  </r>
  <r>
    <x v="1894"/>
    <x v="14"/>
    <s v="United Kingdom"/>
    <x v="8"/>
    <s v="NULL"/>
    <s v="NULL"/>
    <n v="69"/>
    <x v="854"/>
    <x v="4"/>
    <x v="7"/>
    <x v="3"/>
    <s v="NULL"/>
    <x v="1"/>
  </r>
  <r>
    <x v="1895"/>
    <x v="18"/>
    <s v="United States"/>
    <x v="0"/>
    <n v="1250"/>
    <n v="0.06"/>
    <n v="2500"/>
    <x v="855"/>
    <x v="4"/>
    <x v="8"/>
    <x v="2"/>
    <n v="0"/>
    <x v="0"/>
  </r>
  <r>
    <x v="68"/>
    <x v="9"/>
    <s v="United States"/>
    <x v="3"/>
    <n v="1100"/>
    <n v="0.3"/>
    <n v="134"/>
    <x v="855"/>
    <x v="4"/>
    <x v="8"/>
    <x v="4"/>
    <n v="0"/>
    <x v="0"/>
  </r>
  <r>
    <x v="1896"/>
    <x v="14"/>
    <s v="United States"/>
    <x v="7"/>
    <n v="158"/>
    <n v="0.34"/>
    <n v="191"/>
    <x v="855"/>
    <x v="4"/>
    <x v="8"/>
    <x v="4"/>
    <n v="0"/>
    <x v="0"/>
  </r>
  <r>
    <x v="1897"/>
    <x v="2"/>
    <s v="Indonesia"/>
    <x v="2"/>
    <n v="134"/>
    <n v="0.23"/>
    <n v="140"/>
    <x v="855"/>
    <x v="4"/>
    <x v="8"/>
    <x v="4"/>
    <n v="0"/>
    <x v="0"/>
  </r>
  <r>
    <x v="1898"/>
    <x v="18"/>
    <s v="United States"/>
    <x v="2"/>
    <n v="130"/>
    <n v="7.0000000000000007E-2"/>
    <n v="850"/>
    <x v="855"/>
    <x v="4"/>
    <x v="8"/>
    <x v="4"/>
    <n v="0"/>
    <x v="0"/>
  </r>
  <r>
    <x v="1899"/>
    <x v="21"/>
    <s v="Germany"/>
    <x v="8"/>
    <n v="70"/>
    <s v="NULL"/>
    <n v="64"/>
    <x v="855"/>
    <x v="4"/>
    <x v="8"/>
    <x v="3"/>
    <s v="NULL"/>
    <x v="0"/>
  </r>
  <r>
    <x v="694"/>
    <x v="10"/>
    <s v="United States"/>
    <x v="2"/>
    <n v="60"/>
    <n v="0.13"/>
    <n v="145"/>
    <x v="855"/>
    <x v="4"/>
    <x v="8"/>
    <x v="4"/>
    <n v="0"/>
    <x v="0"/>
  </r>
  <r>
    <x v="1900"/>
    <x v="14"/>
    <s v="Argentina"/>
    <x v="7"/>
    <n v="53"/>
    <n v="0.03"/>
    <n v="544"/>
    <x v="855"/>
    <x v="4"/>
    <x v="8"/>
    <x v="4"/>
    <n v="0"/>
    <x v="0"/>
  </r>
  <r>
    <x v="1369"/>
    <x v="21"/>
    <s v="India"/>
    <x v="2"/>
    <n v="45"/>
    <n v="0.05"/>
    <n v="118"/>
    <x v="855"/>
    <x v="4"/>
    <x v="8"/>
    <x v="4"/>
    <n v="0"/>
    <x v="0"/>
  </r>
  <r>
    <x v="1901"/>
    <x v="0"/>
    <s v="Argentina"/>
    <x v="3"/>
    <n v="40"/>
    <s v="NULL"/>
    <s v="NULL"/>
    <x v="855"/>
    <x v="4"/>
    <x v="8"/>
    <x v="1"/>
    <s v="NULL"/>
    <x v="0"/>
  </r>
  <r>
    <x v="1902"/>
    <x v="2"/>
    <s v="United Kingdom"/>
    <x v="1"/>
    <n v="30"/>
    <n v="0.5"/>
    <n v="40"/>
    <x v="855"/>
    <x v="4"/>
    <x v="8"/>
    <x v="3"/>
    <n v="0"/>
    <x v="0"/>
  </r>
  <r>
    <x v="1085"/>
    <x v="11"/>
    <s v="United States"/>
    <x v="7"/>
    <n v="25"/>
    <s v="NULL"/>
    <n v="149"/>
    <x v="855"/>
    <x v="4"/>
    <x v="8"/>
    <x v="4"/>
    <s v="NULL"/>
    <x v="0"/>
  </r>
  <r>
    <x v="16"/>
    <x v="6"/>
    <s v="United States"/>
    <x v="0"/>
    <s v="NULL"/>
    <n v="0.13"/>
    <n v="162"/>
    <x v="855"/>
    <x v="4"/>
    <x v="8"/>
    <x v="4"/>
    <n v="0"/>
    <x v="0"/>
  </r>
  <r>
    <x v="672"/>
    <x v="11"/>
    <s v="United States"/>
    <x v="3"/>
    <s v="NULL"/>
    <s v="NULL"/>
    <s v="NULL"/>
    <x v="855"/>
    <x v="4"/>
    <x v="8"/>
    <x v="1"/>
    <s v="NULL"/>
    <x v="1"/>
  </r>
  <r>
    <x v="196"/>
    <x v="1"/>
    <s v="United States"/>
    <x v="0"/>
    <s v="NULL"/>
    <s v="NULL"/>
    <n v="1500"/>
    <x v="855"/>
    <x v="4"/>
    <x v="8"/>
    <x v="2"/>
    <s v="NULL"/>
    <x v="1"/>
  </r>
  <r>
    <x v="1903"/>
    <x v="5"/>
    <s v="United States"/>
    <x v="8"/>
    <s v="NULL"/>
    <n v="0.15"/>
    <n v="700"/>
    <x v="855"/>
    <x v="4"/>
    <x v="8"/>
    <x v="4"/>
    <n v="0"/>
    <x v="0"/>
  </r>
  <r>
    <x v="1904"/>
    <x v="3"/>
    <s v="United States"/>
    <x v="1"/>
    <s v="NULL"/>
    <s v="NULL"/>
    <n v="167"/>
    <x v="855"/>
    <x v="4"/>
    <x v="8"/>
    <x v="4"/>
    <s v="NULL"/>
    <x v="1"/>
  </r>
  <r>
    <x v="1905"/>
    <x v="9"/>
    <s v="Mexico"/>
    <x v="5"/>
    <n v="100"/>
    <s v="NULL"/>
    <n v="378"/>
    <x v="856"/>
    <x v="4"/>
    <x v="8"/>
    <x v="4"/>
    <s v="NULL"/>
    <x v="0"/>
  </r>
  <r>
    <x v="1906"/>
    <x v="2"/>
    <s v="United Kingdom"/>
    <x v="3"/>
    <n v="50"/>
    <n v="0.25"/>
    <n v="144"/>
    <x v="856"/>
    <x v="4"/>
    <x v="8"/>
    <x v="4"/>
    <n v="0"/>
    <x v="0"/>
  </r>
  <r>
    <x v="1907"/>
    <x v="9"/>
    <s v="Australia"/>
    <x v="3"/>
    <n v="10"/>
    <n v="0.2"/>
    <n v="1"/>
    <x v="856"/>
    <x v="4"/>
    <x v="8"/>
    <x v="0"/>
    <n v="0"/>
    <x v="0"/>
  </r>
  <r>
    <x v="1908"/>
    <x v="9"/>
    <s v="United States"/>
    <x v="3"/>
    <s v="NULL"/>
    <n v="1"/>
    <s v="NULL"/>
    <x v="856"/>
    <x v="4"/>
    <x v="8"/>
    <x v="1"/>
    <n v="1"/>
    <x v="0"/>
  </r>
  <r>
    <x v="1909"/>
    <x v="5"/>
    <s v="United States"/>
    <x v="0"/>
    <s v="NULL"/>
    <n v="0.18"/>
    <n v="162"/>
    <x v="856"/>
    <x v="4"/>
    <x v="8"/>
    <x v="4"/>
    <n v="0"/>
    <x v="0"/>
  </r>
  <r>
    <x v="1910"/>
    <x v="2"/>
    <s v="United States"/>
    <x v="2"/>
    <s v="NULL"/>
    <n v="0.1"/>
    <n v="269"/>
    <x v="856"/>
    <x v="4"/>
    <x v="8"/>
    <x v="4"/>
    <n v="0"/>
    <x v="0"/>
  </r>
  <r>
    <x v="1427"/>
    <x v="9"/>
    <s v="Nigeria"/>
    <x v="3"/>
    <s v="NULL"/>
    <s v="NULL"/>
    <s v="NULL"/>
    <x v="856"/>
    <x v="4"/>
    <x v="8"/>
    <x v="1"/>
    <s v="NULL"/>
    <x v="1"/>
  </r>
  <r>
    <x v="80"/>
    <x v="0"/>
    <s v="Netherlands"/>
    <x v="5"/>
    <s v="NULL"/>
    <n v="0.31"/>
    <n v="1100"/>
    <x v="856"/>
    <x v="4"/>
    <x v="8"/>
    <x v="2"/>
    <n v="0"/>
    <x v="0"/>
  </r>
  <r>
    <x v="1911"/>
    <x v="14"/>
    <s v="Mexico"/>
    <x v="8"/>
    <s v="NULL"/>
    <n v="0.4"/>
    <n v="13"/>
    <x v="856"/>
    <x v="4"/>
    <x v="8"/>
    <x v="3"/>
    <n v="0"/>
    <x v="0"/>
  </r>
  <r>
    <x v="1912"/>
    <x v="19"/>
    <s v="United States"/>
    <x v="8"/>
    <s v="NULL"/>
    <s v="NULL"/>
    <n v="20"/>
    <x v="856"/>
    <x v="4"/>
    <x v="8"/>
    <x v="3"/>
    <s v="NULL"/>
    <x v="1"/>
  </r>
  <r>
    <x v="1913"/>
    <x v="0"/>
    <s v="Germany"/>
    <x v="7"/>
    <n v="500"/>
    <n v="0.5"/>
    <n v="604"/>
    <x v="857"/>
    <x v="4"/>
    <x v="8"/>
    <x v="4"/>
    <n v="0"/>
    <x v="0"/>
  </r>
  <r>
    <x v="1914"/>
    <x v="1"/>
    <s v="Brazil"/>
    <x v="3"/>
    <n v="300"/>
    <n v="0.2"/>
    <n v="260"/>
    <x v="857"/>
    <x v="4"/>
    <x v="8"/>
    <x v="4"/>
    <n v="0"/>
    <x v="0"/>
  </r>
  <r>
    <x v="1915"/>
    <x v="8"/>
    <s v="India"/>
    <x v="8"/>
    <n v="200"/>
    <n v="0.4"/>
    <s v="NULL"/>
    <x v="857"/>
    <x v="4"/>
    <x v="8"/>
    <x v="1"/>
    <n v="0"/>
    <x v="0"/>
  </r>
  <r>
    <x v="541"/>
    <x v="21"/>
    <s v="Canada"/>
    <x v="7"/>
    <n v="90"/>
    <n v="0.06"/>
    <n v="483"/>
    <x v="857"/>
    <x v="4"/>
    <x v="8"/>
    <x v="4"/>
    <n v="0"/>
    <x v="0"/>
  </r>
  <r>
    <x v="1916"/>
    <x v="14"/>
    <s v="Indonesia"/>
    <x v="3"/>
    <n v="67"/>
    <n v="0.08"/>
    <n v="245"/>
    <x v="857"/>
    <x v="4"/>
    <x v="8"/>
    <x v="4"/>
    <n v="0"/>
    <x v="0"/>
  </r>
  <r>
    <x v="1248"/>
    <x v="9"/>
    <s v="United States"/>
    <x v="8"/>
    <n v="33"/>
    <n v="0.33"/>
    <n v="100"/>
    <x v="857"/>
    <x v="4"/>
    <x v="8"/>
    <x v="4"/>
    <n v="0"/>
    <x v="0"/>
  </r>
  <r>
    <x v="1917"/>
    <x v="0"/>
    <s v="Germany"/>
    <x v="7"/>
    <n v="25"/>
    <n v="0.1"/>
    <n v="87"/>
    <x v="857"/>
    <x v="4"/>
    <x v="8"/>
    <x v="3"/>
    <n v="0"/>
    <x v="0"/>
  </r>
  <r>
    <x v="1918"/>
    <x v="9"/>
    <s v="United States"/>
    <x v="11"/>
    <s v="NULL"/>
    <n v="1"/>
    <n v="1000"/>
    <x v="857"/>
    <x v="4"/>
    <x v="8"/>
    <x v="2"/>
    <n v="1"/>
    <x v="0"/>
  </r>
  <r>
    <x v="1919"/>
    <x v="21"/>
    <s v="United Kingdom"/>
    <x v="3"/>
    <s v="NULL"/>
    <s v="NULL"/>
    <n v="50"/>
    <x v="857"/>
    <x v="4"/>
    <x v="8"/>
    <x v="3"/>
    <s v="NULL"/>
    <x v="1"/>
  </r>
  <r>
    <x v="1920"/>
    <x v="16"/>
    <s v="United States"/>
    <x v="8"/>
    <s v="NULL"/>
    <s v="NULL"/>
    <n v="11"/>
    <x v="857"/>
    <x v="4"/>
    <x v="8"/>
    <x v="3"/>
    <s v="NULL"/>
    <x v="1"/>
  </r>
  <r>
    <x v="1921"/>
    <x v="9"/>
    <s v="Canada"/>
    <x v="2"/>
    <s v="NULL"/>
    <s v="NULL"/>
    <n v="103"/>
    <x v="857"/>
    <x v="4"/>
    <x v="8"/>
    <x v="4"/>
    <s v="NULL"/>
    <x v="1"/>
  </r>
  <r>
    <x v="1922"/>
    <x v="26"/>
    <s v="United States"/>
    <x v="2"/>
    <s v="NULL"/>
    <n v="0.4"/>
    <n v="78"/>
    <x v="857"/>
    <x v="4"/>
    <x v="8"/>
    <x v="3"/>
    <n v="0"/>
    <x v="0"/>
  </r>
  <r>
    <x v="1923"/>
    <x v="5"/>
    <s v="United States"/>
    <x v="6"/>
    <s v="NULL"/>
    <n v="1"/>
    <n v="4"/>
    <x v="857"/>
    <x v="4"/>
    <x v="8"/>
    <x v="0"/>
    <n v="1"/>
    <x v="0"/>
  </r>
  <r>
    <x v="1924"/>
    <x v="14"/>
    <s v="Netherlands"/>
    <x v="3"/>
    <s v="NULL"/>
    <n v="0.24"/>
    <n v="22"/>
    <x v="858"/>
    <x v="4"/>
    <x v="8"/>
    <x v="3"/>
    <n v="0"/>
    <x v="0"/>
  </r>
  <r>
    <x v="1925"/>
    <x v="14"/>
    <s v="United Kingdom"/>
    <x v="3"/>
    <s v="NULL"/>
    <s v="NULL"/>
    <n v="389"/>
    <x v="859"/>
    <x v="4"/>
    <x v="8"/>
    <x v="4"/>
    <s v="NULL"/>
    <x v="1"/>
  </r>
  <r>
    <x v="1926"/>
    <x v="4"/>
    <s v="India"/>
    <x v="14"/>
    <n v="150"/>
    <n v="0.05"/>
    <n v="1700"/>
    <x v="860"/>
    <x v="4"/>
    <x v="8"/>
    <x v="2"/>
    <n v="0"/>
    <x v="0"/>
  </r>
  <r>
    <x v="1927"/>
    <x v="11"/>
    <s v="United Kingdom"/>
    <x v="3"/>
    <n v="70"/>
    <n v="0.2"/>
    <n v="157"/>
    <x v="860"/>
    <x v="4"/>
    <x v="8"/>
    <x v="4"/>
    <n v="0"/>
    <x v="0"/>
  </r>
  <r>
    <x v="397"/>
    <x v="18"/>
    <s v="Nigeria"/>
    <x v="8"/>
    <n v="27"/>
    <n v="0.09"/>
    <n v="43"/>
    <x v="860"/>
    <x v="4"/>
    <x v="8"/>
    <x v="3"/>
    <n v="0"/>
    <x v="0"/>
  </r>
  <r>
    <x v="1928"/>
    <x v="9"/>
    <s v="Argentina"/>
    <x v="8"/>
    <n v="100"/>
    <n v="0.38"/>
    <n v="17"/>
    <x v="861"/>
    <x v="4"/>
    <x v="8"/>
    <x v="3"/>
    <n v="0"/>
    <x v="0"/>
  </r>
  <r>
    <x v="1929"/>
    <x v="9"/>
    <s v="Nigeria"/>
    <x v="3"/>
    <n v="20"/>
    <n v="0.2"/>
    <n v="3"/>
    <x v="861"/>
    <x v="4"/>
    <x v="8"/>
    <x v="0"/>
    <n v="0"/>
    <x v="0"/>
  </r>
  <r>
    <x v="1930"/>
    <x v="18"/>
    <s v="Australia"/>
    <x v="1"/>
    <s v="NULL"/>
    <s v="NULL"/>
    <s v="NULL"/>
    <x v="861"/>
    <x v="4"/>
    <x v="8"/>
    <x v="1"/>
    <s v="NULL"/>
    <x v="1"/>
  </r>
  <r>
    <x v="1417"/>
    <x v="4"/>
    <s v="Switzerland"/>
    <x v="2"/>
    <s v="NULL"/>
    <s v="NULL"/>
    <s v="NULL"/>
    <x v="861"/>
    <x v="4"/>
    <x v="8"/>
    <x v="1"/>
    <s v="NULL"/>
    <x v="1"/>
  </r>
  <r>
    <x v="1931"/>
    <x v="14"/>
    <s v="United States"/>
    <x v="6"/>
    <s v="NULL"/>
    <n v="1"/>
    <n v="2"/>
    <x v="862"/>
    <x v="4"/>
    <x v="8"/>
    <x v="0"/>
    <n v="1"/>
    <x v="0"/>
  </r>
  <r>
    <x v="1932"/>
    <x v="2"/>
    <s v="Canada"/>
    <x v="6"/>
    <s v="NULL"/>
    <n v="1"/>
    <n v="6"/>
    <x v="862"/>
    <x v="4"/>
    <x v="8"/>
    <x v="0"/>
    <n v="1"/>
    <x v="0"/>
  </r>
  <r>
    <x v="1933"/>
    <x v="0"/>
    <s v="Colombia"/>
    <x v="8"/>
    <s v="NULL"/>
    <n v="1"/>
    <n v="20"/>
    <x v="862"/>
    <x v="4"/>
    <x v="8"/>
    <x v="3"/>
    <n v="1"/>
    <x v="0"/>
  </r>
  <r>
    <x v="1934"/>
    <x v="11"/>
    <s v="Egypt"/>
    <x v="0"/>
    <s v="NULL"/>
    <n v="0.5"/>
    <n v="264"/>
    <x v="862"/>
    <x v="4"/>
    <x v="8"/>
    <x v="4"/>
    <n v="0"/>
    <x v="0"/>
  </r>
  <r>
    <x v="1288"/>
    <x v="12"/>
    <s v="United States"/>
    <x v="0"/>
    <n v="251"/>
    <s v="NULL"/>
    <n v="900"/>
    <x v="863"/>
    <x v="4"/>
    <x v="8"/>
    <x v="4"/>
    <s v="NULL"/>
    <x v="0"/>
  </r>
  <r>
    <x v="1935"/>
    <x v="2"/>
    <s v="Indonesia"/>
    <x v="2"/>
    <n v="160"/>
    <n v="0.08"/>
    <n v="92"/>
    <x v="863"/>
    <x v="4"/>
    <x v="8"/>
    <x v="3"/>
    <n v="0"/>
    <x v="0"/>
  </r>
  <r>
    <x v="1936"/>
    <x v="15"/>
    <s v="Brazil"/>
    <x v="1"/>
    <n v="118"/>
    <s v="NULL"/>
    <n v="11"/>
    <x v="863"/>
    <x v="4"/>
    <x v="8"/>
    <x v="3"/>
    <s v="NULL"/>
    <x v="0"/>
  </r>
  <r>
    <x v="1937"/>
    <x v="2"/>
    <s v="Singapore"/>
    <x v="11"/>
    <n v="80"/>
    <n v="0.08"/>
    <n v="1000"/>
    <x v="863"/>
    <x v="4"/>
    <x v="8"/>
    <x v="2"/>
    <n v="0"/>
    <x v="0"/>
  </r>
  <r>
    <x v="1938"/>
    <x v="18"/>
    <s v="Singapore"/>
    <x v="2"/>
    <s v="NULL"/>
    <s v="NULL"/>
    <n v="57"/>
    <x v="863"/>
    <x v="4"/>
    <x v="8"/>
    <x v="3"/>
    <s v="NULL"/>
    <x v="1"/>
  </r>
  <r>
    <x v="1939"/>
    <x v="5"/>
    <s v="United States"/>
    <x v="0"/>
    <s v="NULL"/>
    <s v="NULL"/>
    <n v="809"/>
    <x v="863"/>
    <x v="4"/>
    <x v="8"/>
    <x v="4"/>
    <s v="NULL"/>
    <x v="1"/>
  </r>
  <r>
    <x v="57"/>
    <x v="14"/>
    <s v="Israel"/>
    <x v="3"/>
    <s v="NULL"/>
    <s v="NULL"/>
    <n v="770"/>
    <x v="863"/>
    <x v="4"/>
    <x v="8"/>
    <x v="4"/>
    <s v="NULL"/>
    <x v="1"/>
  </r>
  <r>
    <x v="1940"/>
    <x v="27"/>
    <s v="Netherlands"/>
    <x v="3"/>
    <s v="NULL"/>
    <s v="NULL"/>
    <n v="23"/>
    <x v="863"/>
    <x v="4"/>
    <x v="8"/>
    <x v="3"/>
    <s v="NULL"/>
    <x v="1"/>
  </r>
  <r>
    <x v="74"/>
    <x v="2"/>
    <s v="Nigeria"/>
    <x v="0"/>
    <n v="900"/>
    <n v="0.2"/>
    <n v="1200"/>
    <x v="864"/>
    <x v="4"/>
    <x v="8"/>
    <x v="2"/>
    <n v="0"/>
    <x v="0"/>
  </r>
  <r>
    <x v="1941"/>
    <x v="18"/>
    <s v="UAE"/>
    <x v="5"/>
    <n v="93"/>
    <n v="0.1"/>
    <n v="804"/>
    <x v="864"/>
    <x v="4"/>
    <x v="8"/>
    <x v="4"/>
    <n v="0"/>
    <x v="0"/>
  </r>
  <r>
    <x v="1942"/>
    <x v="3"/>
    <s v="United States"/>
    <x v="4"/>
    <s v="NULL"/>
    <n v="0.15"/>
    <n v="481"/>
    <x v="864"/>
    <x v="4"/>
    <x v="8"/>
    <x v="4"/>
    <n v="0"/>
    <x v="0"/>
  </r>
  <r>
    <x v="1943"/>
    <x v="14"/>
    <s v="United States"/>
    <x v="3"/>
    <s v="NULL"/>
    <n v="1"/>
    <s v="NULL"/>
    <x v="864"/>
    <x v="4"/>
    <x v="8"/>
    <x v="1"/>
    <n v="1"/>
    <x v="0"/>
  </r>
  <r>
    <x v="369"/>
    <x v="18"/>
    <s v="India"/>
    <x v="14"/>
    <n v="100"/>
    <n v="0.04"/>
    <n v="914"/>
    <x v="865"/>
    <x v="4"/>
    <x v="8"/>
    <x v="4"/>
    <n v="0"/>
    <x v="0"/>
  </r>
  <r>
    <x v="1745"/>
    <x v="11"/>
    <s v="United States"/>
    <x v="0"/>
    <n v="1500"/>
    <n v="0.08"/>
    <n v="1600"/>
    <x v="866"/>
    <x v="4"/>
    <x v="8"/>
    <x v="2"/>
    <n v="0"/>
    <x v="0"/>
  </r>
  <r>
    <x v="1351"/>
    <x v="11"/>
    <s v="United States"/>
    <x v="7"/>
    <n v="300"/>
    <n v="0.2"/>
    <n v="2100"/>
    <x v="866"/>
    <x v="4"/>
    <x v="8"/>
    <x v="2"/>
    <n v="0"/>
    <x v="0"/>
  </r>
  <r>
    <x v="1944"/>
    <x v="5"/>
    <s v="United States"/>
    <x v="11"/>
    <n v="105"/>
    <n v="0.2"/>
    <n v="459"/>
    <x v="866"/>
    <x v="4"/>
    <x v="8"/>
    <x v="4"/>
    <n v="0"/>
    <x v="0"/>
  </r>
  <r>
    <x v="1945"/>
    <x v="11"/>
    <s v="United Kingdom"/>
    <x v="2"/>
    <n v="57"/>
    <s v="NULL"/>
    <n v="34"/>
    <x v="866"/>
    <x v="4"/>
    <x v="8"/>
    <x v="3"/>
    <s v="NULL"/>
    <x v="0"/>
  </r>
  <r>
    <x v="1946"/>
    <x v="14"/>
    <s v="United States"/>
    <x v="7"/>
    <s v="NULL"/>
    <n v="0.25"/>
    <n v="281"/>
    <x v="866"/>
    <x v="4"/>
    <x v="8"/>
    <x v="4"/>
    <n v="0"/>
    <x v="0"/>
  </r>
  <r>
    <x v="1947"/>
    <x v="11"/>
    <s v="Brazil"/>
    <x v="11"/>
    <s v="NULL"/>
    <s v="NULL"/>
    <n v="1600"/>
    <x v="866"/>
    <x v="4"/>
    <x v="8"/>
    <x v="2"/>
    <s v="NULL"/>
    <x v="1"/>
  </r>
  <r>
    <x v="1948"/>
    <x v="9"/>
    <s v="United States"/>
    <x v="3"/>
    <s v="NULL"/>
    <s v="NULL"/>
    <s v="NULL"/>
    <x v="866"/>
    <x v="4"/>
    <x v="8"/>
    <x v="1"/>
    <s v="NULL"/>
    <x v="1"/>
  </r>
  <r>
    <x v="1949"/>
    <x v="21"/>
    <s v="Indonesia"/>
    <x v="3"/>
    <s v="NULL"/>
    <s v="NULL"/>
    <n v="205"/>
    <x v="866"/>
    <x v="4"/>
    <x v="8"/>
    <x v="4"/>
    <s v="NULL"/>
    <x v="1"/>
  </r>
  <r>
    <x v="1950"/>
    <x v="4"/>
    <s v="United States"/>
    <x v="1"/>
    <s v="NULL"/>
    <n v="0.25"/>
    <n v="18"/>
    <x v="866"/>
    <x v="4"/>
    <x v="8"/>
    <x v="3"/>
    <n v="0"/>
    <x v="0"/>
  </r>
  <r>
    <x v="1951"/>
    <x v="9"/>
    <s v="United States"/>
    <x v="8"/>
    <s v="NULL"/>
    <n v="0.15"/>
    <n v="33"/>
    <x v="866"/>
    <x v="4"/>
    <x v="8"/>
    <x v="3"/>
    <n v="0"/>
    <x v="0"/>
  </r>
  <r>
    <x v="1075"/>
    <x v="4"/>
    <s v="United States"/>
    <x v="0"/>
    <n v="200"/>
    <n v="7.0000000000000007E-2"/>
    <n v="208"/>
    <x v="867"/>
    <x v="4"/>
    <x v="8"/>
    <x v="4"/>
    <n v="0"/>
    <x v="0"/>
  </r>
  <r>
    <x v="978"/>
    <x v="16"/>
    <s v="United States"/>
    <x v="7"/>
    <n v="180"/>
    <s v="NULL"/>
    <n v="472"/>
    <x v="867"/>
    <x v="4"/>
    <x v="8"/>
    <x v="4"/>
    <s v="NULL"/>
    <x v="0"/>
  </r>
  <r>
    <x v="1952"/>
    <x v="16"/>
    <s v="United States"/>
    <x v="0"/>
    <n v="113"/>
    <s v="NULL"/>
    <s v="NULL"/>
    <x v="867"/>
    <x v="4"/>
    <x v="8"/>
    <x v="1"/>
    <s v="NULL"/>
    <x v="0"/>
  </r>
  <r>
    <x v="1953"/>
    <x v="14"/>
    <s v="Sweden"/>
    <x v="3"/>
    <n v="72"/>
    <n v="0.33"/>
    <n v="281"/>
    <x v="867"/>
    <x v="4"/>
    <x v="8"/>
    <x v="4"/>
    <n v="0"/>
    <x v="0"/>
  </r>
  <r>
    <x v="1954"/>
    <x v="19"/>
    <s v="United States"/>
    <x v="2"/>
    <n v="58"/>
    <s v="NULL"/>
    <n v="54"/>
    <x v="867"/>
    <x v="4"/>
    <x v="8"/>
    <x v="3"/>
    <s v="NULL"/>
    <x v="0"/>
  </r>
  <r>
    <x v="1946"/>
    <x v="14"/>
    <s v="United States"/>
    <x v="7"/>
    <n v="37"/>
    <n v="0.25"/>
    <n v="281"/>
    <x v="867"/>
    <x v="4"/>
    <x v="8"/>
    <x v="4"/>
    <n v="0"/>
    <x v="0"/>
  </r>
  <r>
    <x v="1955"/>
    <x v="0"/>
    <s v="Canada"/>
    <x v="2"/>
    <n v="34"/>
    <n v="0.19"/>
    <n v="73"/>
    <x v="867"/>
    <x v="4"/>
    <x v="8"/>
    <x v="3"/>
    <n v="0"/>
    <x v="0"/>
  </r>
  <r>
    <x v="1601"/>
    <x v="14"/>
    <s v="Canada"/>
    <x v="7"/>
    <n v="15"/>
    <n v="0.04"/>
    <n v="278"/>
    <x v="867"/>
    <x v="4"/>
    <x v="8"/>
    <x v="4"/>
    <n v="0"/>
    <x v="0"/>
  </r>
  <r>
    <x v="1956"/>
    <x v="10"/>
    <s v="Ireland"/>
    <x v="8"/>
    <n v="9"/>
    <n v="0.09"/>
    <n v="35"/>
    <x v="867"/>
    <x v="4"/>
    <x v="8"/>
    <x v="3"/>
    <n v="0"/>
    <x v="0"/>
  </r>
  <r>
    <x v="789"/>
    <x v="0"/>
    <s v="United States"/>
    <x v="5"/>
    <s v="NULL"/>
    <n v="0.17"/>
    <n v="188"/>
    <x v="867"/>
    <x v="4"/>
    <x v="8"/>
    <x v="4"/>
    <n v="0"/>
    <x v="0"/>
  </r>
  <r>
    <x v="1500"/>
    <x v="4"/>
    <s v="United States"/>
    <x v="1"/>
    <s v="NULL"/>
    <n v="0.14000000000000001"/>
    <s v="NULL"/>
    <x v="867"/>
    <x v="4"/>
    <x v="8"/>
    <x v="1"/>
    <n v="0"/>
    <x v="0"/>
  </r>
  <r>
    <x v="673"/>
    <x v="0"/>
    <s v="Canada"/>
    <x v="5"/>
    <s v="NULL"/>
    <n v="0.13"/>
    <n v="148"/>
    <x v="867"/>
    <x v="4"/>
    <x v="8"/>
    <x v="4"/>
    <n v="0"/>
    <x v="0"/>
  </r>
  <r>
    <x v="161"/>
    <x v="2"/>
    <s v="United States"/>
    <x v="0"/>
    <n v="10000"/>
    <n v="0.03"/>
    <n v="108"/>
    <x v="868"/>
    <x v="4"/>
    <x v="8"/>
    <x v="4"/>
    <n v="0"/>
    <x v="0"/>
  </r>
  <r>
    <x v="72"/>
    <x v="24"/>
    <s v="United States"/>
    <x v="0"/>
    <n v="4100"/>
    <n v="0.05"/>
    <n v="2"/>
    <x v="868"/>
    <x v="4"/>
    <x v="8"/>
    <x v="0"/>
    <n v="0"/>
    <x v="0"/>
  </r>
  <r>
    <x v="1118"/>
    <x v="18"/>
    <s v="Kenya"/>
    <x v="5"/>
    <n v="211"/>
    <n v="0.21"/>
    <n v="157"/>
    <x v="868"/>
    <x v="4"/>
    <x v="8"/>
    <x v="4"/>
    <n v="0"/>
    <x v="0"/>
  </r>
  <r>
    <x v="1957"/>
    <x v="10"/>
    <s v="Ireland"/>
    <x v="3"/>
    <n v="200"/>
    <n v="0.4"/>
    <n v="889"/>
    <x v="868"/>
    <x v="4"/>
    <x v="8"/>
    <x v="4"/>
    <n v="0"/>
    <x v="0"/>
  </r>
  <r>
    <x v="1361"/>
    <x v="0"/>
    <s v="United States"/>
    <x v="0"/>
    <n v="120"/>
    <n v="0.1"/>
    <n v="235"/>
    <x v="868"/>
    <x v="4"/>
    <x v="8"/>
    <x v="4"/>
    <n v="0"/>
    <x v="0"/>
  </r>
  <r>
    <x v="989"/>
    <x v="2"/>
    <s v="United States"/>
    <x v="4"/>
    <n v="90"/>
    <n v="0.11"/>
    <n v="452"/>
    <x v="868"/>
    <x v="4"/>
    <x v="8"/>
    <x v="4"/>
    <n v="0"/>
    <x v="0"/>
  </r>
  <r>
    <x v="1958"/>
    <x v="0"/>
    <s v="United States"/>
    <x v="2"/>
    <n v="76"/>
    <n v="0.23"/>
    <n v="56"/>
    <x v="868"/>
    <x v="4"/>
    <x v="8"/>
    <x v="3"/>
    <n v="0"/>
    <x v="0"/>
  </r>
  <r>
    <x v="296"/>
    <x v="10"/>
    <s v="United States"/>
    <x v="3"/>
    <n v="70"/>
    <n v="0.09"/>
    <n v="436"/>
    <x v="868"/>
    <x v="4"/>
    <x v="8"/>
    <x v="4"/>
    <n v="0"/>
    <x v="0"/>
  </r>
  <r>
    <x v="1436"/>
    <x v="5"/>
    <s v="United States"/>
    <x v="0"/>
    <n v="59"/>
    <n v="0.22"/>
    <n v="409"/>
    <x v="868"/>
    <x v="4"/>
    <x v="8"/>
    <x v="4"/>
    <n v="0"/>
    <x v="0"/>
  </r>
  <r>
    <x v="1959"/>
    <x v="21"/>
    <s v="Canada"/>
    <x v="0"/>
    <s v="NULL"/>
    <n v="0.05"/>
    <n v="168"/>
    <x v="868"/>
    <x v="4"/>
    <x v="8"/>
    <x v="4"/>
    <n v="0"/>
    <x v="0"/>
  </r>
  <r>
    <x v="1960"/>
    <x v="11"/>
    <s v="Germany"/>
    <x v="3"/>
    <s v="NULL"/>
    <n v="0.16"/>
    <n v="63"/>
    <x v="868"/>
    <x v="4"/>
    <x v="8"/>
    <x v="3"/>
    <n v="0"/>
    <x v="0"/>
  </r>
  <r>
    <x v="1961"/>
    <x v="16"/>
    <s v="United States"/>
    <x v="3"/>
    <s v="NULL"/>
    <n v="0.25"/>
    <n v="501"/>
    <x v="868"/>
    <x v="4"/>
    <x v="8"/>
    <x v="4"/>
    <n v="0"/>
    <x v="0"/>
  </r>
  <r>
    <x v="680"/>
    <x v="0"/>
    <s v="United Kingdom"/>
    <x v="7"/>
    <s v="NULL"/>
    <n v="0.17"/>
    <n v="1000"/>
    <x v="868"/>
    <x v="4"/>
    <x v="8"/>
    <x v="2"/>
    <n v="0"/>
    <x v="0"/>
  </r>
  <r>
    <x v="1962"/>
    <x v="0"/>
    <s v="United Kingdom"/>
    <x v="8"/>
    <s v="NULL"/>
    <s v="NULL"/>
    <n v="15"/>
    <x v="868"/>
    <x v="4"/>
    <x v="8"/>
    <x v="3"/>
    <s v="NULL"/>
    <x v="1"/>
  </r>
  <r>
    <x v="1963"/>
    <x v="22"/>
    <s v="United States"/>
    <x v="8"/>
    <s v="NULL"/>
    <n v="1"/>
    <n v="21"/>
    <x v="868"/>
    <x v="4"/>
    <x v="8"/>
    <x v="3"/>
    <n v="1"/>
    <x v="0"/>
  </r>
  <r>
    <x v="614"/>
    <x v="6"/>
    <s v="United States"/>
    <x v="0"/>
    <n v="241"/>
    <n v="0.06"/>
    <n v="2000"/>
    <x v="869"/>
    <x v="4"/>
    <x v="8"/>
    <x v="2"/>
    <n v="0"/>
    <x v="0"/>
  </r>
  <r>
    <x v="420"/>
    <x v="0"/>
    <s v="United States"/>
    <x v="0"/>
    <n v="180"/>
    <n v="0.09"/>
    <n v="453"/>
    <x v="869"/>
    <x v="4"/>
    <x v="8"/>
    <x v="4"/>
    <n v="0"/>
    <x v="0"/>
  </r>
  <r>
    <x v="1964"/>
    <x v="3"/>
    <s v="United States"/>
    <x v="11"/>
    <n v="170"/>
    <n v="0.17"/>
    <n v="507"/>
    <x v="869"/>
    <x v="4"/>
    <x v="8"/>
    <x v="4"/>
    <n v="0"/>
    <x v="0"/>
  </r>
  <r>
    <x v="1965"/>
    <x v="18"/>
    <s v="Australia"/>
    <x v="0"/>
    <n v="120"/>
    <n v="1"/>
    <n v="1700"/>
    <x v="869"/>
    <x v="4"/>
    <x v="8"/>
    <x v="2"/>
    <n v="1"/>
    <x v="0"/>
  </r>
  <r>
    <x v="118"/>
    <x v="22"/>
    <s v="United States"/>
    <x v="7"/>
    <n v="100"/>
    <n v="0.2"/>
    <s v="NULL"/>
    <x v="869"/>
    <x v="4"/>
    <x v="8"/>
    <x v="1"/>
    <n v="0"/>
    <x v="0"/>
  </r>
  <r>
    <x v="1966"/>
    <x v="16"/>
    <s v="Canada"/>
    <x v="2"/>
    <n v="71"/>
    <s v="NULL"/>
    <n v="154"/>
    <x v="869"/>
    <x v="4"/>
    <x v="8"/>
    <x v="4"/>
    <s v="NULL"/>
    <x v="0"/>
  </r>
  <r>
    <x v="1967"/>
    <x v="4"/>
    <s v="United States"/>
    <x v="1"/>
    <n v="60"/>
    <n v="1"/>
    <s v="NULL"/>
    <x v="869"/>
    <x v="4"/>
    <x v="8"/>
    <x v="1"/>
    <n v="1"/>
    <x v="0"/>
  </r>
  <r>
    <x v="1968"/>
    <x v="0"/>
    <s v="Germany"/>
    <x v="3"/>
    <n v="50"/>
    <n v="0.16"/>
    <n v="28"/>
    <x v="869"/>
    <x v="4"/>
    <x v="8"/>
    <x v="3"/>
    <n v="0"/>
    <x v="0"/>
  </r>
  <r>
    <x v="1969"/>
    <x v="14"/>
    <s v="United States"/>
    <x v="7"/>
    <n v="50"/>
    <s v="NULL"/>
    <n v="256"/>
    <x v="869"/>
    <x v="4"/>
    <x v="8"/>
    <x v="4"/>
    <s v="NULL"/>
    <x v="0"/>
  </r>
  <r>
    <x v="1970"/>
    <x v="1"/>
    <s v="Luxembourg"/>
    <x v="1"/>
    <n v="45"/>
    <n v="0.08"/>
    <s v="NULL"/>
    <x v="869"/>
    <x v="4"/>
    <x v="8"/>
    <x v="1"/>
    <n v="0"/>
    <x v="0"/>
  </r>
  <r>
    <x v="1971"/>
    <x v="19"/>
    <s v="United States"/>
    <x v="5"/>
    <n v="31"/>
    <n v="0.1"/>
    <n v="164"/>
    <x v="869"/>
    <x v="4"/>
    <x v="8"/>
    <x v="4"/>
    <n v="0"/>
    <x v="0"/>
  </r>
  <r>
    <x v="1972"/>
    <x v="14"/>
    <s v="Canada"/>
    <x v="2"/>
    <s v="NULL"/>
    <n v="0.25"/>
    <n v="11"/>
    <x v="869"/>
    <x v="4"/>
    <x v="8"/>
    <x v="3"/>
    <n v="0"/>
    <x v="0"/>
  </r>
  <r>
    <x v="1973"/>
    <x v="14"/>
    <s v="United States"/>
    <x v="3"/>
    <s v="NULL"/>
    <n v="1"/>
    <s v="NULL"/>
    <x v="869"/>
    <x v="4"/>
    <x v="8"/>
    <x v="1"/>
    <n v="1"/>
    <x v="0"/>
  </r>
  <r>
    <x v="1974"/>
    <x v="18"/>
    <s v="Sweden"/>
    <x v="0"/>
    <s v="NULL"/>
    <s v="NULL"/>
    <n v="441"/>
    <x v="869"/>
    <x v="4"/>
    <x v="8"/>
    <x v="4"/>
    <s v="NULL"/>
    <x v="1"/>
  </r>
  <r>
    <x v="264"/>
    <x v="2"/>
    <s v="United States"/>
    <x v="3"/>
    <s v="NULL"/>
    <n v="0.19"/>
    <n v="381"/>
    <x v="869"/>
    <x v="4"/>
    <x v="8"/>
    <x v="4"/>
    <n v="0"/>
    <x v="0"/>
  </r>
  <r>
    <x v="1975"/>
    <x v="4"/>
    <s v="United States"/>
    <x v="2"/>
    <s v="NULL"/>
    <n v="0.12"/>
    <n v="174"/>
    <x v="869"/>
    <x v="4"/>
    <x v="8"/>
    <x v="4"/>
    <n v="0"/>
    <x v="0"/>
  </r>
  <r>
    <x v="1976"/>
    <x v="0"/>
    <s v="United States"/>
    <x v="0"/>
    <s v="NULL"/>
    <n v="0.11"/>
    <n v="382"/>
    <x v="869"/>
    <x v="4"/>
    <x v="8"/>
    <x v="4"/>
    <n v="0"/>
    <x v="0"/>
  </r>
  <r>
    <x v="1561"/>
    <x v="1"/>
    <s v="China"/>
    <x v="0"/>
    <s v="NULL"/>
    <s v="NULL"/>
    <n v="12600"/>
    <x v="869"/>
    <x v="4"/>
    <x v="8"/>
    <x v="2"/>
    <s v="NULL"/>
    <x v="1"/>
  </r>
  <r>
    <x v="1977"/>
    <x v="10"/>
    <s v="Spain"/>
    <x v="5"/>
    <s v="NULL"/>
    <s v="NULL"/>
    <n v="187"/>
    <x v="869"/>
    <x v="4"/>
    <x v="8"/>
    <x v="4"/>
    <s v="NULL"/>
    <x v="1"/>
  </r>
  <r>
    <x v="1978"/>
    <x v="0"/>
    <s v="Australia"/>
    <x v="0"/>
    <s v="NULL"/>
    <n v="0.3"/>
    <n v="68"/>
    <x v="869"/>
    <x v="4"/>
    <x v="8"/>
    <x v="3"/>
    <n v="0"/>
    <x v="0"/>
  </r>
  <r>
    <x v="812"/>
    <x v="5"/>
    <s v="United States"/>
    <x v="0"/>
    <n v="500"/>
    <n v="0.05"/>
    <n v="28"/>
    <x v="870"/>
    <x v="4"/>
    <x v="8"/>
    <x v="3"/>
    <n v="0"/>
    <x v="0"/>
  </r>
  <r>
    <x v="1979"/>
    <x v="5"/>
    <s v="United States"/>
    <x v="0"/>
    <n v="500"/>
    <s v="NULL"/>
    <n v="791"/>
    <x v="870"/>
    <x v="4"/>
    <x v="8"/>
    <x v="4"/>
    <s v="NULL"/>
    <x v="0"/>
  </r>
  <r>
    <x v="1980"/>
    <x v="25"/>
    <s v="United States"/>
    <x v="9"/>
    <n v="300"/>
    <n v="0.2"/>
    <n v="200"/>
    <x v="870"/>
    <x v="4"/>
    <x v="8"/>
    <x v="4"/>
    <n v="0"/>
    <x v="0"/>
  </r>
  <r>
    <x v="1981"/>
    <x v="16"/>
    <s v="United States"/>
    <x v="5"/>
    <n v="170"/>
    <n v="0.85"/>
    <n v="405"/>
    <x v="870"/>
    <x v="4"/>
    <x v="8"/>
    <x v="4"/>
    <n v="0"/>
    <x v="0"/>
  </r>
  <r>
    <x v="936"/>
    <x v="19"/>
    <s v="Estonia"/>
    <x v="9"/>
    <n v="143"/>
    <n v="0.15"/>
    <n v="90"/>
    <x v="870"/>
    <x v="4"/>
    <x v="8"/>
    <x v="3"/>
    <n v="0"/>
    <x v="0"/>
  </r>
  <r>
    <x v="1982"/>
    <x v="15"/>
    <s v="United States"/>
    <x v="7"/>
    <n v="124"/>
    <n v="0.13"/>
    <n v="240"/>
    <x v="870"/>
    <x v="4"/>
    <x v="8"/>
    <x v="4"/>
    <n v="0"/>
    <x v="0"/>
  </r>
  <r>
    <x v="1429"/>
    <x v="5"/>
    <s v="United States"/>
    <x v="0"/>
    <n v="90"/>
    <s v="NULL"/>
    <n v="347"/>
    <x v="870"/>
    <x v="4"/>
    <x v="8"/>
    <x v="4"/>
    <s v="NULL"/>
    <x v="0"/>
  </r>
  <r>
    <x v="1436"/>
    <x v="5"/>
    <s v="United States"/>
    <x v="0"/>
    <n v="59"/>
    <n v="0.22"/>
    <n v="409"/>
    <x v="870"/>
    <x v="4"/>
    <x v="8"/>
    <x v="4"/>
    <n v="0"/>
    <x v="0"/>
  </r>
  <r>
    <x v="1983"/>
    <x v="10"/>
    <s v="United States"/>
    <x v="0"/>
    <n v="51"/>
    <s v="NULL"/>
    <n v="212"/>
    <x v="870"/>
    <x v="4"/>
    <x v="8"/>
    <x v="4"/>
    <s v="NULL"/>
    <x v="0"/>
  </r>
  <r>
    <x v="1984"/>
    <x v="4"/>
    <s v="United States"/>
    <x v="3"/>
    <n v="40"/>
    <n v="0.08"/>
    <n v="100"/>
    <x v="870"/>
    <x v="4"/>
    <x v="8"/>
    <x v="4"/>
    <n v="0"/>
    <x v="0"/>
  </r>
  <r>
    <x v="1985"/>
    <x v="9"/>
    <s v="Nigeria"/>
    <x v="6"/>
    <n v="30"/>
    <s v="NULL"/>
    <n v="6"/>
    <x v="870"/>
    <x v="4"/>
    <x v="8"/>
    <x v="0"/>
    <s v="NULL"/>
    <x v="0"/>
  </r>
  <r>
    <x v="1638"/>
    <x v="11"/>
    <s v="Nigeria"/>
    <x v="3"/>
    <n v="20"/>
    <s v="NULL"/>
    <n v="12"/>
    <x v="870"/>
    <x v="4"/>
    <x v="8"/>
    <x v="3"/>
    <s v="NULL"/>
    <x v="0"/>
  </r>
  <r>
    <x v="36"/>
    <x v="18"/>
    <s v="Indonesia"/>
    <x v="3"/>
    <s v="NULL"/>
    <s v="NULL"/>
    <s v="NULL"/>
    <x v="870"/>
    <x v="4"/>
    <x v="8"/>
    <x v="1"/>
    <s v="NULL"/>
    <x v="1"/>
  </r>
  <r>
    <x v="1986"/>
    <x v="5"/>
    <s v="United States"/>
    <x v="0"/>
    <s v="NULL"/>
    <n v="0.56999999999999995"/>
    <n v="624"/>
    <x v="870"/>
    <x v="4"/>
    <x v="8"/>
    <x v="4"/>
    <n v="0"/>
    <x v="0"/>
  </r>
  <r>
    <x v="940"/>
    <x v="16"/>
    <s v="United States"/>
    <x v="7"/>
    <n v="100"/>
    <n v="0.3"/>
    <n v="597"/>
    <x v="871"/>
    <x v="4"/>
    <x v="8"/>
    <x v="4"/>
    <n v="0"/>
    <x v="0"/>
  </r>
  <r>
    <x v="360"/>
    <x v="23"/>
    <s v="Germany"/>
    <x v="7"/>
    <n v="60"/>
    <n v="0.08"/>
    <n v="593"/>
    <x v="871"/>
    <x v="4"/>
    <x v="8"/>
    <x v="4"/>
    <n v="0"/>
    <x v="0"/>
  </r>
  <r>
    <x v="1987"/>
    <x v="14"/>
    <s v="Chile"/>
    <x v="6"/>
    <s v="NULL"/>
    <s v="NULL"/>
    <n v="2"/>
    <x v="871"/>
    <x v="4"/>
    <x v="8"/>
    <x v="0"/>
    <s v="NULL"/>
    <x v="1"/>
  </r>
  <r>
    <x v="1988"/>
    <x v="10"/>
    <s v="United States"/>
    <x v="1"/>
    <s v="NULL"/>
    <s v="NULL"/>
    <s v="NULL"/>
    <x v="871"/>
    <x v="4"/>
    <x v="8"/>
    <x v="1"/>
    <s v="NULL"/>
    <x v="1"/>
  </r>
  <r>
    <x v="1989"/>
    <x v="16"/>
    <s v="United States"/>
    <x v="0"/>
    <s v="NULL"/>
    <n v="7.0000000000000007E-2"/>
    <n v="355"/>
    <x v="871"/>
    <x v="4"/>
    <x v="8"/>
    <x v="4"/>
    <n v="0"/>
    <x v="0"/>
  </r>
  <r>
    <x v="1497"/>
    <x v="11"/>
    <s v="Indonesia"/>
    <x v="0"/>
    <n v="1300"/>
    <n v="0.12"/>
    <n v="1300"/>
    <x v="872"/>
    <x v="4"/>
    <x v="8"/>
    <x v="2"/>
    <n v="0"/>
    <x v="0"/>
  </r>
  <r>
    <x v="1990"/>
    <x v="1"/>
    <s v="United States"/>
    <x v="3"/>
    <n v="400"/>
    <n v="0.3"/>
    <n v="1500"/>
    <x v="872"/>
    <x v="4"/>
    <x v="8"/>
    <x v="2"/>
    <n v="0"/>
    <x v="0"/>
  </r>
  <r>
    <x v="1135"/>
    <x v="14"/>
    <s v="United States"/>
    <x v="0"/>
    <n v="100"/>
    <n v="0.06"/>
    <n v="665"/>
    <x v="872"/>
    <x v="4"/>
    <x v="8"/>
    <x v="4"/>
    <n v="0"/>
    <x v="0"/>
  </r>
  <r>
    <x v="1991"/>
    <x v="6"/>
    <s v="United States"/>
    <x v="7"/>
    <n v="65"/>
    <n v="0.27"/>
    <n v="119"/>
    <x v="872"/>
    <x v="4"/>
    <x v="8"/>
    <x v="4"/>
    <n v="0"/>
    <x v="0"/>
  </r>
  <r>
    <x v="97"/>
    <x v="9"/>
    <s v="United States"/>
    <x v="0"/>
    <n v="60"/>
    <s v="NULL"/>
    <n v="549"/>
    <x v="872"/>
    <x v="4"/>
    <x v="8"/>
    <x v="4"/>
    <s v="NULL"/>
    <x v="0"/>
  </r>
  <r>
    <x v="1788"/>
    <x v="0"/>
    <s v="United States"/>
    <x v="0"/>
    <n v="45"/>
    <n v="0.1"/>
    <n v="326"/>
    <x v="872"/>
    <x v="4"/>
    <x v="8"/>
    <x v="4"/>
    <n v="0"/>
    <x v="0"/>
  </r>
  <r>
    <x v="1992"/>
    <x v="10"/>
    <s v="United States"/>
    <x v="3"/>
    <n v="40"/>
    <s v="NULL"/>
    <n v="18"/>
    <x v="872"/>
    <x v="4"/>
    <x v="8"/>
    <x v="3"/>
    <s v="NULL"/>
    <x v="0"/>
  </r>
  <r>
    <x v="1993"/>
    <x v="9"/>
    <s v="United States"/>
    <x v="8"/>
    <n v="20"/>
    <n v="0.48"/>
    <n v="11"/>
    <x v="872"/>
    <x v="4"/>
    <x v="8"/>
    <x v="3"/>
    <n v="0"/>
    <x v="0"/>
  </r>
  <r>
    <x v="1994"/>
    <x v="3"/>
    <s v="United States"/>
    <x v="3"/>
    <s v="NULL"/>
    <n v="0.25"/>
    <s v="NULL"/>
    <x v="872"/>
    <x v="4"/>
    <x v="8"/>
    <x v="1"/>
    <n v="0"/>
    <x v="0"/>
  </r>
  <r>
    <x v="1434"/>
    <x v="21"/>
    <s v="United States"/>
    <x v="2"/>
    <s v="NULL"/>
    <s v="NULL"/>
    <n v="81"/>
    <x v="872"/>
    <x v="4"/>
    <x v="8"/>
    <x v="3"/>
    <s v="NULL"/>
    <x v="1"/>
  </r>
  <r>
    <x v="1995"/>
    <x v="23"/>
    <s v="Netherlands"/>
    <x v="5"/>
    <s v="NULL"/>
    <n v="0.1"/>
    <n v="200"/>
    <x v="872"/>
    <x v="4"/>
    <x v="8"/>
    <x v="4"/>
    <n v="0"/>
    <x v="0"/>
  </r>
  <r>
    <x v="1996"/>
    <x v="18"/>
    <s v="Australia"/>
    <x v="6"/>
    <s v="NULL"/>
    <s v="NULL"/>
    <n v="13"/>
    <x v="872"/>
    <x v="4"/>
    <x v="8"/>
    <x v="3"/>
    <s v="NULL"/>
    <x v="1"/>
  </r>
  <r>
    <x v="1997"/>
    <x v="7"/>
    <s v="United States"/>
    <x v="3"/>
    <s v="NULL"/>
    <n v="1"/>
    <s v="NULL"/>
    <x v="872"/>
    <x v="4"/>
    <x v="8"/>
    <x v="1"/>
    <n v="1"/>
    <x v="0"/>
  </r>
  <r>
    <x v="1998"/>
    <x v="0"/>
    <s v="United States"/>
    <x v="5"/>
    <s v="NULL"/>
    <s v="NULL"/>
    <n v="277"/>
    <x v="872"/>
    <x v="4"/>
    <x v="8"/>
    <x v="4"/>
    <s v="NULL"/>
    <x v="1"/>
  </r>
  <r>
    <x v="65"/>
    <x v="1"/>
    <s v="United States"/>
    <x v="0"/>
    <n v="11000"/>
    <n v="0.13"/>
    <n v="26000"/>
    <x v="873"/>
    <x v="4"/>
    <x v="8"/>
    <x v="2"/>
    <n v="0"/>
    <x v="0"/>
  </r>
  <r>
    <x v="404"/>
    <x v="16"/>
    <s v="United States"/>
    <x v="0"/>
    <n v="862"/>
    <n v="0.13"/>
    <n v="320"/>
    <x v="873"/>
    <x v="4"/>
    <x v="8"/>
    <x v="4"/>
    <n v="0"/>
    <x v="0"/>
  </r>
  <r>
    <x v="908"/>
    <x v="16"/>
    <s v="United States"/>
    <x v="5"/>
    <n v="300"/>
    <n v="0.4"/>
    <n v="310"/>
    <x v="873"/>
    <x v="4"/>
    <x v="8"/>
    <x v="4"/>
    <n v="0"/>
    <x v="0"/>
  </r>
  <r>
    <x v="1276"/>
    <x v="13"/>
    <s v="United States"/>
    <x v="9"/>
    <n v="144"/>
    <n v="0.22"/>
    <n v="686"/>
    <x v="873"/>
    <x v="4"/>
    <x v="8"/>
    <x v="4"/>
    <n v="0"/>
    <x v="0"/>
  </r>
  <r>
    <x v="1999"/>
    <x v="14"/>
    <s v="United States"/>
    <x v="0"/>
    <n v="137"/>
    <n v="0.2"/>
    <n v="527"/>
    <x v="873"/>
    <x v="4"/>
    <x v="8"/>
    <x v="4"/>
    <n v="0"/>
    <x v="0"/>
  </r>
  <r>
    <x v="2000"/>
    <x v="10"/>
    <s v="United States"/>
    <x v="1"/>
    <n v="130"/>
    <n v="0.15"/>
    <n v="6"/>
    <x v="873"/>
    <x v="4"/>
    <x v="8"/>
    <x v="0"/>
    <n v="0"/>
    <x v="0"/>
  </r>
  <r>
    <x v="1201"/>
    <x v="1"/>
    <s v="United States"/>
    <x v="3"/>
    <n v="80"/>
    <s v="NULL"/>
    <n v="165"/>
    <x v="873"/>
    <x v="4"/>
    <x v="8"/>
    <x v="4"/>
    <s v="NULL"/>
    <x v="0"/>
  </r>
  <r>
    <x v="2001"/>
    <x v="5"/>
    <s v="India"/>
    <x v="8"/>
    <n v="36"/>
    <n v="0.1"/>
    <n v="20"/>
    <x v="873"/>
    <x v="4"/>
    <x v="8"/>
    <x v="3"/>
    <n v="0"/>
    <x v="0"/>
  </r>
  <r>
    <x v="1328"/>
    <x v="1"/>
    <s v="United States"/>
    <x v="1"/>
    <n v="35"/>
    <n v="7.0000000000000007E-2"/>
    <n v="244"/>
    <x v="873"/>
    <x v="4"/>
    <x v="8"/>
    <x v="4"/>
    <n v="0"/>
    <x v="0"/>
  </r>
  <r>
    <x v="2002"/>
    <x v="14"/>
    <s v="India"/>
    <x v="5"/>
    <n v="25"/>
    <s v="NULL"/>
    <n v="475"/>
    <x v="873"/>
    <x v="4"/>
    <x v="8"/>
    <x v="4"/>
    <s v="NULL"/>
    <x v="0"/>
  </r>
  <r>
    <x v="1681"/>
    <x v="10"/>
    <s v="Israel"/>
    <x v="5"/>
    <n v="25"/>
    <n v="0.15"/>
    <n v="69"/>
    <x v="873"/>
    <x v="4"/>
    <x v="8"/>
    <x v="3"/>
    <n v="0"/>
    <x v="0"/>
  </r>
  <r>
    <x v="2003"/>
    <x v="10"/>
    <s v="United States"/>
    <x v="1"/>
    <s v="NULL"/>
    <s v="NULL"/>
    <n v="72"/>
    <x v="873"/>
    <x v="4"/>
    <x v="8"/>
    <x v="3"/>
    <s v="NULL"/>
    <x v="1"/>
  </r>
  <r>
    <x v="2004"/>
    <x v="6"/>
    <s v="Kenya"/>
    <x v="9"/>
    <s v="NULL"/>
    <n v="0.12"/>
    <n v="78"/>
    <x v="873"/>
    <x v="4"/>
    <x v="8"/>
    <x v="3"/>
    <n v="0"/>
    <x v="0"/>
  </r>
  <r>
    <x v="504"/>
    <x v="21"/>
    <s v="United States"/>
    <x v="0"/>
    <s v="NULL"/>
    <s v="NULL"/>
    <n v="458"/>
    <x v="873"/>
    <x v="4"/>
    <x v="8"/>
    <x v="4"/>
    <s v="NULL"/>
    <x v="1"/>
  </r>
  <r>
    <x v="2005"/>
    <x v="5"/>
    <s v="United States"/>
    <x v="2"/>
    <s v="NULL"/>
    <n v="1"/>
    <n v="81"/>
    <x v="873"/>
    <x v="4"/>
    <x v="8"/>
    <x v="3"/>
    <n v="1"/>
    <x v="0"/>
  </r>
  <r>
    <x v="1729"/>
    <x v="0"/>
    <s v="United States"/>
    <x v="0"/>
    <s v="NULL"/>
    <n v="0.1"/>
    <n v="44"/>
    <x v="873"/>
    <x v="4"/>
    <x v="8"/>
    <x v="3"/>
    <n v="0"/>
    <x v="0"/>
  </r>
  <r>
    <x v="145"/>
    <x v="4"/>
    <s v="Sweden"/>
    <x v="0"/>
    <s v="NULL"/>
    <s v="NULL"/>
    <n v="2100"/>
    <x v="873"/>
    <x v="4"/>
    <x v="8"/>
    <x v="2"/>
    <s v="NULL"/>
    <x v="1"/>
  </r>
  <r>
    <x v="2006"/>
    <x v="0"/>
    <s v="United States"/>
    <x v="0"/>
    <n v="200"/>
    <s v="NULL"/>
    <n v="476"/>
    <x v="874"/>
    <x v="4"/>
    <x v="8"/>
    <x v="4"/>
    <s v="NULL"/>
    <x v="0"/>
  </r>
  <r>
    <x v="2007"/>
    <x v="5"/>
    <s v="United States"/>
    <x v="2"/>
    <n v="65"/>
    <n v="0.5"/>
    <n v="257"/>
    <x v="874"/>
    <x v="4"/>
    <x v="8"/>
    <x v="4"/>
    <n v="0"/>
    <x v="0"/>
  </r>
  <r>
    <x v="300"/>
    <x v="29"/>
    <s v="United States"/>
    <x v="0"/>
    <s v="NULL"/>
    <n v="0.16"/>
    <n v="300"/>
    <x v="874"/>
    <x v="4"/>
    <x v="8"/>
    <x v="4"/>
    <n v="0"/>
    <x v="0"/>
  </r>
  <r>
    <x v="2008"/>
    <x v="11"/>
    <s v="Greece"/>
    <x v="2"/>
    <s v="NULL"/>
    <s v="NULL"/>
    <n v="6"/>
    <x v="874"/>
    <x v="4"/>
    <x v="8"/>
    <x v="0"/>
    <s v="NULL"/>
    <x v="1"/>
  </r>
  <r>
    <x v="2009"/>
    <x v="5"/>
    <s v="United States"/>
    <x v="0"/>
    <s v="NULL"/>
    <n v="0.1"/>
    <n v="731"/>
    <x v="874"/>
    <x v="4"/>
    <x v="8"/>
    <x v="4"/>
    <n v="0"/>
    <x v="0"/>
  </r>
  <r>
    <x v="2010"/>
    <x v="0"/>
    <s v="United States"/>
    <x v="1"/>
    <s v="NULL"/>
    <n v="0.11"/>
    <s v="NULL"/>
    <x v="874"/>
    <x v="4"/>
    <x v="8"/>
    <x v="1"/>
    <n v="0"/>
    <x v="0"/>
  </r>
  <r>
    <x v="38"/>
    <x v="19"/>
    <s v="United States"/>
    <x v="0"/>
    <n v="1000"/>
    <n v="0.01"/>
    <n v="65"/>
    <x v="875"/>
    <x v="4"/>
    <x v="8"/>
    <x v="3"/>
    <n v="0"/>
    <x v="0"/>
  </r>
  <r>
    <x v="615"/>
    <x v="21"/>
    <s v="India"/>
    <x v="13"/>
    <n v="350"/>
    <n v="0.1"/>
    <n v="838"/>
    <x v="875"/>
    <x v="4"/>
    <x v="8"/>
    <x v="4"/>
    <n v="0"/>
    <x v="0"/>
  </r>
  <r>
    <x v="143"/>
    <x v="15"/>
    <s v="United States"/>
    <x v="1"/>
    <n v="350"/>
    <n v="0.05"/>
    <n v="85"/>
    <x v="875"/>
    <x v="4"/>
    <x v="8"/>
    <x v="3"/>
    <n v="0"/>
    <x v="0"/>
  </r>
  <r>
    <x v="2011"/>
    <x v="14"/>
    <s v="Brazil"/>
    <x v="9"/>
    <n v="190"/>
    <n v="0.12"/>
    <n v="280"/>
    <x v="875"/>
    <x v="4"/>
    <x v="8"/>
    <x v="4"/>
    <n v="0"/>
    <x v="0"/>
  </r>
  <r>
    <x v="1203"/>
    <x v="3"/>
    <s v="United States"/>
    <x v="3"/>
    <s v="NULL"/>
    <n v="0.15"/>
    <n v="137"/>
    <x v="875"/>
    <x v="4"/>
    <x v="8"/>
    <x v="4"/>
    <n v="0"/>
    <x v="0"/>
  </r>
  <r>
    <x v="2012"/>
    <x v="6"/>
    <s v="United States"/>
    <x v="4"/>
    <s v="NULL"/>
    <n v="0.25"/>
    <n v="223"/>
    <x v="875"/>
    <x v="4"/>
    <x v="8"/>
    <x v="4"/>
    <n v="0"/>
    <x v="0"/>
  </r>
  <r>
    <x v="2013"/>
    <x v="3"/>
    <s v="United States"/>
    <x v="0"/>
    <n v="110"/>
    <n v="0.05"/>
    <n v="30"/>
    <x v="876"/>
    <x v="4"/>
    <x v="8"/>
    <x v="3"/>
    <n v="0"/>
    <x v="0"/>
  </r>
  <r>
    <x v="1332"/>
    <x v="21"/>
    <s v="Poland"/>
    <x v="7"/>
    <n v="25"/>
    <s v="NULL"/>
    <n v="148"/>
    <x v="876"/>
    <x v="4"/>
    <x v="8"/>
    <x v="4"/>
    <s v="NULL"/>
    <x v="0"/>
  </r>
  <r>
    <x v="2014"/>
    <x v="21"/>
    <s v="India"/>
    <x v="3"/>
    <s v="NULL"/>
    <s v="NULL"/>
    <n v="14"/>
    <x v="876"/>
    <x v="4"/>
    <x v="8"/>
    <x v="3"/>
    <s v="NULL"/>
    <x v="1"/>
  </r>
  <r>
    <x v="1534"/>
    <x v="1"/>
    <s v="United States"/>
    <x v="0"/>
    <n v="3700"/>
    <n v="0.5"/>
    <n v="12900"/>
    <x v="877"/>
    <x v="4"/>
    <x v="8"/>
    <x v="2"/>
    <n v="0"/>
    <x v="0"/>
  </r>
  <r>
    <x v="901"/>
    <x v="2"/>
    <s v="India"/>
    <x v="3"/>
    <n v="350"/>
    <s v="NULL"/>
    <n v="1500"/>
    <x v="877"/>
    <x v="4"/>
    <x v="8"/>
    <x v="2"/>
    <s v="NULL"/>
    <x v="0"/>
  </r>
  <r>
    <x v="2015"/>
    <x v="0"/>
    <s v="Germany"/>
    <x v="1"/>
    <n v="200"/>
    <n v="1"/>
    <n v="5"/>
    <x v="877"/>
    <x v="4"/>
    <x v="8"/>
    <x v="0"/>
    <n v="1"/>
    <x v="0"/>
  </r>
  <r>
    <x v="2016"/>
    <x v="14"/>
    <s v="Indonesia"/>
    <x v="3"/>
    <n v="70"/>
    <n v="0.08"/>
    <n v="180"/>
    <x v="877"/>
    <x v="4"/>
    <x v="8"/>
    <x v="4"/>
    <n v="0"/>
    <x v="0"/>
  </r>
  <r>
    <x v="2017"/>
    <x v="9"/>
    <s v="United States"/>
    <x v="3"/>
    <n v="59"/>
    <n v="0.22"/>
    <n v="60"/>
    <x v="877"/>
    <x v="4"/>
    <x v="8"/>
    <x v="3"/>
    <n v="0"/>
    <x v="0"/>
  </r>
  <r>
    <x v="2018"/>
    <x v="2"/>
    <s v="United States"/>
    <x v="8"/>
    <s v="NULL"/>
    <n v="0.14000000000000001"/>
    <n v="380"/>
    <x v="877"/>
    <x v="4"/>
    <x v="8"/>
    <x v="4"/>
    <n v="0"/>
    <x v="0"/>
  </r>
  <r>
    <x v="2019"/>
    <x v="9"/>
    <s v="United States"/>
    <x v="5"/>
    <s v="NULL"/>
    <n v="0.1"/>
    <n v="260"/>
    <x v="877"/>
    <x v="4"/>
    <x v="8"/>
    <x v="4"/>
    <n v="0"/>
    <x v="0"/>
  </r>
  <r>
    <x v="427"/>
    <x v="14"/>
    <s v="United States"/>
    <x v="13"/>
    <n v="1000"/>
    <n v="0.14000000000000001"/>
    <n v="2300"/>
    <x v="878"/>
    <x v="4"/>
    <x v="8"/>
    <x v="2"/>
    <n v="0"/>
    <x v="0"/>
  </r>
  <r>
    <x v="555"/>
    <x v="11"/>
    <s v="United States"/>
    <x v="0"/>
    <n v="700"/>
    <n v="0.13"/>
    <n v="4900"/>
    <x v="878"/>
    <x v="4"/>
    <x v="8"/>
    <x v="2"/>
    <n v="0"/>
    <x v="0"/>
  </r>
  <r>
    <x v="1451"/>
    <x v="14"/>
    <s v="United States"/>
    <x v="0"/>
    <n v="200"/>
    <s v="NULL"/>
    <s v="NULL"/>
    <x v="878"/>
    <x v="4"/>
    <x v="8"/>
    <x v="1"/>
    <s v="NULL"/>
    <x v="0"/>
  </r>
  <r>
    <x v="32"/>
    <x v="14"/>
    <s v="Denmark"/>
    <x v="5"/>
    <n v="150"/>
    <n v="0.15"/>
    <n v="428"/>
    <x v="878"/>
    <x v="4"/>
    <x v="8"/>
    <x v="4"/>
    <n v="0"/>
    <x v="0"/>
  </r>
  <r>
    <x v="595"/>
    <x v="18"/>
    <s v="Germany"/>
    <x v="0"/>
    <n v="100"/>
    <s v="NULL"/>
    <n v="8300"/>
    <x v="878"/>
    <x v="4"/>
    <x v="8"/>
    <x v="2"/>
    <s v="NULL"/>
    <x v="0"/>
  </r>
  <r>
    <x v="2020"/>
    <x v="23"/>
    <s v="United States"/>
    <x v="11"/>
    <n v="60"/>
    <n v="0.2"/>
    <n v="154"/>
    <x v="878"/>
    <x v="4"/>
    <x v="8"/>
    <x v="4"/>
    <n v="0"/>
    <x v="0"/>
  </r>
  <r>
    <x v="763"/>
    <x v="14"/>
    <s v="United States"/>
    <x v="0"/>
    <s v="NULL"/>
    <n v="0.01"/>
    <n v="1500"/>
    <x v="878"/>
    <x v="4"/>
    <x v="8"/>
    <x v="2"/>
    <n v="0"/>
    <x v="0"/>
  </r>
  <r>
    <x v="967"/>
    <x v="16"/>
    <s v="United States"/>
    <x v="3"/>
    <s v="NULL"/>
    <s v="NULL"/>
    <n v="1300"/>
    <x v="878"/>
    <x v="4"/>
    <x v="8"/>
    <x v="2"/>
    <s v="NULL"/>
    <x v="1"/>
  </r>
  <r>
    <x v="384"/>
    <x v="10"/>
    <s v="United States"/>
    <x v="0"/>
    <s v="NULL"/>
    <n v="0.1"/>
    <n v="16"/>
    <x v="878"/>
    <x v="4"/>
    <x v="8"/>
    <x v="3"/>
    <n v="0"/>
    <x v="0"/>
  </r>
  <r>
    <x v="2021"/>
    <x v="18"/>
    <s v="United States"/>
    <x v="5"/>
    <s v="NULL"/>
    <s v="NULL"/>
    <n v="150"/>
    <x v="878"/>
    <x v="4"/>
    <x v="8"/>
    <x v="4"/>
    <s v="NULL"/>
    <x v="1"/>
  </r>
  <r>
    <x v="2022"/>
    <x v="5"/>
    <s v="United States"/>
    <x v="0"/>
    <s v="NULL"/>
    <n v="0.82"/>
    <n v="445"/>
    <x v="878"/>
    <x v="4"/>
    <x v="8"/>
    <x v="4"/>
    <n v="0"/>
    <x v="0"/>
  </r>
  <r>
    <x v="2023"/>
    <x v="16"/>
    <s v="United States"/>
    <x v="7"/>
    <s v="NULL"/>
    <n v="0.15"/>
    <n v="253"/>
    <x v="878"/>
    <x v="4"/>
    <x v="8"/>
    <x v="4"/>
    <n v="0"/>
    <x v="0"/>
  </r>
  <r>
    <x v="2024"/>
    <x v="21"/>
    <s v="United States"/>
    <x v="2"/>
    <s v="NULL"/>
    <s v="NULL"/>
    <n v="50"/>
    <x v="878"/>
    <x v="4"/>
    <x v="8"/>
    <x v="3"/>
    <s v="NULL"/>
    <x v="1"/>
  </r>
  <r>
    <x v="34"/>
    <x v="16"/>
    <s v="United States"/>
    <x v="0"/>
    <n v="550"/>
    <n v="0.18"/>
    <n v="1900"/>
    <x v="879"/>
    <x v="4"/>
    <x v="8"/>
    <x v="2"/>
    <n v="0"/>
    <x v="0"/>
  </r>
  <r>
    <x v="2025"/>
    <x v="14"/>
    <s v="United States"/>
    <x v="12"/>
    <n v="156"/>
    <n v="0.12"/>
    <n v="2300"/>
    <x v="879"/>
    <x v="4"/>
    <x v="8"/>
    <x v="2"/>
    <n v="0"/>
    <x v="0"/>
  </r>
  <r>
    <x v="1067"/>
    <x v="14"/>
    <s v="United States"/>
    <x v="13"/>
    <n v="142"/>
    <n v="0.1"/>
    <n v="468"/>
    <x v="879"/>
    <x v="4"/>
    <x v="8"/>
    <x v="4"/>
    <n v="0"/>
    <x v="0"/>
  </r>
  <r>
    <x v="1215"/>
    <x v="9"/>
    <s v="Canada"/>
    <x v="7"/>
    <n v="134"/>
    <n v="0.22"/>
    <n v="607"/>
    <x v="879"/>
    <x v="4"/>
    <x v="8"/>
    <x v="4"/>
    <n v="0"/>
    <x v="0"/>
  </r>
  <r>
    <x v="2026"/>
    <x v="3"/>
    <s v="Israel"/>
    <x v="5"/>
    <n v="100"/>
    <n v="0.1"/>
    <n v="92"/>
    <x v="879"/>
    <x v="4"/>
    <x v="8"/>
    <x v="3"/>
    <n v="0"/>
    <x v="0"/>
  </r>
  <r>
    <x v="2027"/>
    <x v="14"/>
    <s v="Germany"/>
    <x v="3"/>
    <n v="100"/>
    <n v="0.15"/>
    <n v="188"/>
    <x v="879"/>
    <x v="4"/>
    <x v="8"/>
    <x v="4"/>
    <n v="0"/>
    <x v="0"/>
  </r>
  <r>
    <x v="2028"/>
    <x v="18"/>
    <s v="United States"/>
    <x v="5"/>
    <n v="50"/>
    <n v="0.5"/>
    <n v="103"/>
    <x v="879"/>
    <x v="4"/>
    <x v="8"/>
    <x v="4"/>
    <n v="0"/>
    <x v="0"/>
  </r>
  <r>
    <x v="2029"/>
    <x v="9"/>
    <s v="United States"/>
    <x v="3"/>
    <n v="10"/>
    <n v="0.13"/>
    <s v="NULL"/>
    <x v="879"/>
    <x v="4"/>
    <x v="8"/>
    <x v="1"/>
    <n v="0"/>
    <x v="0"/>
  </r>
  <r>
    <x v="2030"/>
    <x v="9"/>
    <s v="Seychelles"/>
    <x v="6"/>
    <s v="NULL"/>
    <n v="0.3"/>
    <s v="NULL"/>
    <x v="879"/>
    <x v="4"/>
    <x v="8"/>
    <x v="1"/>
    <n v="0"/>
    <x v="0"/>
  </r>
  <r>
    <x v="2031"/>
    <x v="3"/>
    <s v="Norway"/>
    <x v="1"/>
    <s v="NULL"/>
    <s v="NULL"/>
    <n v="8"/>
    <x v="879"/>
    <x v="4"/>
    <x v="8"/>
    <x v="0"/>
    <s v="NULL"/>
    <x v="1"/>
  </r>
  <r>
    <x v="2032"/>
    <x v="11"/>
    <s v="United States"/>
    <x v="3"/>
    <n v="259"/>
    <s v="NULL"/>
    <n v="3600"/>
    <x v="880"/>
    <x v="4"/>
    <x v="8"/>
    <x v="2"/>
    <s v="NULL"/>
    <x v="0"/>
  </r>
  <r>
    <x v="487"/>
    <x v="13"/>
    <s v="United States"/>
    <x v="1"/>
    <n v="226"/>
    <s v="NULL"/>
    <s v="NULL"/>
    <x v="880"/>
    <x v="4"/>
    <x v="8"/>
    <x v="1"/>
    <s v="NULL"/>
    <x v="0"/>
  </r>
  <r>
    <x v="18"/>
    <x v="0"/>
    <s v="United States"/>
    <x v="0"/>
    <n v="200"/>
    <s v="NULL"/>
    <s v="NULL"/>
    <x v="880"/>
    <x v="4"/>
    <x v="8"/>
    <x v="1"/>
    <s v="NULL"/>
    <x v="0"/>
  </r>
  <r>
    <x v="1635"/>
    <x v="14"/>
    <s v="United States"/>
    <x v="0"/>
    <n v="140"/>
    <n v="7.0000000000000007E-2"/>
    <n v="144"/>
    <x v="880"/>
    <x v="4"/>
    <x v="8"/>
    <x v="4"/>
    <n v="0"/>
    <x v="0"/>
  </r>
  <r>
    <x v="1159"/>
    <x v="8"/>
    <s v="United States"/>
    <x v="5"/>
    <n v="100"/>
    <n v="0.33"/>
    <n v="148"/>
    <x v="880"/>
    <x v="4"/>
    <x v="8"/>
    <x v="4"/>
    <n v="0"/>
    <x v="0"/>
  </r>
  <r>
    <x v="646"/>
    <x v="18"/>
    <s v="Sweden"/>
    <x v="3"/>
    <n v="70"/>
    <n v="0.18"/>
    <n v="377"/>
    <x v="880"/>
    <x v="4"/>
    <x v="8"/>
    <x v="4"/>
    <n v="0"/>
    <x v="0"/>
  </r>
  <r>
    <x v="646"/>
    <x v="18"/>
    <s v="Norway"/>
    <x v="3"/>
    <n v="70"/>
    <n v="0.18"/>
    <n v="477"/>
    <x v="880"/>
    <x v="4"/>
    <x v="8"/>
    <x v="4"/>
    <n v="0"/>
    <x v="0"/>
  </r>
  <r>
    <x v="646"/>
    <x v="18"/>
    <s v="Norway"/>
    <x v="3"/>
    <n v="70"/>
    <n v="0.06"/>
    <n v="479"/>
    <x v="880"/>
    <x v="4"/>
    <x v="8"/>
    <x v="4"/>
    <n v="0"/>
    <x v="0"/>
  </r>
  <r>
    <x v="256"/>
    <x v="10"/>
    <s v="Canada"/>
    <x v="5"/>
    <n v="50"/>
    <n v="0.05"/>
    <n v="300"/>
    <x v="880"/>
    <x v="4"/>
    <x v="8"/>
    <x v="4"/>
    <n v="0"/>
    <x v="0"/>
  </r>
  <r>
    <x v="2033"/>
    <x v="10"/>
    <s v="Canada"/>
    <x v="2"/>
    <n v="24"/>
    <s v="NULL"/>
    <n v="56"/>
    <x v="880"/>
    <x v="4"/>
    <x v="8"/>
    <x v="3"/>
    <s v="NULL"/>
    <x v="0"/>
  </r>
  <r>
    <x v="2034"/>
    <x v="1"/>
    <s v="Brazil"/>
    <x v="3"/>
    <n v="10"/>
    <s v="NULL"/>
    <s v="NULL"/>
    <x v="880"/>
    <x v="4"/>
    <x v="8"/>
    <x v="1"/>
    <s v="NULL"/>
    <x v="0"/>
  </r>
  <r>
    <x v="1379"/>
    <x v="5"/>
    <s v="United States"/>
    <x v="5"/>
    <s v="NULL"/>
    <n v="0.2"/>
    <n v="212"/>
    <x v="880"/>
    <x v="4"/>
    <x v="8"/>
    <x v="4"/>
    <n v="0"/>
    <x v="0"/>
  </r>
  <r>
    <x v="2035"/>
    <x v="15"/>
    <s v="United States"/>
    <x v="2"/>
    <s v="NULL"/>
    <s v="NULL"/>
    <n v="28"/>
    <x v="880"/>
    <x v="4"/>
    <x v="8"/>
    <x v="3"/>
    <s v="NULL"/>
    <x v="1"/>
  </r>
  <r>
    <x v="2036"/>
    <x v="5"/>
    <s v="Sweden"/>
    <x v="7"/>
    <n v="300"/>
    <n v="0.1"/>
    <n v="568"/>
    <x v="881"/>
    <x v="4"/>
    <x v="9"/>
    <x v="4"/>
    <n v="0"/>
    <x v="0"/>
  </r>
  <r>
    <x v="2037"/>
    <x v="27"/>
    <s v="United States"/>
    <x v="7"/>
    <n v="60"/>
    <s v="NULL"/>
    <n v="213"/>
    <x v="881"/>
    <x v="4"/>
    <x v="9"/>
    <x v="4"/>
    <s v="NULL"/>
    <x v="0"/>
  </r>
  <r>
    <x v="2038"/>
    <x v="14"/>
    <s v="United States"/>
    <x v="2"/>
    <n v="30"/>
    <n v="0.27"/>
    <n v="11"/>
    <x v="881"/>
    <x v="4"/>
    <x v="9"/>
    <x v="3"/>
    <n v="0"/>
    <x v="0"/>
  </r>
  <r>
    <x v="1599"/>
    <x v="14"/>
    <s v="United States"/>
    <x v="2"/>
    <n v="25"/>
    <n v="0.2"/>
    <n v="85"/>
    <x v="881"/>
    <x v="4"/>
    <x v="9"/>
    <x v="3"/>
    <n v="0"/>
    <x v="0"/>
  </r>
  <r>
    <x v="1224"/>
    <x v="2"/>
    <s v="India"/>
    <x v="8"/>
    <n v="23"/>
    <s v="NULL"/>
    <n v="17"/>
    <x v="881"/>
    <x v="4"/>
    <x v="9"/>
    <x v="3"/>
    <s v="NULL"/>
    <x v="0"/>
  </r>
  <r>
    <x v="2039"/>
    <x v="21"/>
    <s v="India"/>
    <x v="2"/>
    <s v="NULL"/>
    <n v="0.3"/>
    <n v="49"/>
    <x v="881"/>
    <x v="4"/>
    <x v="9"/>
    <x v="3"/>
    <n v="0"/>
    <x v="0"/>
  </r>
  <r>
    <x v="161"/>
    <x v="2"/>
    <s v="United States"/>
    <x v="0"/>
    <n v="150"/>
    <s v="NULL"/>
    <n v="108"/>
    <x v="882"/>
    <x v="4"/>
    <x v="9"/>
    <x v="4"/>
    <s v="NULL"/>
    <x v="0"/>
  </r>
  <r>
    <x v="2040"/>
    <x v="18"/>
    <s v="United States"/>
    <x v="2"/>
    <n v="100"/>
    <n v="1"/>
    <n v="35"/>
    <x v="882"/>
    <x v="4"/>
    <x v="9"/>
    <x v="3"/>
    <n v="1"/>
    <x v="0"/>
  </r>
  <r>
    <x v="2041"/>
    <x v="5"/>
    <s v="United States"/>
    <x v="16"/>
    <n v="32"/>
    <n v="0.21"/>
    <s v="NULL"/>
    <x v="882"/>
    <x v="4"/>
    <x v="9"/>
    <x v="1"/>
    <n v="0"/>
    <x v="0"/>
  </r>
  <r>
    <x v="2042"/>
    <x v="18"/>
    <s v="Germany"/>
    <x v="5"/>
    <s v="NULL"/>
    <n v="0.35"/>
    <n v="11"/>
    <x v="882"/>
    <x v="4"/>
    <x v="9"/>
    <x v="3"/>
    <n v="0"/>
    <x v="0"/>
  </r>
  <r>
    <x v="1401"/>
    <x v="30"/>
    <s v="Canada"/>
    <x v="2"/>
    <n v="210"/>
    <n v="0.43"/>
    <n v="163"/>
    <x v="883"/>
    <x v="4"/>
    <x v="9"/>
    <x v="4"/>
    <n v="0"/>
    <x v="0"/>
  </r>
  <r>
    <x v="2043"/>
    <x v="14"/>
    <s v="United States"/>
    <x v="2"/>
    <n v="84"/>
    <n v="0.17"/>
    <n v="277"/>
    <x v="883"/>
    <x v="4"/>
    <x v="9"/>
    <x v="4"/>
    <n v="0"/>
    <x v="0"/>
  </r>
  <r>
    <x v="1753"/>
    <x v="7"/>
    <s v="United States"/>
    <x v="4"/>
    <n v="13"/>
    <s v="NULL"/>
    <n v="328"/>
    <x v="883"/>
    <x v="4"/>
    <x v="9"/>
    <x v="4"/>
    <s v="NULL"/>
    <x v="0"/>
  </r>
  <r>
    <x v="2044"/>
    <x v="4"/>
    <s v="India"/>
    <x v="6"/>
    <s v="NULL"/>
    <n v="1"/>
    <s v="NULL"/>
    <x v="883"/>
    <x v="4"/>
    <x v="9"/>
    <x v="1"/>
    <n v="1"/>
    <x v="0"/>
  </r>
  <r>
    <x v="2045"/>
    <x v="2"/>
    <s v="United States"/>
    <x v="16"/>
    <s v="NULL"/>
    <s v="NULL"/>
    <s v="NULL"/>
    <x v="883"/>
    <x v="4"/>
    <x v="9"/>
    <x v="1"/>
    <s v="NULL"/>
    <x v="1"/>
  </r>
  <r>
    <x v="1460"/>
    <x v="12"/>
    <s v="United States"/>
    <x v="0"/>
    <n v="3000"/>
    <n v="0.08"/>
    <s v="NULL"/>
    <x v="884"/>
    <x v="4"/>
    <x v="9"/>
    <x v="1"/>
    <n v="0"/>
    <x v="0"/>
  </r>
  <r>
    <x v="2046"/>
    <x v="25"/>
    <s v="United States"/>
    <x v="0"/>
    <n v="400"/>
    <n v="0.15"/>
    <n v="114"/>
    <x v="884"/>
    <x v="4"/>
    <x v="9"/>
    <x v="4"/>
    <n v="0"/>
    <x v="0"/>
  </r>
  <r>
    <x v="188"/>
    <x v="16"/>
    <s v="United States"/>
    <x v="0"/>
    <n v="300"/>
    <n v="0.05"/>
    <n v="97"/>
    <x v="884"/>
    <x v="4"/>
    <x v="9"/>
    <x v="3"/>
    <n v="0"/>
    <x v="0"/>
  </r>
  <r>
    <x v="730"/>
    <x v="3"/>
    <s v="United States"/>
    <x v="4"/>
    <n v="200"/>
    <n v="0.17"/>
    <n v="750"/>
    <x v="884"/>
    <x v="4"/>
    <x v="9"/>
    <x v="4"/>
    <n v="0"/>
    <x v="0"/>
  </r>
  <r>
    <x v="2032"/>
    <x v="11"/>
    <s v="United States"/>
    <x v="3"/>
    <n v="173"/>
    <s v="NULL"/>
    <n v="3600"/>
    <x v="884"/>
    <x v="4"/>
    <x v="9"/>
    <x v="2"/>
    <s v="NULL"/>
    <x v="0"/>
  </r>
  <r>
    <x v="2047"/>
    <x v="14"/>
    <s v="United States"/>
    <x v="8"/>
    <n v="94"/>
    <n v="0.12"/>
    <s v="NULL"/>
    <x v="884"/>
    <x v="4"/>
    <x v="9"/>
    <x v="1"/>
    <n v="0"/>
    <x v="0"/>
  </r>
  <r>
    <x v="2048"/>
    <x v="12"/>
    <s v="United States"/>
    <x v="11"/>
    <s v="NULL"/>
    <s v="NULL"/>
    <n v="683"/>
    <x v="884"/>
    <x v="4"/>
    <x v="9"/>
    <x v="4"/>
    <s v="NULL"/>
    <x v="1"/>
  </r>
  <r>
    <x v="2049"/>
    <x v="14"/>
    <s v="United States"/>
    <x v="7"/>
    <n v="150"/>
    <n v="0.42"/>
    <n v="553"/>
    <x v="885"/>
    <x v="4"/>
    <x v="9"/>
    <x v="4"/>
    <n v="0"/>
    <x v="0"/>
  </r>
  <r>
    <x v="2050"/>
    <x v="14"/>
    <s v="United States"/>
    <x v="5"/>
    <n v="30"/>
    <n v="0.12"/>
    <n v="142"/>
    <x v="885"/>
    <x v="4"/>
    <x v="9"/>
    <x v="4"/>
    <n v="0"/>
    <x v="0"/>
  </r>
  <r>
    <x v="2051"/>
    <x v="7"/>
    <s v="Israel"/>
    <x v="6"/>
    <n v="17"/>
    <n v="0.5"/>
    <n v="15"/>
    <x v="885"/>
    <x v="4"/>
    <x v="9"/>
    <x v="3"/>
    <n v="0"/>
    <x v="0"/>
  </r>
  <r>
    <x v="2052"/>
    <x v="4"/>
    <s v="United States"/>
    <x v="7"/>
    <s v="NULL"/>
    <n v="0.35"/>
    <s v="NULL"/>
    <x v="885"/>
    <x v="4"/>
    <x v="9"/>
    <x v="1"/>
    <n v="0"/>
    <x v="0"/>
  </r>
  <r>
    <x v="999"/>
    <x v="23"/>
    <s v="United States"/>
    <x v="11"/>
    <s v="NULL"/>
    <s v="NULL"/>
    <n v="1100"/>
    <x v="885"/>
    <x v="4"/>
    <x v="9"/>
    <x v="2"/>
    <s v="NULL"/>
    <x v="1"/>
  </r>
  <r>
    <x v="1641"/>
    <x v="5"/>
    <s v="Netherlands"/>
    <x v="0"/>
    <n v="4000"/>
    <n v="0.05"/>
    <s v="NULL"/>
    <x v="886"/>
    <x v="4"/>
    <x v="9"/>
    <x v="1"/>
    <n v="0"/>
    <x v="0"/>
  </r>
  <r>
    <x v="1530"/>
    <x v="5"/>
    <s v="United States"/>
    <x v="5"/>
    <n v="400"/>
    <n v="0.2"/>
    <n v="462"/>
    <x v="886"/>
    <x v="4"/>
    <x v="9"/>
    <x v="4"/>
    <n v="0"/>
    <x v="0"/>
  </r>
  <r>
    <x v="17"/>
    <x v="3"/>
    <s v="United States"/>
    <x v="4"/>
    <n v="198"/>
    <n v="0.14000000000000001"/>
    <n v="849"/>
    <x v="886"/>
    <x v="4"/>
    <x v="9"/>
    <x v="4"/>
    <n v="0"/>
    <x v="0"/>
  </r>
  <r>
    <x v="943"/>
    <x v="16"/>
    <s v="Germany"/>
    <x v="3"/>
    <n v="100"/>
    <s v="NULL"/>
    <n v="214"/>
    <x v="886"/>
    <x v="4"/>
    <x v="9"/>
    <x v="4"/>
    <s v="NULL"/>
    <x v="0"/>
  </r>
  <r>
    <x v="1725"/>
    <x v="0"/>
    <s v="Brazil"/>
    <x v="7"/>
    <n v="50"/>
    <n v="0.04"/>
    <n v="336"/>
    <x v="886"/>
    <x v="4"/>
    <x v="9"/>
    <x v="4"/>
    <n v="0"/>
    <x v="0"/>
  </r>
  <r>
    <x v="598"/>
    <x v="5"/>
    <s v="Israel"/>
    <x v="3"/>
    <n v="62"/>
    <n v="0.16"/>
    <n v="86"/>
    <x v="887"/>
    <x v="4"/>
    <x v="9"/>
    <x v="3"/>
    <n v="0"/>
    <x v="0"/>
  </r>
  <r>
    <x v="2053"/>
    <x v="5"/>
    <s v="Israel"/>
    <x v="3"/>
    <n v="23"/>
    <n v="0.38"/>
    <n v="36"/>
    <x v="887"/>
    <x v="4"/>
    <x v="9"/>
    <x v="3"/>
    <n v="0"/>
    <x v="0"/>
  </r>
  <r>
    <x v="326"/>
    <x v="19"/>
    <s v="United States"/>
    <x v="9"/>
    <n v="120"/>
    <n v="0.1"/>
    <n v="138"/>
    <x v="888"/>
    <x v="4"/>
    <x v="9"/>
    <x v="4"/>
    <n v="0"/>
    <x v="0"/>
  </r>
  <r>
    <x v="290"/>
    <x v="3"/>
    <s v="United States"/>
    <x v="0"/>
    <n v="100"/>
    <n v="0.01"/>
    <s v="NULL"/>
    <x v="888"/>
    <x v="4"/>
    <x v="9"/>
    <x v="1"/>
    <n v="0"/>
    <x v="0"/>
  </r>
  <r>
    <x v="2054"/>
    <x v="14"/>
    <s v="Germany"/>
    <x v="3"/>
    <n v="43"/>
    <n v="0.33"/>
    <n v="30"/>
    <x v="888"/>
    <x v="4"/>
    <x v="9"/>
    <x v="3"/>
    <n v="0"/>
    <x v="0"/>
  </r>
  <r>
    <x v="2055"/>
    <x v="5"/>
    <s v="India"/>
    <x v="8"/>
    <n v="30"/>
    <n v="0.3"/>
    <n v="4"/>
    <x v="888"/>
    <x v="4"/>
    <x v="9"/>
    <x v="0"/>
    <n v="0"/>
    <x v="0"/>
  </r>
  <r>
    <x v="2056"/>
    <x v="11"/>
    <s v="United States"/>
    <x v="0"/>
    <s v="NULL"/>
    <n v="0.54"/>
    <n v="575"/>
    <x v="888"/>
    <x v="4"/>
    <x v="9"/>
    <x v="4"/>
    <n v="0"/>
    <x v="0"/>
  </r>
  <r>
    <x v="2057"/>
    <x v="10"/>
    <s v="Brazil"/>
    <x v="5"/>
    <n v="227"/>
    <n v="0.12"/>
    <n v="127"/>
    <x v="889"/>
    <x v="4"/>
    <x v="9"/>
    <x v="4"/>
    <n v="0"/>
    <x v="0"/>
  </r>
  <r>
    <x v="969"/>
    <x v="16"/>
    <s v="United States"/>
    <x v="5"/>
    <n v="64"/>
    <n v="0.46"/>
    <n v="151"/>
    <x v="889"/>
    <x v="4"/>
    <x v="9"/>
    <x v="4"/>
    <n v="0"/>
    <x v="0"/>
  </r>
  <r>
    <x v="2058"/>
    <x v="22"/>
    <s v="United States"/>
    <x v="5"/>
    <n v="23"/>
    <n v="0.11"/>
    <n v="203"/>
    <x v="889"/>
    <x v="4"/>
    <x v="9"/>
    <x v="4"/>
    <n v="0"/>
    <x v="0"/>
  </r>
  <r>
    <x v="2059"/>
    <x v="19"/>
    <s v="United States"/>
    <x v="9"/>
    <n v="20"/>
    <s v="NULL"/>
    <n v="5"/>
    <x v="889"/>
    <x v="4"/>
    <x v="9"/>
    <x v="0"/>
    <s v="NULL"/>
    <x v="0"/>
  </r>
  <r>
    <x v="381"/>
    <x v="11"/>
    <s v="United Kingdom"/>
    <x v="0"/>
    <s v="NULL"/>
    <s v="NULL"/>
    <n v="629"/>
    <x v="889"/>
    <x v="4"/>
    <x v="9"/>
    <x v="4"/>
    <s v="NULL"/>
    <x v="1"/>
  </r>
  <r>
    <x v="1477"/>
    <x v="16"/>
    <s v="United States"/>
    <x v="11"/>
    <s v="NULL"/>
    <n v="0.2"/>
    <n v="365"/>
    <x v="889"/>
    <x v="4"/>
    <x v="9"/>
    <x v="4"/>
    <n v="0"/>
    <x v="0"/>
  </r>
  <r>
    <x v="1711"/>
    <x v="0"/>
    <s v="United States"/>
    <x v="0"/>
    <s v="NULL"/>
    <n v="0.5"/>
    <n v="260"/>
    <x v="889"/>
    <x v="4"/>
    <x v="9"/>
    <x v="4"/>
    <n v="0"/>
    <x v="0"/>
  </r>
  <r>
    <x v="666"/>
    <x v="18"/>
    <s v="United States"/>
    <x v="13"/>
    <n v="250"/>
    <s v="NULL"/>
    <n v="3400"/>
    <x v="890"/>
    <x v="4"/>
    <x v="9"/>
    <x v="2"/>
    <s v="NULL"/>
    <x v="0"/>
  </r>
  <r>
    <x v="2060"/>
    <x v="14"/>
    <s v="United States"/>
    <x v="2"/>
    <n v="32"/>
    <n v="0.3"/>
    <n v="177"/>
    <x v="890"/>
    <x v="4"/>
    <x v="9"/>
    <x v="4"/>
    <n v="0"/>
    <x v="0"/>
  </r>
  <r>
    <x v="2061"/>
    <x v="3"/>
    <s v="United Kingdom"/>
    <x v="2"/>
    <n v="20"/>
    <n v="0.12"/>
    <n v="88"/>
    <x v="890"/>
    <x v="4"/>
    <x v="9"/>
    <x v="3"/>
    <n v="0"/>
    <x v="0"/>
  </r>
  <r>
    <x v="2062"/>
    <x v="16"/>
    <s v="United States"/>
    <x v="2"/>
    <s v="NULL"/>
    <s v="NULL"/>
    <n v="13"/>
    <x v="890"/>
    <x v="4"/>
    <x v="9"/>
    <x v="3"/>
    <s v="NULL"/>
    <x v="1"/>
  </r>
  <r>
    <x v="2063"/>
    <x v="6"/>
    <s v="Belgium"/>
    <x v="12"/>
    <s v="NULL"/>
    <s v="NULL"/>
    <n v="596"/>
    <x v="890"/>
    <x v="4"/>
    <x v="9"/>
    <x v="4"/>
    <s v="NULL"/>
    <x v="1"/>
  </r>
  <r>
    <x v="2064"/>
    <x v="16"/>
    <s v="United States"/>
    <x v="3"/>
    <s v="NULL"/>
    <s v="NULL"/>
    <n v="313"/>
    <x v="890"/>
    <x v="4"/>
    <x v="9"/>
    <x v="4"/>
    <s v="NULL"/>
    <x v="1"/>
  </r>
  <r>
    <x v="981"/>
    <x v="2"/>
    <s v="United States"/>
    <x v="12"/>
    <n v="84"/>
    <n v="7.0000000000000007E-2"/>
    <n v="1700"/>
    <x v="891"/>
    <x v="4"/>
    <x v="9"/>
    <x v="2"/>
    <n v="0"/>
    <x v="0"/>
  </r>
  <r>
    <x v="1487"/>
    <x v="2"/>
    <s v="United States"/>
    <x v="0"/>
    <n v="56"/>
    <n v="0.21"/>
    <n v="71"/>
    <x v="891"/>
    <x v="4"/>
    <x v="9"/>
    <x v="3"/>
    <n v="0"/>
    <x v="0"/>
  </r>
  <r>
    <x v="2065"/>
    <x v="5"/>
    <s v="Germany"/>
    <x v="2"/>
    <n v="50"/>
    <s v="NULL"/>
    <n v="189"/>
    <x v="892"/>
    <x v="4"/>
    <x v="9"/>
    <x v="4"/>
    <s v="NULL"/>
    <x v="0"/>
  </r>
  <r>
    <x v="2066"/>
    <x v="10"/>
    <s v="Argentina"/>
    <x v="3"/>
    <n v="50"/>
    <n v="0.05"/>
    <s v="NULL"/>
    <x v="892"/>
    <x v="4"/>
    <x v="9"/>
    <x v="1"/>
    <n v="0"/>
    <x v="0"/>
  </r>
  <r>
    <x v="0"/>
    <x v="0"/>
    <s v="United States"/>
    <x v="0"/>
    <s v="NULL"/>
    <s v="NULL"/>
    <n v="1"/>
    <x v="892"/>
    <x v="4"/>
    <x v="9"/>
    <x v="0"/>
    <s v="NULL"/>
    <x v="1"/>
  </r>
  <r>
    <x v="2067"/>
    <x v="9"/>
    <s v="Germany"/>
    <x v="2"/>
    <s v="NULL"/>
    <n v="1"/>
    <n v="42"/>
    <x v="892"/>
    <x v="4"/>
    <x v="9"/>
    <x v="3"/>
    <n v="1"/>
    <x v="0"/>
  </r>
  <r>
    <x v="2068"/>
    <x v="4"/>
    <s v="United States"/>
    <x v="3"/>
    <n v="24"/>
    <n v="0.21"/>
    <n v="235"/>
    <x v="893"/>
    <x v="4"/>
    <x v="9"/>
    <x v="4"/>
    <n v="0"/>
    <x v="0"/>
  </r>
  <r>
    <x v="178"/>
    <x v="12"/>
    <s v="China"/>
    <x v="3"/>
    <s v="NULL"/>
    <s v="NULL"/>
    <s v="NULL"/>
    <x v="893"/>
    <x v="4"/>
    <x v="9"/>
    <x v="1"/>
    <s v="NULL"/>
    <x v="1"/>
  </r>
  <r>
    <x v="1666"/>
    <x v="16"/>
    <s v="United States"/>
    <x v="3"/>
    <n v="378"/>
    <n v="0.27"/>
    <s v="NULL"/>
    <x v="894"/>
    <x v="4"/>
    <x v="9"/>
    <x v="1"/>
    <n v="0"/>
    <x v="0"/>
  </r>
  <r>
    <x v="976"/>
    <x v="18"/>
    <s v="United States"/>
    <x v="0"/>
    <n v="200"/>
    <n v="0.19"/>
    <n v="122"/>
    <x v="894"/>
    <x v="4"/>
    <x v="9"/>
    <x v="4"/>
    <n v="0"/>
    <x v="0"/>
  </r>
  <r>
    <x v="976"/>
    <x v="18"/>
    <s v="United States"/>
    <x v="0"/>
    <n v="200"/>
    <n v="0.19"/>
    <n v="122"/>
    <x v="894"/>
    <x v="4"/>
    <x v="9"/>
    <x v="4"/>
    <n v="0"/>
    <x v="0"/>
  </r>
  <r>
    <x v="2069"/>
    <x v="14"/>
    <s v="United Kingdom"/>
    <x v="3"/>
    <s v="NULL"/>
    <n v="1"/>
    <n v="9"/>
    <x v="894"/>
    <x v="4"/>
    <x v="9"/>
    <x v="0"/>
    <n v="1"/>
    <x v="0"/>
  </r>
  <r>
    <x v="2070"/>
    <x v="21"/>
    <s v="India"/>
    <x v="6"/>
    <s v="NULL"/>
    <n v="1"/>
    <s v="NULL"/>
    <x v="894"/>
    <x v="4"/>
    <x v="9"/>
    <x v="1"/>
    <n v="1"/>
    <x v="0"/>
  </r>
  <r>
    <x v="38"/>
    <x v="19"/>
    <s v="United States"/>
    <x v="0"/>
    <n v="90"/>
    <s v="NULL"/>
    <n v="65"/>
    <x v="895"/>
    <x v="4"/>
    <x v="9"/>
    <x v="3"/>
    <s v="NULL"/>
    <x v="0"/>
  </r>
  <r>
    <x v="2071"/>
    <x v="1"/>
    <s v="United States"/>
    <x v="1"/>
    <n v="65"/>
    <n v="1"/>
    <n v="10"/>
    <x v="895"/>
    <x v="4"/>
    <x v="9"/>
    <x v="3"/>
    <n v="1"/>
    <x v="0"/>
  </r>
  <r>
    <x v="2072"/>
    <x v="3"/>
    <s v="United States"/>
    <x v="5"/>
    <s v="NULL"/>
    <s v="NULL"/>
    <n v="61"/>
    <x v="895"/>
    <x v="4"/>
    <x v="9"/>
    <x v="3"/>
    <s v="NULL"/>
    <x v="1"/>
  </r>
  <r>
    <x v="721"/>
    <x v="21"/>
    <s v="India"/>
    <x v="9"/>
    <n v="2500"/>
    <n v="0.05"/>
    <n v="5500"/>
    <x v="896"/>
    <x v="4"/>
    <x v="9"/>
    <x v="2"/>
    <n v="0"/>
    <x v="0"/>
  </r>
  <r>
    <x v="2073"/>
    <x v="19"/>
    <s v="United States"/>
    <x v="11"/>
    <n v="150"/>
    <n v="0.1"/>
    <n v="426"/>
    <x v="896"/>
    <x v="4"/>
    <x v="9"/>
    <x v="4"/>
    <n v="0"/>
    <x v="0"/>
  </r>
  <r>
    <x v="2074"/>
    <x v="0"/>
    <s v="Sweden"/>
    <x v="0"/>
    <n v="150"/>
    <s v="NULL"/>
    <n v="1500"/>
    <x v="896"/>
    <x v="4"/>
    <x v="9"/>
    <x v="2"/>
    <s v="NULL"/>
    <x v="0"/>
  </r>
  <r>
    <x v="1226"/>
    <x v="21"/>
    <s v="India"/>
    <x v="8"/>
    <n v="130"/>
    <n v="0.75"/>
    <n v="17"/>
    <x v="896"/>
    <x v="4"/>
    <x v="9"/>
    <x v="3"/>
    <n v="0"/>
    <x v="0"/>
  </r>
  <r>
    <x v="821"/>
    <x v="5"/>
    <s v="United States"/>
    <x v="4"/>
    <n v="500"/>
    <n v="0.1"/>
    <n v="657"/>
    <x v="897"/>
    <x v="4"/>
    <x v="9"/>
    <x v="4"/>
    <n v="0"/>
    <x v="0"/>
  </r>
  <r>
    <x v="2075"/>
    <x v="14"/>
    <s v="United States"/>
    <x v="5"/>
    <n v="200"/>
    <s v="NULL"/>
    <n v="450"/>
    <x v="897"/>
    <x v="4"/>
    <x v="9"/>
    <x v="4"/>
    <s v="NULL"/>
    <x v="0"/>
  </r>
  <r>
    <x v="835"/>
    <x v="14"/>
    <s v="United States"/>
    <x v="7"/>
    <n v="136"/>
    <n v="0.11"/>
    <n v="1500"/>
    <x v="897"/>
    <x v="4"/>
    <x v="9"/>
    <x v="2"/>
    <n v="0"/>
    <x v="0"/>
  </r>
  <r>
    <x v="2076"/>
    <x v="16"/>
    <s v="United States"/>
    <x v="5"/>
    <n v="100"/>
    <n v="0.3"/>
    <n v="217"/>
    <x v="897"/>
    <x v="4"/>
    <x v="9"/>
    <x v="4"/>
    <n v="0"/>
    <x v="0"/>
  </r>
  <r>
    <x v="2077"/>
    <x v="0"/>
    <s v="Netherlands"/>
    <x v="8"/>
    <n v="80"/>
    <s v="NULL"/>
    <n v="20"/>
    <x v="897"/>
    <x v="4"/>
    <x v="9"/>
    <x v="3"/>
    <s v="NULL"/>
    <x v="0"/>
  </r>
  <r>
    <x v="2078"/>
    <x v="21"/>
    <s v="United States"/>
    <x v="3"/>
    <n v="55"/>
    <n v="0.13"/>
    <n v="235"/>
    <x v="897"/>
    <x v="4"/>
    <x v="9"/>
    <x v="4"/>
    <n v="0"/>
    <x v="0"/>
  </r>
  <r>
    <x v="2079"/>
    <x v="10"/>
    <s v="Denmark"/>
    <x v="6"/>
    <n v="35"/>
    <n v="0.35"/>
    <n v="2"/>
    <x v="897"/>
    <x v="4"/>
    <x v="9"/>
    <x v="0"/>
    <n v="0"/>
    <x v="0"/>
  </r>
  <r>
    <x v="2080"/>
    <x v="26"/>
    <s v="United Kingdom"/>
    <x v="8"/>
    <s v="NULL"/>
    <s v="NULL"/>
    <n v="16"/>
    <x v="897"/>
    <x v="4"/>
    <x v="9"/>
    <x v="3"/>
    <s v="NULL"/>
    <x v="1"/>
  </r>
  <r>
    <x v="2081"/>
    <x v="9"/>
    <s v="Hong Kong"/>
    <x v="3"/>
    <s v="NULL"/>
    <s v="NULL"/>
    <s v="NULL"/>
    <x v="897"/>
    <x v="4"/>
    <x v="9"/>
    <x v="1"/>
    <s v="NULL"/>
    <x v="1"/>
  </r>
  <r>
    <x v="2082"/>
    <x v="7"/>
    <s v="Canada"/>
    <x v="6"/>
    <s v="NULL"/>
    <s v="NULL"/>
    <s v="NULL"/>
    <x v="897"/>
    <x v="4"/>
    <x v="9"/>
    <x v="1"/>
    <s v="NULL"/>
    <x v="1"/>
  </r>
  <r>
    <x v="377"/>
    <x v="18"/>
    <s v="United States"/>
    <x v="0"/>
    <n v="611"/>
    <s v="NULL"/>
    <n v="367"/>
    <x v="898"/>
    <x v="4"/>
    <x v="9"/>
    <x v="4"/>
    <s v="NULL"/>
    <x v="0"/>
  </r>
  <r>
    <x v="1569"/>
    <x v="10"/>
    <s v="United States"/>
    <x v="0"/>
    <n v="180"/>
    <n v="0.11"/>
    <n v="1100"/>
    <x v="898"/>
    <x v="4"/>
    <x v="9"/>
    <x v="2"/>
    <n v="0"/>
    <x v="0"/>
  </r>
  <r>
    <x v="2083"/>
    <x v="24"/>
    <s v="United States"/>
    <x v="7"/>
    <n v="96"/>
    <n v="0.96"/>
    <n v="103"/>
    <x v="898"/>
    <x v="4"/>
    <x v="9"/>
    <x v="4"/>
    <n v="0"/>
    <x v="0"/>
  </r>
  <r>
    <x v="760"/>
    <x v="5"/>
    <s v="United States"/>
    <x v="5"/>
    <n v="67"/>
    <n v="0.2"/>
    <n v="315"/>
    <x v="898"/>
    <x v="4"/>
    <x v="9"/>
    <x v="4"/>
    <n v="0"/>
    <x v="0"/>
  </r>
  <r>
    <x v="2084"/>
    <x v="24"/>
    <s v="United States"/>
    <x v="3"/>
    <s v="NULL"/>
    <n v="0.33"/>
    <n v="58"/>
    <x v="898"/>
    <x v="4"/>
    <x v="9"/>
    <x v="3"/>
    <n v="0"/>
    <x v="0"/>
  </r>
  <r>
    <x v="2085"/>
    <x v="2"/>
    <s v="United States"/>
    <x v="1"/>
    <s v="NULL"/>
    <n v="1"/>
    <s v="NULL"/>
    <x v="899"/>
    <x v="4"/>
    <x v="9"/>
    <x v="1"/>
    <n v="1"/>
    <x v="0"/>
  </r>
  <r>
    <x v="2086"/>
    <x v="5"/>
    <s v="United States"/>
    <x v="0"/>
    <n v="120"/>
    <n v="0.04"/>
    <n v="585"/>
    <x v="900"/>
    <x v="4"/>
    <x v="9"/>
    <x v="4"/>
    <n v="0"/>
    <x v="0"/>
  </r>
  <r>
    <x v="2087"/>
    <x v="6"/>
    <s v="United States"/>
    <x v="7"/>
    <n v="85"/>
    <s v="NULL"/>
    <n v="30"/>
    <x v="900"/>
    <x v="4"/>
    <x v="9"/>
    <x v="3"/>
    <s v="NULL"/>
    <x v="0"/>
  </r>
  <r>
    <x v="148"/>
    <x v="9"/>
    <s v="Singapore"/>
    <x v="3"/>
    <n v="2000"/>
    <n v="0.3"/>
    <n v="156"/>
    <x v="901"/>
    <x v="4"/>
    <x v="9"/>
    <x v="4"/>
    <n v="0"/>
    <x v="0"/>
  </r>
  <r>
    <x v="192"/>
    <x v="25"/>
    <s v="United States"/>
    <x v="0"/>
    <n v="500"/>
    <n v="0.12"/>
    <n v="1900"/>
    <x v="901"/>
    <x v="4"/>
    <x v="9"/>
    <x v="2"/>
    <n v="0"/>
    <x v="0"/>
  </r>
  <r>
    <x v="956"/>
    <x v="16"/>
    <s v="United States"/>
    <x v="5"/>
    <n v="110"/>
    <s v="NULL"/>
    <n v="347"/>
    <x v="901"/>
    <x v="4"/>
    <x v="9"/>
    <x v="4"/>
    <s v="NULL"/>
    <x v="0"/>
  </r>
  <r>
    <x v="744"/>
    <x v="21"/>
    <s v="United States"/>
    <x v="1"/>
    <n v="51"/>
    <n v="0.05"/>
    <s v="NULL"/>
    <x v="901"/>
    <x v="4"/>
    <x v="9"/>
    <x v="1"/>
    <n v="0"/>
    <x v="0"/>
  </r>
  <r>
    <x v="1642"/>
    <x v="18"/>
    <s v="United States"/>
    <x v="13"/>
    <n v="50"/>
    <n v="0.06"/>
    <n v="1900"/>
    <x v="901"/>
    <x v="4"/>
    <x v="9"/>
    <x v="2"/>
    <n v="0"/>
    <x v="0"/>
  </r>
  <r>
    <x v="2088"/>
    <x v="14"/>
    <s v="Singapore"/>
    <x v="3"/>
    <s v="NULL"/>
    <s v="NULL"/>
    <n v="645"/>
    <x v="901"/>
    <x v="4"/>
    <x v="9"/>
    <x v="4"/>
    <s v="NULL"/>
    <x v="1"/>
  </r>
  <r>
    <x v="2089"/>
    <x v="14"/>
    <s v="New Zealand"/>
    <x v="2"/>
    <s v="NULL"/>
    <s v="NULL"/>
    <n v="29"/>
    <x v="901"/>
    <x v="4"/>
    <x v="9"/>
    <x v="3"/>
    <s v="NULL"/>
    <x v="1"/>
  </r>
  <r>
    <x v="2090"/>
    <x v="14"/>
    <s v="United States"/>
    <x v="2"/>
    <s v="NULL"/>
    <n v="0.4"/>
    <n v="58"/>
    <x v="901"/>
    <x v="4"/>
    <x v="9"/>
    <x v="3"/>
    <n v="0"/>
    <x v="0"/>
  </r>
  <r>
    <x v="145"/>
    <x v="4"/>
    <s v="Sweden"/>
    <x v="0"/>
    <s v="NULL"/>
    <s v="NULL"/>
    <n v="2100"/>
    <x v="901"/>
    <x v="4"/>
    <x v="9"/>
    <x v="2"/>
    <s v="NULL"/>
    <x v="1"/>
  </r>
  <r>
    <x v="2091"/>
    <x v="8"/>
    <s v="United States"/>
    <x v="5"/>
    <n v="50"/>
    <n v="0.25"/>
    <n v="29"/>
    <x v="902"/>
    <x v="4"/>
    <x v="9"/>
    <x v="3"/>
    <n v="0"/>
    <x v="0"/>
  </r>
  <r>
    <x v="2092"/>
    <x v="5"/>
    <s v="United States"/>
    <x v="2"/>
    <s v="NULL"/>
    <n v="0.5"/>
    <n v="73"/>
    <x v="902"/>
    <x v="4"/>
    <x v="9"/>
    <x v="3"/>
    <n v="0"/>
    <x v="0"/>
  </r>
  <r>
    <x v="1708"/>
    <x v="15"/>
    <s v="United States"/>
    <x v="0"/>
    <n v="200"/>
    <n v="0.09"/>
    <n v="253"/>
    <x v="903"/>
    <x v="4"/>
    <x v="9"/>
    <x v="4"/>
    <n v="0"/>
    <x v="0"/>
  </r>
  <r>
    <x v="1381"/>
    <x v="11"/>
    <s v="Australia"/>
    <x v="2"/>
    <n v="65"/>
    <n v="0.16"/>
    <n v="105"/>
    <x v="903"/>
    <x v="4"/>
    <x v="9"/>
    <x v="4"/>
    <n v="0"/>
    <x v="0"/>
  </r>
  <r>
    <x v="699"/>
    <x v="16"/>
    <s v="United States"/>
    <x v="2"/>
    <n v="40"/>
    <n v="0.13"/>
    <n v="35"/>
    <x v="903"/>
    <x v="4"/>
    <x v="9"/>
    <x v="3"/>
    <n v="0"/>
    <x v="0"/>
  </r>
  <r>
    <x v="2093"/>
    <x v="6"/>
    <s v="United States"/>
    <x v="7"/>
    <s v="NULL"/>
    <n v="0.05"/>
    <s v="NULL"/>
    <x v="903"/>
    <x v="4"/>
    <x v="9"/>
    <x v="1"/>
    <n v="0"/>
    <x v="0"/>
  </r>
  <r>
    <x v="841"/>
    <x v="14"/>
    <s v="Indonesia"/>
    <x v="7"/>
    <s v="NULL"/>
    <n v="0.05"/>
    <n v="534"/>
    <x v="903"/>
    <x v="4"/>
    <x v="9"/>
    <x v="4"/>
    <n v="0"/>
    <x v="0"/>
  </r>
  <r>
    <x v="2094"/>
    <x v="10"/>
    <s v="United States"/>
    <x v="5"/>
    <s v="NULL"/>
    <n v="0.15"/>
    <n v="360"/>
    <x v="904"/>
    <x v="4"/>
    <x v="9"/>
    <x v="4"/>
    <n v="0"/>
    <x v="0"/>
  </r>
  <r>
    <x v="2095"/>
    <x v="25"/>
    <s v="United States"/>
    <x v="5"/>
    <s v="NULL"/>
    <s v="NULL"/>
    <n v="298"/>
    <x v="904"/>
    <x v="4"/>
    <x v="9"/>
    <x v="4"/>
    <s v="NULL"/>
    <x v="1"/>
  </r>
  <r>
    <x v="2096"/>
    <x v="9"/>
    <s v="India"/>
    <x v="1"/>
    <n v="60"/>
    <n v="0.4"/>
    <s v="NULL"/>
    <x v="905"/>
    <x v="4"/>
    <x v="9"/>
    <x v="1"/>
    <n v="0"/>
    <x v="0"/>
  </r>
  <r>
    <x v="2097"/>
    <x v="11"/>
    <s v="United States"/>
    <x v="1"/>
    <n v="78"/>
    <n v="0.1"/>
    <n v="8"/>
    <x v="906"/>
    <x v="4"/>
    <x v="10"/>
    <x v="0"/>
    <n v="0"/>
    <x v="0"/>
  </r>
  <r>
    <x v="2098"/>
    <x v="11"/>
    <s v="Malaysia"/>
    <x v="11"/>
    <s v="NULL"/>
    <n v="0.1"/>
    <n v="607"/>
    <x v="906"/>
    <x v="4"/>
    <x v="10"/>
    <x v="4"/>
    <n v="0"/>
    <x v="0"/>
  </r>
  <r>
    <x v="2099"/>
    <x v="18"/>
    <s v="United States"/>
    <x v="3"/>
    <s v="NULL"/>
    <n v="1"/>
    <s v="NULL"/>
    <x v="906"/>
    <x v="4"/>
    <x v="10"/>
    <x v="1"/>
    <n v="1"/>
    <x v="0"/>
  </r>
  <r>
    <x v="2100"/>
    <x v="5"/>
    <s v="United States"/>
    <x v="7"/>
    <s v="NULL"/>
    <s v="NULL"/>
    <n v="255"/>
    <x v="906"/>
    <x v="4"/>
    <x v="10"/>
    <x v="4"/>
    <s v="NULL"/>
    <x v="1"/>
  </r>
  <r>
    <x v="2101"/>
    <x v="2"/>
    <s v="Germany"/>
    <x v="0"/>
    <n v="125"/>
    <s v="NULL"/>
    <n v="237"/>
    <x v="907"/>
    <x v="4"/>
    <x v="10"/>
    <x v="4"/>
    <s v="NULL"/>
    <x v="0"/>
  </r>
  <r>
    <x v="1320"/>
    <x v="24"/>
    <s v="United States"/>
    <x v="7"/>
    <n v="40"/>
    <n v="0.2"/>
    <n v="173"/>
    <x v="907"/>
    <x v="4"/>
    <x v="10"/>
    <x v="4"/>
    <n v="0"/>
    <x v="0"/>
  </r>
  <r>
    <x v="905"/>
    <x v="14"/>
    <s v="Germany"/>
    <x v="3"/>
    <s v="NULL"/>
    <n v="0.1"/>
    <n v="385"/>
    <x v="907"/>
    <x v="4"/>
    <x v="10"/>
    <x v="4"/>
    <n v="0"/>
    <x v="0"/>
  </r>
  <r>
    <x v="2102"/>
    <x v="7"/>
    <s v="Germany"/>
    <x v="7"/>
    <s v="NULL"/>
    <s v="NULL"/>
    <n v="107"/>
    <x v="907"/>
    <x v="4"/>
    <x v="10"/>
    <x v="4"/>
    <s v="NULL"/>
    <x v="1"/>
  </r>
  <r>
    <x v="797"/>
    <x v="19"/>
    <s v="United States"/>
    <x v="0"/>
    <n v="671"/>
    <n v="0.09"/>
    <n v="536"/>
    <x v="908"/>
    <x v="4"/>
    <x v="10"/>
    <x v="4"/>
    <n v="0"/>
    <x v="0"/>
  </r>
  <r>
    <x v="2103"/>
    <x v="15"/>
    <s v="United States"/>
    <x v="7"/>
    <s v="NULL"/>
    <s v="NULL"/>
    <n v="203"/>
    <x v="908"/>
    <x v="4"/>
    <x v="10"/>
    <x v="4"/>
    <s v="NULL"/>
    <x v="1"/>
  </r>
  <r>
    <x v="2056"/>
    <x v="11"/>
    <s v="United States"/>
    <x v="0"/>
    <s v="NULL"/>
    <n v="0.1"/>
    <n v="575"/>
    <x v="908"/>
    <x v="4"/>
    <x v="10"/>
    <x v="4"/>
    <n v="0"/>
    <x v="0"/>
  </r>
  <r>
    <x v="1068"/>
    <x v="16"/>
    <s v="United States"/>
    <x v="2"/>
    <n v="40"/>
    <n v="0.12"/>
    <n v="180"/>
    <x v="909"/>
    <x v="4"/>
    <x v="10"/>
    <x v="4"/>
    <n v="0"/>
    <x v="0"/>
  </r>
  <r>
    <x v="1804"/>
    <x v="6"/>
    <s v="United Kingdom"/>
    <x v="3"/>
    <s v="NULL"/>
    <s v="NULL"/>
    <n v="692"/>
    <x v="909"/>
    <x v="4"/>
    <x v="10"/>
    <x v="4"/>
    <s v="NULL"/>
    <x v="1"/>
  </r>
  <r>
    <x v="780"/>
    <x v="18"/>
    <s v="United States"/>
    <x v="3"/>
    <s v="NULL"/>
    <s v="NULL"/>
    <n v="2900"/>
    <x v="910"/>
    <x v="4"/>
    <x v="10"/>
    <x v="2"/>
    <s v="NULL"/>
    <x v="1"/>
  </r>
  <r>
    <x v="2104"/>
    <x v="14"/>
    <s v="Mexico"/>
    <x v="11"/>
    <n v="180"/>
    <s v="NULL"/>
    <n v="706"/>
    <x v="911"/>
    <x v="4"/>
    <x v="10"/>
    <x v="4"/>
    <s v="NULL"/>
    <x v="0"/>
  </r>
  <r>
    <x v="1340"/>
    <x v="14"/>
    <s v="Germany"/>
    <x v="2"/>
    <n v="70"/>
    <n v="0.15"/>
    <n v="150"/>
    <x v="911"/>
    <x v="4"/>
    <x v="10"/>
    <x v="4"/>
    <n v="0"/>
    <x v="0"/>
  </r>
  <r>
    <x v="2105"/>
    <x v="18"/>
    <s v="United States"/>
    <x v="5"/>
    <n v="26"/>
    <n v="0.04"/>
    <n v="166"/>
    <x v="911"/>
    <x v="4"/>
    <x v="10"/>
    <x v="4"/>
    <n v="0"/>
    <x v="0"/>
  </r>
  <r>
    <x v="2106"/>
    <x v="3"/>
    <s v="Canada"/>
    <x v="7"/>
    <n v="24"/>
    <n v="0.05"/>
    <n v="474"/>
    <x v="911"/>
    <x v="4"/>
    <x v="10"/>
    <x v="4"/>
    <n v="0"/>
    <x v="0"/>
  </r>
  <r>
    <x v="2107"/>
    <x v="0"/>
    <s v="United States"/>
    <x v="6"/>
    <s v="NULL"/>
    <n v="1"/>
    <n v="6"/>
    <x v="911"/>
    <x v="4"/>
    <x v="10"/>
    <x v="0"/>
    <n v="1"/>
    <x v="0"/>
  </r>
  <r>
    <x v="2108"/>
    <x v="9"/>
    <s v="United States"/>
    <x v="9"/>
    <n v="110"/>
    <n v="0.33"/>
    <n v="1400"/>
    <x v="912"/>
    <x v="4"/>
    <x v="10"/>
    <x v="2"/>
    <n v="0"/>
    <x v="0"/>
  </r>
  <r>
    <x v="2109"/>
    <x v="14"/>
    <s v="Sweden"/>
    <x v="3"/>
    <n v="100"/>
    <s v="NULL"/>
    <n v="3700"/>
    <x v="912"/>
    <x v="4"/>
    <x v="10"/>
    <x v="2"/>
    <s v="NULL"/>
    <x v="0"/>
  </r>
  <r>
    <x v="2110"/>
    <x v="2"/>
    <s v="United Kingdom"/>
    <x v="7"/>
    <s v="NULL"/>
    <n v="0.35"/>
    <n v="136"/>
    <x v="912"/>
    <x v="4"/>
    <x v="10"/>
    <x v="4"/>
    <n v="0"/>
    <x v="0"/>
  </r>
  <r>
    <x v="2111"/>
    <x v="29"/>
    <s v="United States"/>
    <x v="3"/>
    <n v="100"/>
    <n v="1"/>
    <n v="1"/>
    <x v="913"/>
    <x v="4"/>
    <x v="10"/>
    <x v="0"/>
    <n v="1"/>
    <x v="0"/>
  </r>
  <r>
    <x v="2112"/>
    <x v="7"/>
    <s v="United States"/>
    <x v="6"/>
    <s v="NULL"/>
    <s v="NULL"/>
    <n v="5"/>
    <x v="913"/>
    <x v="4"/>
    <x v="10"/>
    <x v="0"/>
    <s v="NULL"/>
    <x v="1"/>
  </r>
  <r>
    <x v="1798"/>
    <x v="16"/>
    <s v="United States"/>
    <x v="0"/>
    <n v="271"/>
    <s v="NULL"/>
    <n v="1600"/>
    <x v="914"/>
    <x v="4"/>
    <x v="10"/>
    <x v="2"/>
    <s v="NULL"/>
    <x v="0"/>
  </r>
  <r>
    <x v="2113"/>
    <x v="5"/>
    <s v="United States"/>
    <x v="6"/>
    <n v="109"/>
    <s v="NULL"/>
    <n v="8"/>
    <x v="914"/>
    <x v="4"/>
    <x v="10"/>
    <x v="0"/>
    <s v="NULL"/>
    <x v="0"/>
  </r>
  <r>
    <x v="1631"/>
    <x v="15"/>
    <s v="Canada"/>
    <x v="5"/>
    <n v="78"/>
    <n v="0.16"/>
    <n v="190"/>
    <x v="914"/>
    <x v="4"/>
    <x v="10"/>
    <x v="4"/>
    <n v="0"/>
    <x v="0"/>
  </r>
  <r>
    <x v="2114"/>
    <x v="11"/>
    <s v="Brazil"/>
    <x v="1"/>
    <n v="75"/>
    <n v="0.02"/>
    <n v="244"/>
    <x v="914"/>
    <x v="4"/>
    <x v="10"/>
    <x v="4"/>
    <n v="0"/>
    <x v="0"/>
  </r>
  <r>
    <x v="2115"/>
    <x v="11"/>
    <s v="United States"/>
    <x v="0"/>
    <s v="NULL"/>
    <n v="0.1"/>
    <n v="282"/>
    <x v="914"/>
    <x v="4"/>
    <x v="10"/>
    <x v="4"/>
    <n v="0"/>
    <x v="0"/>
  </r>
  <r>
    <x v="1691"/>
    <x v="2"/>
    <s v="United States"/>
    <x v="1"/>
    <s v="NULL"/>
    <n v="0.04"/>
    <n v="62"/>
    <x v="914"/>
    <x v="4"/>
    <x v="10"/>
    <x v="3"/>
    <n v="0"/>
    <x v="0"/>
  </r>
  <r>
    <x v="690"/>
    <x v="11"/>
    <s v="India"/>
    <x v="14"/>
    <n v="200"/>
    <s v="NULL"/>
    <n v="5000"/>
    <x v="915"/>
    <x v="4"/>
    <x v="10"/>
    <x v="2"/>
    <s v="NULL"/>
    <x v="0"/>
  </r>
  <r>
    <x v="2116"/>
    <x v="5"/>
    <s v="United States"/>
    <x v="2"/>
    <n v="29"/>
    <n v="0.43"/>
    <n v="75"/>
    <x v="915"/>
    <x v="4"/>
    <x v="10"/>
    <x v="3"/>
    <n v="0"/>
    <x v="0"/>
  </r>
  <r>
    <x v="892"/>
    <x v="10"/>
    <s v="United States"/>
    <x v="4"/>
    <s v="NULL"/>
    <n v="0.02"/>
    <n v="456"/>
    <x v="915"/>
    <x v="4"/>
    <x v="10"/>
    <x v="4"/>
    <n v="0"/>
    <x v="0"/>
  </r>
  <r>
    <x v="36"/>
    <x v="18"/>
    <s v="Indonesia"/>
    <x v="3"/>
    <s v="NULL"/>
    <s v="NULL"/>
    <s v="NULL"/>
    <x v="916"/>
    <x v="4"/>
    <x v="10"/>
    <x v="1"/>
    <s v="NULL"/>
    <x v="1"/>
  </r>
  <r>
    <x v="299"/>
    <x v="14"/>
    <s v="India"/>
    <x v="5"/>
    <n v="190"/>
    <n v="0.2"/>
    <n v="140"/>
    <x v="917"/>
    <x v="4"/>
    <x v="10"/>
    <x v="4"/>
    <n v="0"/>
    <x v="0"/>
  </r>
  <r>
    <x v="475"/>
    <x v="14"/>
    <s v="United Kingdom"/>
    <x v="11"/>
    <n v="40"/>
    <n v="0.1"/>
    <n v="271"/>
    <x v="917"/>
    <x v="4"/>
    <x v="10"/>
    <x v="4"/>
    <n v="0"/>
    <x v="0"/>
  </r>
  <r>
    <x v="2117"/>
    <x v="15"/>
    <s v="United States"/>
    <x v="0"/>
    <n v="193"/>
    <n v="0.11"/>
    <n v="42"/>
    <x v="918"/>
    <x v="4"/>
    <x v="10"/>
    <x v="3"/>
    <n v="0"/>
    <x v="0"/>
  </r>
  <r>
    <x v="2118"/>
    <x v="4"/>
    <s v="Sweden"/>
    <x v="0"/>
    <n v="70"/>
    <n v="0.15"/>
    <n v="126"/>
    <x v="918"/>
    <x v="4"/>
    <x v="10"/>
    <x v="4"/>
    <n v="0"/>
    <x v="0"/>
  </r>
  <r>
    <x v="2119"/>
    <x v="7"/>
    <s v="United States"/>
    <x v="5"/>
    <n v="35"/>
    <n v="0.2"/>
    <n v="67"/>
    <x v="918"/>
    <x v="4"/>
    <x v="10"/>
    <x v="3"/>
    <n v="0"/>
    <x v="0"/>
  </r>
  <r>
    <x v="580"/>
    <x v="5"/>
    <s v="United States"/>
    <x v="2"/>
    <s v="NULL"/>
    <s v="NULL"/>
    <n v="90"/>
    <x v="918"/>
    <x v="4"/>
    <x v="10"/>
    <x v="3"/>
    <s v="NULL"/>
    <x v="1"/>
  </r>
  <r>
    <x v="2120"/>
    <x v="10"/>
    <s v="United States"/>
    <x v="3"/>
    <s v="NULL"/>
    <n v="7.0000000000000007E-2"/>
    <n v="108"/>
    <x v="918"/>
    <x v="4"/>
    <x v="10"/>
    <x v="4"/>
    <n v="0"/>
    <x v="0"/>
  </r>
  <r>
    <x v="931"/>
    <x v="0"/>
    <s v="United States"/>
    <x v="0"/>
    <n v="800"/>
    <n v="0.11"/>
    <n v="614"/>
    <x v="919"/>
    <x v="4"/>
    <x v="10"/>
    <x v="4"/>
    <n v="0"/>
    <x v="0"/>
  </r>
  <r>
    <x v="882"/>
    <x v="10"/>
    <s v="Germany"/>
    <x v="2"/>
    <n v="59"/>
    <n v="0.3"/>
    <n v="137"/>
    <x v="919"/>
    <x v="4"/>
    <x v="10"/>
    <x v="4"/>
    <n v="0"/>
    <x v="0"/>
  </r>
  <r>
    <x v="1913"/>
    <x v="0"/>
    <s v="Germany"/>
    <x v="7"/>
    <n v="50"/>
    <n v="0.05"/>
    <n v="604"/>
    <x v="919"/>
    <x v="4"/>
    <x v="10"/>
    <x v="4"/>
    <n v="0"/>
    <x v="0"/>
  </r>
  <r>
    <x v="2121"/>
    <x v="4"/>
    <s v="United States"/>
    <x v="0"/>
    <n v="30"/>
    <s v="NULL"/>
    <n v="121900"/>
    <x v="919"/>
    <x v="4"/>
    <x v="10"/>
    <x v="2"/>
    <s v="NULL"/>
    <x v="0"/>
  </r>
  <r>
    <x v="2122"/>
    <x v="24"/>
    <s v="Hungary"/>
    <x v="5"/>
    <s v="NULL"/>
    <n v="0.14000000000000001"/>
    <n v="83"/>
    <x v="919"/>
    <x v="4"/>
    <x v="10"/>
    <x v="3"/>
    <n v="0"/>
    <x v="0"/>
  </r>
  <r>
    <x v="2022"/>
    <x v="5"/>
    <s v="United States"/>
    <x v="0"/>
    <n v="160"/>
    <n v="0.75"/>
    <n v="445"/>
    <x v="920"/>
    <x v="4"/>
    <x v="10"/>
    <x v="4"/>
    <n v="0"/>
    <x v="0"/>
  </r>
  <r>
    <x v="902"/>
    <x v="14"/>
    <s v="United Kingdom"/>
    <x v="7"/>
    <n v="100"/>
    <n v="0.05"/>
    <n v="1800"/>
    <x v="920"/>
    <x v="4"/>
    <x v="10"/>
    <x v="2"/>
    <n v="0"/>
    <x v="0"/>
  </r>
  <r>
    <x v="115"/>
    <x v="10"/>
    <s v="United States"/>
    <x v="0"/>
    <n v="100"/>
    <n v="0.06"/>
    <n v="445"/>
    <x v="920"/>
    <x v="4"/>
    <x v="10"/>
    <x v="4"/>
    <n v="0"/>
    <x v="0"/>
  </r>
  <r>
    <x v="2123"/>
    <x v="4"/>
    <s v="United States"/>
    <x v="4"/>
    <n v="80"/>
    <n v="0.17"/>
    <n v="413"/>
    <x v="920"/>
    <x v="4"/>
    <x v="10"/>
    <x v="4"/>
    <n v="0"/>
    <x v="0"/>
  </r>
  <r>
    <x v="873"/>
    <x v="10"/>
    <s v="United States"/>
    <x v="3"/>
    <s v="NULL"/>
    <n v="0.12"/>
    <n v="197"/>
    <x v="920"/>
    <x v="4"/>
    <x v="10"/>
    <x v="4"/>
    <n v="0"/>
    <x v="0"/>
  </r>
  <r>
    <x v="2124"/>
    <x v="16"/>
    <s v="Vietnam"/>
    <x v="8"/>
    <s v="NULL"/>
    <n v="1"/>
    <n v="33"/>
    <x v="920"/>
    <x v="4"/>
    <x v="10"/>
    <x v="3"/>
    <n v="1"/>
    <x v="0"/>
  </r>
  <r>
    <x v="2125"/>
    <x v="11"/>
    <s v="Brazil"/>
    <x v="1"/>
    <n v="60"/>
    <s v="NULL"/>
    <n v="28"/>
    <x v="921"/>
    <x v="4"/>
    <x v="10"/>
    <x v="3"/>
    <s v="NULL"/>
    <x v="0"/>
  </r>
  <r>
    <x v="2126"/>
    <x v="6"/>
    <s v="United States"/>
    <x v="7"/>
    <n v="25"/>
    <s v="NULL"/>
    <n v="81"/>
    <x v="921"/>
    <x v="4"/>
    <x v="10"/>
    <x v="3"/>
    <s v="NULL"/>
    <x v="0"/>
  </r>
  <r>
    <x v="2127"/>
    <x v="7"/>
    <s v="Israel"/>
    <x v="8"/>
    <n v="11"/>
    <n v="0.28000000000000003"/>
    <n v="17"/>
    <x v="921"/>
    <x v="4"/>
    <x v="10"/>
    <x v="3"/>
    <n v="0"/>
    <x v="0"/>
  </r>
  <r>
    <x v="2128"/>
    <x v="0"/>
    <s v="United States"/>
    <x v="2"/>
    <s v="NULL"/>
    <n v="0.23"/>
    <n v="91"/>
    <x v="921"/>
    <x v="4"/>
    <x v="10"/>
    <x v="3"/>
    <n v="0"/>
    <x v="0"/>
  </r>
  <r>
    <x v="875"/>
    <x v="2"/>
    <s v="United States"/>
    <x v="0"/>
    <s v="NULL"/>
    <n v="0.24"/>
    <n v="526"/>
    <x v="921"/>
    <x v="4"/>
    <x v="10"/>
    <x v="4"/>
    <n v="0"/>
    <x v="0"/>
  </r>
  <r>
    <x v="110"/>
    <x v="6"/>
    <s v="United States"/>
    <x v="2"/>
    <s v="NULL"/>
    <s v="NULL"/>
    <n v="84"/>
    <x v="921"/>
    <x v="4"/>
    <x v="10"/>
    <x v="3"/>
    <s v="NULL"/>
    <x v="1"/>
  </r>
  <r>
    <x v="2129"/>
    <x v="18"/>
    <s v="Canada"/>
    <x v="1"/>
    <n v="350"/>
    <s v="NULL"/>
    <n v="6"/>
    <x v="922"/>
    <x v="4"/>
    <x v="10"/>
    <x v="0"/>
    <s v="NULL"/>
    <x v="0"/>
  </r>
  <r>
    <x v="2130"/>
    <x v="26"/>
    <s v="Australia"/>
    <x v="5"/>
    <n v="58"/>
    <s v="NULL"/>
    <n v="145"/>
    <x v="922"/>
    <x v="4"/>
    <x v="10"/>
    <x v="4"/>
    <s v="NULL"/>
    <x v="0"/>
  </r>
  <r>
    <x v="2123"/>
    <x v="4"/>
    <s v="United States"/>
    <x v="4"/>
    <n v="5"/>
    <s v="NULL"/>
    <n v="413"/>
    <x v="922"/>
    <x v="4"/>
    <x v="10"/>
    <x v="4"/>
    <s v="NULL"/>
    <x v="0"/>
  </r>
  <r>
    <x v="2131"/>
    <x v="9"/>
    <s v="Hong Kong"/>
    <x v="2"/>
    <s v="NULL"/>
    <n v="0.1"/>
    <n v="328"/>
    <x v="922"/>
    <x v="4"/>
    <x v="10"/>
    <x v="4"/>
    <n v="0"/>
    <x v="0"/>
  </r>
  <r>
    <x v="2132"/>
    <x v="14"/>
    <s v="Egypt"/>
    <x v="8"/>
    <s v="NULL"/>
    <s v="NULL"/>
    <n v="33"/>
    <x v="922"/>
    <x v="4"/>
    <x v="10"/>
    <x v="3"/>
    <s v="NULL"/>
    <x v="1"/>
  </r>
  <r>
    <x v="2133"/>
    <x v="14"/>
    <s v="United States"/>
    <x v="7"/>
    <s v="NULL"/>
    <n v="1"/>
    <n v="125"/>
    <x v="922"/>
    <x v="4"/>
    <x v="10"/>
    <x v="4"/>
    <n v="1"/>
    <x v="0"/>
  </r>
  <r>
    <x v="2134"/>
    <x v="21"/>
    <s v="United States"/>
    <x v="1"/>
    <s v="NULL"/>
    <s v="NULL"/>
    <n v="175"/>
    <x v="922"/>
    <x v="4"/>
    <x v="10"/>
    <x v="4"/>
    <s v="NULL"/>
    <x v="1"/>
  </r>
  <r>
    <x v="2135"/>
    <x v="2"/>
    <s v="United States"/>
    <x v="3"/>
    <s v="NULL"/>
    <n v="0.15"/>
    <n v="45"/>
    <x v="922"/>
    <x v="4"/>
    <x v="10"/>
    <x v="3"/>
    <n v="0"/>
    <x v="0"/>
  </r>
  <r>
    <x v="2136"/>
    <x v="21"/>
    <s v="India"/>
    <x v="5"/>
    <s v="NULL"/>
    <n v="1"/>
    <n v="20"/>
    <x v="922"/>
    <x v="4"/>
    <x v="10"/>
    <x v="3"/>
    <n v="1"/>
    <x v="0"/>
  </r>
  <r>
    <x v="837"/>
    <x v="21"/>
    <s v="Austria"/>
    <x v="7"/>
    <n v="200"/>
    <s v="NULL"/>
    <n v="686"/>
    <x v="923"/>
    <x v="4"/>
    <x v="10"/>
    <x v="4"/>
    <s v="NULL"/>
    <x v="0"/>
  </r>
  <r>
    <x v="2137"/>
    <x v="2"/>
    <s v="Thailand"/>
    <x v="3"/>
    <n v="55"/>
    <n v="0.08"/>
    <n v="120"/>
    <x v="923"/>
    <x v="4"/>
    <x v="10"/>
    <x v="4"/>
    <n v="0"/>
    <x v="0"/>
  </r>
  <r>
    <x v="2138"/>
    <x v="5"/>
    <s v="United States"/>
    <x v="5"/>
    <n v="23"/>
    <s v="NULL"/>
    <n v="120"/>
    <x v="923"/>
    <x v="4"/>
    <x v="10"/>
    <x v="4"/>
    <s v="NULL"/>
    <x v="0"/>
  </r>
  <r>
    <x v="2139"/>
    <x v="6"/>
    <s v="United States"/>
    <x v="0"/>
    <s v="NULL"/>
    <n v="7.0000000000000007E-2"/>
    <n v="200"/>
    <x v="923"/>
    <x v="4"/>
    <x v="10"/>
    <x v="4"/>
    <n v="0"/>
    <x v="0"/>
  </r>
  <r>
    <x v="2140"/>
    <x v="16"/>
    <s v="United States"/>
    <x v="1"/>
    <s v="NULL"/>
    <s v="NULL"/>
    <s v="NULL"/>
    <x v="923"/>
    <x v="4"/>
    <x v="10"/>
    <x v="1"/>
    <s v="NULL"/>
    <x v="1"/>
  </r>
  <r>
    <x v="2141"/>
    <x v="18"/>
    <s v="Denmark"/>
    <x v="3"/>
    <n v="150"/>
    <n v="1"/>
    <n v="173"/>
    <x v="924"/>
    <x v="4"/>
    <x v="10"/>
    <x v="4"/>
    <n v="1"/>
    <x v="0"/>
  </r>
  <r>
    <x v="1049"/>
    <x v="18"/>
    <s v="Singapore"/>
    <x v="1"/>
    <n v="60"/>
    <s v="NULL"/>
    <n v="749"/>
    <x v="924"/>
    <x v="4"/>
    <x v="10"/>
    <x v="4"/>
    <s v="NULL"/>
    <x v="0"/>
  </r>
  <r>
    <x v="48"/>
    <x v="11"/>
    <s v="Lithuania"/>
    <x v="0"/>
    <n v="60"/>
    <s v="NULL"/>
    <n v="24700"/>
    <x v="924"/>
    <x v="4"/>
    <x v="10"/>
    <x v="2"/>
    <s v="NULL"/>
    <x v="0"/>
  </r>
  <r>
    <x v="2142"/>
    <x v="14"/>
    <s v="India"/>
    <x v="3"/>
    <n v="50"/>
    <s v="NULL"/>
    <n v="172"/>
    <x v="924"/>
    <x v="4"/>
    <x v="10"/>
    <x v="4"/>
    <s v="NULL"/>
    <x v="0"/>
  </r>
  <r>
    <x v="1982"/>
    <x v="15"/>
    <s v="United States"/>
    <x v="7"/>
    <n v="49"/>
    <n v="0.05"/>
    <n v="240"/>
    <x v="924"/>
    <x v="4"/>
    <x v="10"/>
    <x v="4"/>
    <n v="0"/>
    <x v="0"/>
  </r>
  <r>
    <x v="129"/>
    <x v="22"/>
    <s v="United States"/>
    <x v="4"/>
    <n v="45"/>
    <n v="0.05"/>
    <n v="469"/>
    <x v="924"/>
    <x v="4"/>
    <x v="10"/>
    <x v="4"/>
    <n v="0"/>
    <x v="0"/>
  </r>
  <r>
    <x v="2143"/>
    <x v="19"/>
    <s v="United States"/>
    <x v="13"/>
    <n v="27"/>
    <n v="0.03"/>
    <n v="143"/>
    <x v="924"/>
    <x v="4"/>
    <x v="10"/>
    <x v="4"/>
    <n v="0"/>
    <x v="0"/>
  </r>
  <r>
    <x v="180"/>
    <x v="6"/>
    <s v="Israel"/>
    <x v="5"/>
    <s v="NULL"/>
    <s v="NULL"/>
    <n v="264"/>
    <x v="924"/>
    <x v="4"/>
    <x v="10"/>
    <x v="4"/>
    <s v="NULL"/>
    <x v="1"/>
  </r>
  <r>
    <x v="1602"/>
    <x v="5"/>
    <s v="United States"/>
    <x v="5"/>
    <s v="NULL"/>
    <n v="0.5"/>
    <n v="100"/>
    <x v="924"/>
    <x v="4"/>
    <x v="10"/>
    <x v="4"/>
    <n v="0"/>
    <x v="0"/>
  </r>
  <r>
    <x v="2144"/>
    <x v="0"/>
    <s v="Israel"/>
    <x v="7"/>
    <s v="NULL"/>
    <s v="NULL"/>
    <n v="100"/>
    <x v="924"/>
    <x v="4"/>
    <x v="10"/>
    <x v="4"/>
    <s v="NULL"/>
    <x v="1"/>
  </r>
  <r>
    <x v="444"/>
    <x v="5"/>
    <s v="United States"/>
    <x v="2"/>
    <n v="40"/>
    <n v="0.33"/>
    <n v="42"/>
    <x v="925"/>
    <x v="4"/>
    <x v="10"/>
    <x v="3"/>
    <n v="0"/>
    <x v="0"/>
  </r>
  <r>
    <x v="2145"/>
    <x v="27"/>
    <s v="Israel"/>
    <x v="5"/>
    <n v="30"/>
    <n v="0.33"/>
    <n v="41"/>
    <x v="925"/>
    <x v="4"/>
    <x v="10"/>
    <x v="3"/>
    <n v="0"/>
    <x v="0"/>
  </r>
  <r>
    <x v="2146"/>
    <x v="16"/>
    <s v="United States"/>
    <x v="5"/>
    <s v="NULL"/>
    <n v="0.14000000000000001"/>
    <n v="108"/>
    <x v="925"/>
    <x v="4"/>
    <x v="10"/>
    <x v="4"/>
    <n v="0"/>
    <x v="0"/>
  </r>
  <r>
    <x v="2147"/>
    <x v="4"/>
    <s v="United States"/>
    <x v="3"/>
    <s v="NULL"/>
    <n v="0.25"/>
    <n v="163"/>
    <x v="925"/>
    <x v="4"/>
    <x v="10"/>
    <x v="4"/>
    <n v="0"/>
    <x v="0"/>
  </r>
  <r>
    <x v="2148"/>
    <x v="14"/>
    <s v="Nigeria"/>
    <x v="2"/>
    <n v="23"/>
    <n v="0.05"/>
    <n v="91"/>
    <x v="926"/>
    <x v="4"/>
    <x v="10"/>
    <x v="3"/>
    <n v="0"/>
    <x v="0"/>
  </r>
  <r>
    <x v="942"/>
    <x v="2"/>
    <s v="Nigeria"/>
    <x v="2"/>
    <s v="NULL"/>
    <s v="NULL"/>
    <n v="16"/>
    <x v="926"/>
    <x v="4"/>
    <x v="10"/>
    <x v="3"/>
    <s v="NULL"/>
    <x v="1"/>
  </r>
  <r>
    <x v="2149"/>
    <x v="1"/>
    <s v="Singapore"/>
    <x v="0"/>
    <s v="NULL"/>
    <s v="NULL"/>
    <n v="8600"/>
    <x v="926"/>
    <x v="4"/>
    <x v="10"/>
    <x v="2"/>
    <s v="NULL"/>
    <x v="1"/>
  </r>
  <r>
    <x v="2150"/>
    <x v="9"/>
    <s v="Brazil"/>
    <x v="3"/>
    <n v="100"/>
    <n v="0.15"/>
    <n v="250"/>
    <x v="927"/>
    <x v="4"/>
    <x v="10"/>
    <x v="4"/>
    <n v="0"/>
    <x v="0"/>
  </r>
  <r>
    <x v="69"/>
    <x v="5"/>
    <s v="United States"/>
    <x v="11"/>
    <n v="90"/>
    <n v="0.08"/>
    <n v="379"/>
    <x v="927"/>
    <x v="4"/>
    <x v="10"/>
    <x v="4"/>
    <n v="0"/>
    <x v="0"/>
  </r>
  <r>
    <x v="101"/>
    <x v="2"/>
    <s v="Canada"/>
    <x v="0"/>
    <n v="70"/>
    <s v="NULL"/>
    <n v="122"/>
    <x v="927"/>
    <x v="4"/>
    <x v="10"/>
    <x v="4"/>
    <s v="NULL"/>
    <x v="0"/>
  </r>
  <r>
    <x v="2151"/>
    <x v="25"/>
    <s v="Germany"/>
    <x v="3"/>
    <n v="55"/>
    <n v="0.15"/>
    <n v="95"/>
    <x v="927"/>
    <x v="4"/>
    <x v="10"/>
    <x v="3"/>
    <n v="0"/>
    <x v="0"/>
  </r>
  <r>
    <x v="2152"/>
    <x v="14"/>
    <s v="Sweden"/>
    <x v="2"/>
    <n v="12"/>
    <s v="NULL"/>
    <n v="67"/>
    <x v="927"/>
    <x v="4"/>
    <x v="10"/>
    <x v="3"/>
    <s v="NULL"/>
    <x v="0"/>
  </r>
  <r>
    <x v="113"/>
    <x v="1"/>
    <s v="United States"/>
    <x v="0"/>
    <n v="1280"/>
    <n v="0.2"/>
    <n v="4900"/>
    <x v="928"/>
    <x v="4"/>
    <x v="11"/>
    <x v="2"/>
    <n v="0"/>
    <x v="0"/>
  </r>
  <r>
    <x v="2153"/>
    <x v="5"/>
    <s v="United States"/>
    <x v="0"/>
    <n v="140"/>
    <n v="0.16"/>
    <n v="910"/>
    <x v="928"/>
    <x v="4"/>
    <x v="11"/>
    <x v="4"/>
    <n v="0"/>
    <x v="0"/>
  </r>
  <r>
    <x v="2027"/>
    <x v="14"/>
    <s v="Germany"/>
    <x v="3"/>
    <n v="100"/>
    <n v="0.1"/>
    <n v="188"/>
    <x v="928"/>
    <x v="4"/>
    <x v="11"/>
    <x v="4"/>
    <n v="0"/>
    <x v="0"/>
  </r>
  <r>
    <x v="987"/>
    <x v="14"/>
    <s v="United States"/>
    <x v="0"/>
    <n v="70"/>
    <n v="0.1"/>
    <n v="1300"/>
    <x v="928"/>
    <x v="4"/>
    <x v="11"/>
    <x v="2"/>
    <n v="0"/>
    <x v="0"/>
  </r>
  <r>
    <x v="181"/>
    <x v="19"/>
    <s v="United States"/>
    <x v="4"/>
    <n v="45"/>
    <s v="NULL"/>
    <n v="496"/>
    <x v="928"/>
    <x v="4"/>
    <x v="11"/>
    <x v="4"/>
    <s v="NULL"/>
    <x v="0"/>
  </r>
  <r>
    <x v="616"/>
    <x v="1"/>
    <s v="India"/>
    <x v="2"/>
    <n v="40"/>
    <s v="NULL"/>
    <n v="44"/>
    <x v="928"/>
    <x v="4"/>
    <x v="11"/>
    <x v="3"/>
    <s v="NULL"/>
    <x v="0"/>
  </r>
  <r>
    <x v="1799"/>
    <x v="5"/>
    <s v="United States"/>
    <x v="0"/>
    <n v="30"/>
    <n v="0.2"/>
    <n v="173"/>
    <x v="928"/>
    <x v="4"/>
    <x v="11"/>
    <x v="4"/>
    <n v="0"/>
    <x v="0"/>
  </r>
  <r>
    <x v="2154"/>
    <x v="16"/>
    <s v="United States"/>
    <x v="7"/>
    <n v="29"/>
    <n v="0.1"/>
    <n v="169"/>
    <x v="928"/>
    <x v="4"/>
    <x v="11"/>
    <x v="4"/>
    <n v="0"/>
    <x v="0"/>
  </r>
  <r>
    <x v="2155"/>
    <x v="2"/>
    <s v="Germany"/>
    <x v="3"/>
    <n v="26"/>
    <n v="0.36"/>
    <s v="NULL"/>
    <x v="928"/>
    <x v="4"/>
    <x v="11"/>
    <x v="1"/>
    <n v="0"/>
    <x v="0"/>
  </r>
  <r>
    <x v="2156"/>
    <x v="7"/>
    <s v="United States"/>
    <x v="3"/>
    <s v="NULL"/>
    <s v="NULL"/>
    <n v="221"/>
    <x v="928"/>
    <x v="4"/>
    <x v="11"/>
    <x v="4"/>
    <s v="NULL"/>
    <x v="1"/>
  </r>
  <r>
    <x v="2157"/>
    <x v="16"/>
    <s v="United States"/>
    <x v="5"/>
    <s v="NULL"/>
    <n v="1"/>
    <n v="117"/>
    <x v="928"/>
    <x v="4"/>
    <x v="11"/>
    <x v="4"/>
    <n v="1"/>
    <x v="0"/>
  </r>
  <r>
    <x v="2158"/>
    <x v="0"/>
    <s v="Ghana"/>
    <x v="3"/>
    <s v="NULL"/>
    <s v="NULL"/>
    <s v="NULL"/>
    <x v="928"/>
    <x v="4"/>
    <x v="11"/>
    <x v="1"/>
    <s v="NULL"/>
    <x v="1"/>
  </r>
  <r>
    <x v="1577"/>
    <x v="0"/>
    <s v="United States"/>
    <x v="7"/>
    <n v="81"/>
    <s v="NULL"/>
    <n v="212"/>
    <x v="929"/>
    <x v="4"/>
    <x v="11"/>
    <x v="4"/>
    <s v="NULL"/>
    <x v="0"/>
  </r>
  <r>
    <x v="2159"/>
    <x v="3"/>
    <s v="United Kingdom"/>
    <x v="5"/>
    <n v="38"/>
    <n v="0.1"/>
    <n v="123"/>
    <x v="929"/>
    <x v="4"/>
    <x v="11"/>
    <x v="4"/>
    <n v="0"/>
    <x v="0"/>
  </r>
  <r>
    <x v="1657"/>
    <x v="2"/>
    <s v="United States"/>
    <x v="8"/>
    <n v="30"/>
    <s v="NULL"/>
    <n v="47"/>
    <x v="929"/>
    <x v="4"/>
    <x v="11"/>
    <x v="3"/>
    <s v="NULL"/>
    <x v="0"/>
  </r>
  <r>
    <x v="1368"/>
    <x v="2"/>
    <s v="India"/>
    <x v="4"/>
    <n v="300"/>
    <s v="NULL"/>
    <n v="1100"/>
    <x v="930"/>
    <x v="4"/>
    <x v="11"/>
    <x v="2"/>
    <s v="NULL"/>
    <x v="0"/>
  </r>
  <r>
    <x v="2160"/>
    <x v="5"/>
    <s v="United States"/>
    <x v="2"/>
    <n v="95"/>
    <n v="0.3"/>
    <n v="44"/>
    <x v="930"/>
    <x v="4"/>
    <x v="11"/>
    <x v="3"/>
    <n v="0"/>
    <x v="0"/>
  </r>
  <r>
    <x v="2161"/>
    <x v="9"/>
    <s v="United States"/>
    <x v="5"/>
    <s v="NULL"/>
    <s v="NULL"/>
    <n v="310"/>
    <x v="930"/>
    <x v="4"/>
    <x v="11"/>
    <x v="4"/>
    <s v="NULL"/>
    <x v="1"/>
  </r>
  <r>
    <x v="2162"/>
    <x v="1"/>
    <s v="United States"/>
    <x v="0"/>
    <s v="NULL"/>
    <s v="NULL"/>
    <n v="287"/>
    <x v="930"/>
    <x v="4"/>
    <x v="11"/>
    <x v="4"/>
    <s v="NULL"/>
    <x v="1"/>
  </r>
  <r>
    <x v="1852"/>
    <x v="11"/>
    <s v="Israel"/>
    <x v="0"/>
    <s v="NULL"/>
    <s v="NULL"/>
    <n v="231"/>
    <x v="931"/>
    <x v="4"/>
    <x v="11"/>
    <x v="4"/>
    <s v="NULL"/>
    <x v="1"/>
  </r>
  <r>
    <x v="1377"/>
    <x v="0"/>
    <s v="United States"/>
    <x v="1"/>
    <n v="80"/>
    <s v="NULL"/>
    <n v="974"/>
    <x v="932"/>
    <x v="4"/>
    <x v="11"/>
    <x v="4"/>
    <s v="NULL"/>
    <x v="0"/>
  </r>
  <r>
    <x v="418"/>
    <x v="3"/>
    <s v="United States"/>
    <x v="0"/>
    <n v="24"/>
    <s v="NULL"/>
    <n v="1200"/>
    <x v="932"/>
    <x v="4"/>
    <x v="11"/>
    <x v="2"/>
    <s v="NULL"/>
    <x v="0"/>
  </r>
  <r>
    <x v="2163"/>
    <x v="14"/>
    <s v="United States"/>
    <x v="2"/>
    <n v="20"/>
    <n v="7.0000000000000007E-2"/>
    <n v="78"/>
    <x v="932"/>
    <x v="4"/>
    <x v="11"/>
    <x v="3"/>
    <n v="0"/>
    <x v="0"/>
  </r>
  <r>
    <x v="1077"/>
    <x v="16"/>
    <s v="United States"/>
    <x v="3"/>
    <s v="NULL"/>
    <s v="NULL"/>
    <n v="905"/>
    <x v="932"/>
    <x v="4"/>
    <x v="11"/>
    <x v="4"/>
    <s v="NULL"/>
    <x v="1"/>
  </r>
  <r>
    <x v="866"/>
    <x v="18"/>
    <s v="United States"/>
    <x v="1"/>
    <n v="40"/>
    <s v="NULL"/>
    <n v="280"/>
    <x v="933"/>
    <x v="4"/>
    <x v="11"/>
    <x v="4"/>
    <s v="NULL"/>
    <x v="0"/>
  </r>
  <r>
    <x v="2164"/>
    <x v="2"/>
    <s v="Brazil"/>
    <x v="1"/>
    <n v="25"/>
    <n v="0.1"/>
    <s v="NULL"/>
    <x v="933"/>
    <x v="4"/>
    <x v="11"/>
    <x v="1"/>
    <n v="0"/>
    <x v="0"/>
  </r>
  <r>
    <x v="801"/>
    <x v="10"/>
    <s v="United States"/>
    <x v="9"/>
    <s v="NULL"/>
    <n v="0.1"/>
    <n v="361"/>
    <x v="933"/>
    <x v="4"/>
    <x v="11"/>
    <x v="4"/>
    <n v="0"/>
    <x v="0"/>
  </r>
  <r>
    <x v="2165"/>
    <x v="23"/>
    <s v="United States"/>
    <x v="11"/>
    <s v="NULL"/>
    <n v="7.0000000000000007E-2"/>
    <n v="330"/>
    <x v="933"/>
    <x v="4"/>
    <x v="11"/>
    <x v="4"/>
    <n v="0"/>
    <x v="0"/>
  </r>
  <r>
    <x v="2166"/>
    <x v="16"/>
    <s v="United States"/>
    <x v="2"/>
    <n v="140"/>
    <n v="1"/>
    <n v="117"/>
    <x v="934"/>
    <x v="4"/>
    <x v="11"/>
    <x v="4"/>
    <n v="1"/>
    <x v="0"/>
  </r>
  <r>
    <x v="572"/>
    <x v="14"/>
    <s v="United States"/>
    <x v="8"/>
    <n v="15"/>
    <n v="0.2"/>
    <n v="24"/>
    <x v="934"/>
    <x v="4"/>
    <x v="11"/>
    <x v="3"/>
    <n v="0"/>
    <x v="0"/>
  </r>
  <r>
    <x v="2167"/>
    <x v="18"/>
    <s v="United States"/>
    <x v="3"/>
    <s v="NULL"/>
    <s v="NULL"/>
    <s v="NULL"/>
    <x v="934"/>
    <x v="4"/>
    <x v="11"/>
    <x v="1"/>
    <s v="NULL"/>
    <x v="1"/>
  </r>
  <r>
    <x v="938"/>
    <x v="11"/>
    <s v="Germany"/>
    <x v="7"/>
    <n v="180"/>
    <n v="0.16"/>
    <n v="646"/>
    <x v="935"/>
    <x v="4"/>
    <x v="11"/>
    <x v="4"/>
    <n v="0"/>
    <x v="0"/>
  </r>
  <r>
    <x v="2168"/>
    <x v="2"/>
    <s v="United States"/>
    <x v="3"/>
    <n v="138"/>
    <n v="0.2"/>
    <n v="472"/>
    <x v="935"/>
    <x v="4"/>
    <x v="11"/>
    <x v="4"/>
    <n v="0"/>
    <x v="0"/>
  </r>
  <r>
    <x v="2169"/>
    <x v="0"/>
    <s v="Canada"/>
    <x v="5"/>
    <n v="50"/>
    <n v="0.08"/>
    <n v="91"/>
    <x v="935"/>
    <x v="4"/>
    <x v="11"/>
    <x v="3"/>
    <n v="0"/>
    <x v="0"/>
  </r>
  <r>
    <x v="2170"/>
    <x v="7"/>
    <s v="United States"/>
    <x v="5"/>
    <n v="31"/>
    <n v="0.08"/>
    <n v="114"/>
    <x v="935"/>
    <x v="4"/>
    <x v="11"/>
    <x v="4"/>
    <n v="0"/>
    <x v="0"/>
  </r>
  <r>
    <x v="2171"/>
    <x v="7"/>
    <s v="United States"/>
    <x v="6"/>
    <n v="29"/>
    <n v="0.5"/>
    <n v="3"/>
    <x v="935"/>
    <x v="4"/>
    <x v="11"/>
    <x v="0"/>
    <n v="0"/>
    <x v="0"/>
  </r>
  <r>
    <x v="2172"/>
    <x v="6"/>
    <s v="United States"/>
    <x v="12"/>
    <s v="NULL"/>
    <n v="0.26"/>
    <n v="1000"/>
    <x v="935"/>
    <x v="4"/>
    <x v="11"/>
    <x v="2"/>
    <n v="0"/>
    <x v="0"/>
  </r>
  <r>
    <x v="2173"/>
    <x v="2"/>
    <s v="Australia"/>
    <x v="0"/>
    <s v="NULL"/>
    <s v="NULL"/>
    <s v="NULL"/>
    <x v="935"/>
    <x v="4"/>
    <x v="11"/>
    <x v="1"/>
    <s v="NULL"/>
    <x v="1"/>
  </r>
  <r>
    <x v="2174"/>
    <x v="21"/>
    <s v="United States"/>
    <x v="3"/>
    <s v="NULL"/>
    <s v="NULL"/>
    <n v="136"/>
    <x v="935"/>
    <x v="4"/>
    <x v="11"/>
    <x v="4"/>
    <s v="NULL"/>
    <x v="1"/>
  </r>
  <r>
    <x v="2175"/>
    <x v="18"/>
    <s v="Australia"/>
    <x v="8"/>
    <s v="NULL"/>
    <n v="0.17"/>
    <n v="73"/>
    <x v="936"/>
    <x v="4"/>
    <x v="11"/>
    <x v="3"/>
    <n v="0"/>
    <x v="0"/>
  </r>
  <r>
    <x v="2176"/>
    <x v="2"/>
    <s v="India"/>
    <x v="3"/>
    <s v="NULL"/>
    <n v="1"/>
    <n v="56"/>
    <x v="936"/>
    <x v="4"/>
    <x v="11"/>
    <x v="3"/>
    <n v="1"/>
    <x v="0"/>
  </r>
  <r>
    <x v="2177"/>
    <x v="3"/>
    <s v="Israel"/>
    <x v="6"/>
    <n v="100"/>
    <n v="0.14000000000000001"/>
    <n v="1"/>
    <x v="937"/>
    <x v="4"/>
    <x v="11"/>
    <x v="0"/>
    <n v="0"/>
    <x v="0"/>
  </r>
  <r>
    <x v="2178"/>
    <x v="3"/>
    <s v="United States"/>
    <x v="1"/>
    <n v="55"/>
    <n v="0.1"/>
    <n v="21"/>
    <x v="937"/>
    <x v="4"/>
    <x v="11"/>
    <x v="3"/>
    <n v="0"/>
    <x v="0"/>
  </r>
  <r>
    <x v="13"/>
    <x v="10"/>
    <s v="United States"/>
    <x v="7"/>
    <n v="13"/>
    <n v="0.03"/>
    <n v="187"/>
    <x v="938"/>
    <x v="4"/>
    <x v="11"/>
    <x v="4"/>
    <n v="0"/>
    <x v="0"/>
  </r>
  <r>
    <x v="383"/>
    <x v="2"/>
    <s v="United States"/>
    <x v="0"/>
    <n v="870"/>
    <n v="0.05"/>
    <n v="1700"/>
    <x v="939"/>
    <x v="4"/>
    <x v="11"/>
    <x v="2"/>
    <n v="0"/>
    <x v="0"/>
  </r>
  <r>
    <x v="427"/>
    <x v="14"/>
    <s v="United States"/>
    <x v="13"/>
    <n v="50"/>
    <s v="NULL"/>
    <n v="2300"/>
    <x v="939"/>
    <x v="4"/>
    <x v="11"/>
    <x v="2"/>
    <s v="NULL"/>
    <x v="0"/>
  </r>
  <r>
    <x v="2179"/>
    <x v="9"/>
    <s v="Singapore"/>
    <x v="3"/>
    <n v="40"/>
    <n v="0.8"/>
    <s v="NULL"/>
    <x v="939"/>
    <x v="4"/>
    <x v="11"/>
    <x v="1"/>
    <n v="0"/>
    <x v="0"/>
  </r>
  <r>
    <x v="481"/>
    <x v="24"/>
    <s v="United States"/>
    <x v="0"/>
    <n v="110"/>
    <n v="0.05"/>
    <n v="214"/>
    <x v="940"/>
    <x v="4"/>
    <x v="11"/>
    <x v="4"/>
    <n v="0"/>
    <x v="0"/>
  </r>
  <r>
    <x v="1628"/>
    <x v="5"/>
    <s v="United States"/>
    <x v="5"/>
    <n v="35"/>
    <n v="0.17"/>
    <n v="215"/>
    <x v="940"/>
    <x v="4"/>
    <x v="11"/>
    <x v="4"/>
    <n v="0"/>
    <x v="0"/>
  </r>
  <r>
    <x v="1246"/>
    <x v="14"/>
    <s v="United States"/>
    <x v="7"/>
    <s v="NULL"/>
    <n v="0.1"/>
    <n v="704"/>
    <x v="940"/>
    <x v="4"/>
    <x v="11"/>
    <x v="4"/>
    <n v="0"/>
    <x v="0"/>
  </r>
  <r>
    <x v="2180"/>
    <x v="5"/>
    <s v="United States"/>
    <x v="5"/>
    <s v="NULL"/>
    <n v="0.1"/>
    <n v="209"/>
    <x v="940"/>
    <x v="4"/>
    <x v="11"/>
    <x v="4"/>
    <n v="0"/>
    <x v="0"/>
  </r>
  <r>
    <x v="1041"/>
    <x v="10"/>
    <s v="Canada"/>
    <x v="7"/>
    <s v="NULL"/>
    <n v="0.05"/>
    <n v="178"/>
    <x v="940"/>
    <x v="4"/>
    <x v="11"/>
    <x v="4"/>
    <n v="0"/>
    <x v="0"/>
  </r>
  <r>
    <x v="1092"/>
    <x v="3"/>
    <s v="United States"/>
    <x v="2"/>
    <n v="125"/>
    <n v="0.14000000000000001"/>
    <n v="80"/>
    <x v="941"/>
    <x v="4"/>
    <x v="11"/>
    <x v="3"/>
    <n v="0"/>
    <x v="0"/>
  </r>
  <r>
    <x v="2181"/>
    <x v="0"/>
    <s v="Brazil"/>
    <x v="6"/>
    <n v="83"/>
    <n v="0.82"/>
    <s v="NULL"/>
    <x v="941"/>
    <x v="4"/>
    <x v="11"/>
    <x v="1"/>
    <n v="0"/>
    <x v="0"/>
  </r>
  <r>
    <x v="116"/>
    <x v="9"/>
    <s v="Australia"/>
    <x v="3"/>
    <n v="74"/>
    <n v="0.21"/>
    <s v="NULL"/>
    <x v="941"/>
    <x v="4"/>
    <x v="11"/>
    <x v="1"/>
    <n v="0"/>
    <x v="0"/>
  </r>
  <r>
    <x v="1115"/>
    <x v="0"/>
    <s v="United States"/>
    <x v="5"/>
    <n v="54"/>
    <s v="NULL"/>
    <n v="74"/>
    <x v="941"/>
    <x v="4"/>
    <x v="11"/>
    <x v="3"/>
    <s v="NULL"/>
    <x v="0"/>
  </r>
  <r>
    <x v="1790"/>
    <x v="9"/>
    <s v="United States"/>
    <x v="8"/>
    <n v="52"/>
    <n v="0.2"/>
    <s v="NULL"/>
    <x v="941"/>
    <x v="4"/>
    <x v="11"/>
    <x v="1"/>
    <n v="0"/>
    <x v="0"/>
  </r>
  <r>
    <x v="2182"/>
    <x v="14"/>
    <s v="Brazil"/>
    <x v="5"/>
    <n v="50"/>
    <s v="NULL"/>
    <n v="104"/>
    <x v="941"/>
    <x v="4"/>
    <x v="11"/>
    <x v="4"/>
    <s v="NULL"/>
    <x v="0"/>
  </r>
  <r>
    <x v="2183"/>
    <x v="5"/>
    <s v="Canada"/>
    <x v="7"/>
    <n v="80"/>
    <n v="0.14000000000000001"/>
    <n v="293"/>
    <x v="942"/>
    <x v="4"/>
    <x v="11"/>
    <x v="4"/>
    <n v="0"/>
    <x v="0"/>
  </r>
  <r>
    <x v="2184"/>
    <x v="6"/>
    <s v="Israel"/>
    <x v="7"/>
    <n v="12"/>
    <n v="0.09"/>
    <n v="205"/>
    <x v="942"/>
    <x v="4"/>
    <x v="11"/>
    <x v="4"/>
    <n v="0"/>
    <x v="0"/>
  </r>
  <r>
    <x v="2185"/>
    <x v="7"/>
    <s v="United States"/>
    <x v="8"/>
    <n v="5"/>
    <n v="0.15"/>
    <n v="11"/>
    <x v="942"/>
    <x v="4"/>
    <x v="11"/>
    <x v="3"/>
    <n v="0"/>
    <x v="0"/>
  </r>
  <r>
    <x v="148"/>
    <x v="9"/>
    <s v="Singapore"/>
    <x v="3"/>
    <s v="NULL"/>
    <s v="NULL"/>
    <n v="156"/>
    <x v="942"/>
    <x v="4"/>
    <x v="11"/>
    <x v="4"/>
    <s v="NULL"/>
    <x v="1"/>
  </r>
  <r>
    <x v="2186"/>
    <x v="21"/>
    <s v="United States"/>
    <x v="1"/>
    <s v="NULL"/>
    <n v="1"/>
    <n v="77"/>
    <x v="942"/>
    <x v="4"/>
    <x v="11"/>
    <x v="3"/>
    <n v="1"/>
    <x v="0"/>
  </r>
  <r>
    <x v="2023"/>
    <x v="16"/>
    <s v="United States"/>
    <x v="7"/>
    <s v="NULL"/>
    <n v="0.1"/>
    <n v="253"/>
    <x v="942"/>
    <x v="4"/>
    <x v="11"/>
    <x v="4"/>
    <n v="0"/>
    <x v="0"/>
  </r>
  <r>
    <x v="2187"/>
    <x v="0"/>
    <s v="United States"/>
    <x v="3"/>
    <s v="NULL"/>
    <s v="NULL"/>
    <n v="467"/>
    <x v="942"/>
    <x v="4"/>
    <x v="11"/>
    <x v="4"/>
    <s v="NULL"/>
    <x v="1"/>
  </r>
  <r>
    <x v="1979"/>
    <x v="5"/>
    <s v="United States"/>
    <x v="0"/>
    <n v="250"/>
    <n v="0.13"/>
    <n v="791"/>
    <x v="943"/>
    <x v="4"/>
    <x v="11"/>
    <x v="4"/>
    <n v="0"/>
    <x v="0"/>
  </r>
  <r>
    <x v="1135"/>
    <x v="14"/>
    <s v="United States"/>
    <x v="0"/>
    <n v="220"/>
    <n v="0.12"/>
    <n v="665"/>
    <x v="943"/>
    <x v="4"/>
    <x v="11"/>
    <x v="4"/>
    <n v="0"/>
    <x v="0"/>
  </r>
  <r>
    <x v="2188"/>
    <x v="5"/>
    <s v="United States"/>
    <x v="0"/>
    <n v="16"/>
    <n v="0.37"/>
    <n v="380"/>
    <x v="943"/>
    <x v="4"/>
    <x v="11"/>
    <x v="4"/>
    <n v="0"/>
    <x v="0"/>
  </r>
  <r>
    <x v="2189"/>
    <x v="2"/>
    <s v="United States"/>
    <x v="0"/>
    <s v="NULL"/>
    <n v="0.15"/>
    <n v="305"/>
    <x v="943"/>
    <x v="4"/>
    <x v="11"/>
    <x v="4"/>
    <n v="0"/>
    <x v="0"/>
  </r>
  <r>
    <x v="2190"/>
    <x v="16"/>
    <s v="Israel"/>
    <x v="8"/>
    <n v="11"/>
    <s v="NULL"/>
    <n v="15"/>
    <x v="944"/>
    <x v="4"/>
    <x v="11"/>
    <x v="3"/>
    <s v="NULL"/>
    <x v="0"/>
  </r>
  <r>
    <x v="2191"/>
    <x v="0"/>
    <s v="United States"/>
    <x v="8"/>
    <s v="NULL"/>
    <s v="NULL"/>
    <n v="45"/>
    <x v="945"/>
    <x v="4"/>
    <x v="11"/>
    <x v="3"/>
    <s v="NULL"/>
    <x v="1"/>
  </r>
  <r>
    <x v="192"/>
    <x v="25"/>
    <s v="United States"/>
    <x v="0"/>
    <n v="784"/>
    <n v="0.13"/>
    <n v="1900"/>
    <x v="946"/>
    <x v="4"/>
    <x v="11"/>
    <x v="2"/>
    <n v="0"/>
    <x v="0"/>
  </r>
  <r>
    <x v="2192"/>
    <x v="9"/>
    <s v="United States"/>
    <x v="0"/>
    <s v="NULL"/>
    <n v="0.1"/>
    <n v="169"/>
    <x v="946"/>
    <x v="4"/>
    <x v="11"/>
    <x v="4"/>
    <n v="0"/>
    <x v="0"/>
  </r>
  <r>
    <x v="2193"/>
    <x v="0"/>
    <s v="United States"/>
    <x v="8"/>
    <s v="NULL"/>
    <s v="NULL"/>
    <n v="20"/>
    <x v="946"/>
    <x v="4"/>
    <x v="11"/>
    <x v="3"/>
    <s v="NULL"/>
    <x v="1"/>
  </r>
  <r>
    <x v="2100"/>
    <x v="5"/>
    <s v="United States"/>
    <x v="7"/>
    <n v="175"/>
    <n v="0.33"/>
    <n v="255"/>
    <x v="947"/>
    <x v="4"/>
    <x v="11"/>
    <x v="4"/>
    <n v="0"/>
    <x v="0"/>
  </r>
  <r>
    <x v="2194"/>
    <x v="5"/>
    <s v="United States"/>
    <x v="5"/>
    <n v="90"/>
    <n v="0.2"/>
    <n v="218"/>
    <x v="947"/>
    <x v="4"/>
    <x v="11"/>
    <x v="4"/>
    <n v="0"/>
    <x v="0"/>
  </r>
  <r>
    <x v="915"/>
    <x v="23"/>
    <s v="United States"/>
    <x v="7"/>
    <n v="60"/>
    <n v="0.08"/>
    <n v="201"/>
    <x v="947"/>
    <x v="4"/>
    <x v="11"/>
    <x v="4"/>
    <n v="0"/>
    <x v="0"/>
  </r>
  <r>
    <x v="2195"/>
    <x v="2"/>
    <s v="Kenya"/>
    <x v="8"/>
    <n v="54"/>
    <n v="0.09"/>
    <n v="42"/>
    <x v="947"/>
    <x v="4"/>
    <x v="11"/>
    <x v="3"/>
    <n v="0"/>
    <x v="0"/>
  </r>
  <r>
    <x v="1717"/>
    <x v="5"/>
    <s v="Chile"/>
    <x v="5"/>
    <n v="30"/>
    <s v="NULL"/>
    <n v="204"/>
    <x v="947"/>
    <x v="4"/>
    <x v="11"/>
    <x v="4"/>
    <s v="NULL"/>
    <x v="0"/>
  </r>
  <r>
    <x v="2196"/>
    <x v="8"/>
    <s v="Australia"/>
    <x v="5"/>
    <n v="7"/>
    <s v="NULL"/>
    <n v="26"/>
    <x v="947"/>
    <x v="4"/>
    <x v="11"/>
    <x v="3"/>
    <s v="NULL"/>
    <x v="0"/>
  </r>
  <r>
    <x v="2197"/>
    <x v="14"/>
    <s v="United States"/>
    <x v="0"/>
    <s v="NULL"/>
    <n v="0.02"/>
    <n v="24"/>
    <x v="947"/>
    <x v="4"/>
    <x v="11"/>
    <x v="3"/>
    <n v="0"/>
    <x v="0"/>
  </r>
  <r>
    <x v="1294"/>
    <x v="21"/>
    <s v="Brazil"/>
    <x v="2"/>
    <n v="47"/>
    <n v="0.1"/>
    <n v="40"/>
    <x v="948"/>
    <x v="4"/>
    <x v="11"/>
    <x v="3"/>
    <n v="0"/>
    <x v="0"/>
  </r>
  <r>
    <x v="1431"/>
    <x v="10"/>
    <s v="United Kingdom"/>
    <x v="5"/>
    <n v="30"/>
    <n v="0.12"/>
    <n v="105"/>
    <x v="948"/>
    <x v="4"/>
    <x v="11"/>
    <x v="4"/>
    <n v="0"/>
    <x v="0"/>
  </r>
  <r>
    <x v="1961"/>
    <x v="16"/>
    <s v="United States"/>
    <x v="2"/>
    <s v="NULL"/>
    <n v="0.2"/>
    <n v="160"/>
    <x v="948"/>
    <x v="4"/>
    <x v="11"/>
    <x v="4"/>
    <n v="0"/>
    <x v="0"/>
  </r>
  <r>
    <x v="2198"/>
    <x v="10"/>
    <s v="United Kingdom"/>
    <x v="5"/>
    <s v="NULL"/>
    <n v="1"/>
    <n v="238"/>
    <x v="948"/>
    <x v="4"/>
    <x v="11"/>
    <x v="4"/>
    <n v="1"/>
    <x v="0"/>
  </r>
  <r>
    <x v="2199"/>
    <x v="5"/>
    <s v="United States"/>
    <x v="7"/>
    <s v="NULL"/>
    <n v="0.2"/>
    <n v="301"/>
    <x v="948"/>
    <x v="4"/>
    <x v="11"/>
    <x v="4"/>
    <n v="0"/>
    <x v="0"/>
  </r>
  <r>
    <x v="2200"/>
    <x v="5"/>
    <s v="United States"/>
    <x v="0"/>
    <n v="800"/>
    <n v="0.2"/>
    <n v="75"/>
    <x v="949"/>
    <x v="4"/>
    <x v="11"/>
    <x v="3"/>
    <n v="0"/>
    <x v="0"/>
  </r>
  <r>
    <x v="256"/>
    <x v="10"/>
    <s v="Canada"/>
    <x v="5"/>
    <n v="400"/>
    <n v="0.3"/>
    <n v="300"/>
    <x v="949"/>
    <x v="4"/>
    <x v="11"/>
    <x v="4"/>
    <n v="0"/>
    <x v="0"/>
  </r>
  <r>
    <x v="2201"/>
    <x v="24"/>
    <s v="United States"/>
    <x v="0"/>
    <n v="270"/>
    <n v="0.04"/>
    <n v="1100"/>
    <x v="949"/>
    <x v="4"/>
    <x v="11"/>
    <x v="2"/>
    <n v="0"/>
    <x v="0"/>
  </r>
  <r>
    <x v="2202"/>
    <x v="5"/>
    <s v="United States"/>
    <x v="0"/>
    <n v="130"/>
    <n v="0.25"/>
    <n v="533"/>
    <x v="949"/>
    <x v="4"/>
    <x v="11"/>
    <x v="4"/>
    <n v="0"/>
    <x v="0"/>
  </r>
  <r>
    <x v="63"/>
    <x v="10"/>
    <s v="Israel"/>
    <x v="0"/>
    <n v="100"/>
    <s v="NULL"/>
    <n v="58"/>
    <x v="949"/>
    <x v="4"/>
    <x v="11"/>
    <x v="3"/>
    <s v="NULL"/>
    <x v="0"/>
  </r>
  <r>
    <x v="2203"/>
    <x v="2"/>
    <s v="Brazil"/>
    <x v="11"/>
    <n v="60"/>
    <n v="0.03"/>
    <n v="338"/>
    <x v="949"/>
    <x v="4"/>
    <x v="11"/>
    <x v="4"/>
    <n v="0"/>
    <x v="0"/>
  </r>
  <r>
    <x v="750"/>
    <x v="14"/>
    <s v="United States"/>
    <x v="7"/>
    <n v="60"/>
    <s v="NULL"/>
    <n v="504"/>
    <x v="949"/>
    <x v="4"/>
    <x v="11"/>
    <x v="4"/>
    <s v="NULL"/>
    <x v="0"/>
  </r>
  <r>
    <x v="1307"/>
    <x v="1"/>
    <s v="Australia"/>
    <x v="3"/>
    <n v="50"/>
    <n v="0.17"/>
    <n v="165"/>
    <x v="949"/>
    <x v="4"/>
    <x v="11"/>
    <x v="4"/>
    <n v="0"/>
    <x v="0"/>
  </r>
  <r>
    <x v="2204"/>
    <x v="2"/>
    <s v="United States"/>
    <x v="5"/>
    <n v="48"/>
    <n v="0.3"/>
    <n v="114"/>
    <x v="949"/>
    <x v="4"/>
    <x v="11"/>
    <x v="4"/>
    <n v="0"/>
    <x v="0"/>
  </r>
  <r>
    <x v="1080"/>
    <x v="5"/>
    <s v="Canada"/>
    <x v="0"/>
    <n v="40"/>
    <s v="NULL"/>
    <n v="237"/>
    <x v="949"/>
    <x v="4"/>
    <x v="11"/>
    <x v="4"/>
    <s v="NULL"/>
    <x v="0"/>
  </r>
  <r>
    <x v="2205"/>
    <x v="19"/>
    <s v="Canada"/>
    <x v="2"/>
    <n v="12"/>
    <s v="NULL"/>
    <n v="102"/>
    <x v="949"/>
    <x v="4"/>
    <x v="11"/>
    <x v="4"/>
    <s v="NULL"/>
    <x v="0"/>
  </r>
  <r>
    <x v="2206"/>
    <x v="5"/>
    <s v="United States"/>
    <x v="0"/>
    <s v="NULL"/>
    <n v="0.12"/>
    <n v="272"/>
    <x v="949"/>
    <x v="4"/>
    <x v="11"/>
    <x v="4"/>
    <n v="0"/>
    <x v="0"/>
  </r>
  <r>
    <x v="2207"/>
    <x v="14"/>
    <s v="United States"/>
    <x v="3"/>
    <s v="NULL"/>
    <n v="0.15"/>
    <n v="814"/>
    <x v="949"/>
    <x v="4"/>
    <x v="11"/>
    <x v="4"/>
    <n v="0"/>
    <x v="0"/>
  </r>
  <r>
    <x v="2208"/>
    <x v="18"/>
    <s v="United States"/>
    <x v="6"/>
    <s v="NULL"/>
    <n v="1"/>
    <n v="7"/>
    <x v="949"/>
    <x v="4"/>
    <x v="11"/>
    <x v="0"/>
    <n v="1"/>
    <x v="0"/>
  </r>
  <r>
    <x v="294"/>
    <x v="4"/>
    <s v="United States"/>
    <x v="0"/>
    <s v="NULL"/>
    <n v="0.1"/>
    <n v="166"/>
    <x v="949"/>
    <x v="4"/>
    <x v="11"/>
    <x v="4"/>
    <n v="0"/>
    <x v="0"/>
  </r>
  <r>
    <x v="1024"/>
    <x v="11"/>
    <s v="United States"/>
    <x v="0"/>
    <s v="NULL"/>
    <s v="NULL"/>
    <n v="504"/>
    <x v="949"/>
    <x v="4"/>
    <x v="11"/>
    <x v="4"/>
    <s v="NULL"/>
    <x v="1"/>
  </r>
  <r>
    <x v="2209"/>
    <x v="18"/>
    <s v="United States"/>
    <x v="0"/>
    <s v="NULL"/>
    <s v="NULL"/>
    <n v="478"/>
    <x v="949"/>
    <x v="4"/>
    <x v="11"/>
    <x v="4"/>
    <s v="NULL"/>
    <x v="1"/>
  </r>
  <r>
    <x v="60"/>
    <x v="2"/>
    <s v="United States"/>
    <x v="0"/>
    <n v="500"/>
    <n v="0.15"/>
    <n v="1400"/>
    <x v="950"/>
    <x v="4"/>
    <x v="11"/>
    <x v="2"/>
    <n v="0"/>
    <x v="0"/>
  </r>
  <r>
    <x v="1607"/>
    <x v="23"/>
    <s v="Brazil"/>
    <x v="4"/>
    <n v="500"/>
    <n v="0.15"/>
    <n v="507"/>
    <x v="950"/>
    <x v="4"/>
    <x v="11"/>
    <x v="4"/>
    <n v="0"/>
    <x v="0"/>
  </r>
  <r>
    <x v="834"/>
    <x v="11"/>
    <s v="United States"/>
    <x v="0"/>
    <n v="337"/>
    <s v="NULL"/>
    <n v="1300"/>
    <x v="950"/>
    <x v="4"/>
    <x v="11"/>
    <x v="2"/>
    <s v="NULL"/>
    <x v="0"/>
  </r>
  <r>
    <x v="2210"/>
    <x v="1"/>
    <s v="United States"/>
    <x v="0"/>
    <n v="63"/>
    <s v="NULL"/>
    <n v="535"/>
    <x v="950"/>
    <x v="4"/>
    <x v="11"/>
    <x v="4"/>
    <s v="NULL"/>
    <x v="0"/>
  </r>
  <r>
    <x v="2211"/>
    <x v="6"/>
    <s v="United States"/>
    <x v="7"/>
    <n v="36"/>
    <s v="NULL"/>
    <n v="188"/>
    <x v="950"/>
    <x v="4"/>
    <x v="11"/>
    <x v="4"/>
    <s v="NULL"/>
    <x v="0"/>
  </r>
  <r>
    <x v="623"/>
    <x v="10"/>
    <s v="Israel"/>
    <x v="0"/>
    <n v="20"/>
    <n v="0.05"/>
    <n v="76"/>
    <x v="950"/>
    <x v="4"/>
    <x v="11"/>
    <x v="3"/>
    <n v="0"/>
    <x v="0"/>
  </r>
  <r>
    <x v="2212"/>
    <x v="18"/>
    <s v="United States"/>
    <x v="7"/>
    <s v="NULL"/>
    <n v="0.15"/>
    <n v="120"/>
    <x v="950"/>
    <x v="4"/>
    <x v="11"/>
    <x v="4"/>
    <n v="0"/>
    <x v="0"/>
  </r>
  <r>
    <x v="2172"/>
    <x v="6"/>
    <s v="United States"/>
    <x v="12"/>
    <s v="NULL"/>
    <s v="NULL"/>
    <n v="1000"/>
    <x v="950"/>
    <x v="4"/>
    <x v="11"/>
    <x v="2"/>
    <s v="NULL"/>
    <x v="1"/>
  </r>
  <r>
    <x v="491"/>
    <x v="1"/>
    <s v="United States"/>
    <x v="1"/>
    <n v="140"/>
    <n v="0.1"/>
    <n v="30"/>
    <x v="951"/>
    <x v="4"/>
    <x v="11"/>
    <x v="3"/>
    <n v="0"/>
    <x v="0"/>
  </r>
  <r>
    <x v="2213"/>
    <x v="2"/>
    <s v="Canada"/>
    <x v="2"/>
    <n v="50"/>
    <n v="0.1"/>
    <n v="28"/>
    <x v="951"/>
    <x v="4"/>
    <x v="11"/>
    <x v="3"/>
    <n v="0"/>
    <x v="0"/>
  </r>
  <r>
    <x v="2214"/>
    <x v="10"/>
    <s v="Canada"/>
    <x v="8"/>
    <n v="31"/>
    <n v="0.17"/>
    <n v="42"/>
    <x v="951"/>
    <x v="4"/>
    <x v="11"/>
    <x v="3"/>
    <n v="0"/>
    <x v="0"/>
  </r>
  <r>
    <x v="993"/>
    <x v="23"/>
    <s v="United States"/>
    <x v="2"/>
    <s v="NULL"/>
    <s v="NULL"/>
    <n v="76"/>
    <x v="951"/>
    <x v="4"/>
    <x v="11"/>
    <x v="3"/>
    <s v="NULL"/>
    <x v="1"/>
  </r>
  <r>
    <x v="1044"/>
    <x v="15"/>
    <s v="United States"/>
    <x v="7"/>
    <s v="NULL"/>
    <s v="NULL"/>
    <n v="497"/>
    <x v="951"/>
    <x v="4"/>
    <x v="11"/>
    <x v="4"/>
    <s v="NULL"/>
    <x v="1"/>
  </r>
  <r>
    <x v="1869"/>
    <x v="14"/>
    <s v="United States"/>
    <x v="0"/>
    <n v="250"/>
    <n v="0.13"/>
    <n v="679"/>
    <x v="952"/>
    <x v="4"/>
    <x v="11"/>
    <x v="4"/>
    <n v="0"/>
    <x v="0"/>
  </r>
  <r>
    <x v="2215"/>
    <x v="2"/>
    <s v="Canada"/>
    <x v="2"/>
    <n v="216"/>
    <n v="0.17"/>
    <s v="NULL"/>
    <x v="952"/>
    <x v="4"/>
    <x v="11"/>
    <x v="1"/>
    <n v="0"/>
    <x v="0"/>
  </r>
  <r>
    <x v="593"/>
    <x v="1"/>
    <s v="United States"/>
    <x v="3"/>
    <n v="200"/>
    <n v="0.17"/>
    <n v="652"/>
    <x v="952"/>
    <x v="4"/>
    <x v="11"/>
    <x v="4"/>
    <n v="0"/>
    <x v="0"/>
  </r>
  <r>
    <x v="2216"/>
    <x v="5"/>
    <s v="United States"/>
    <x v="0"/>
    <n v="100"/>
    <n v="0.08"/>
    <n v="242"/>
    <x v="952"/>
    <x v="4"/>
    <x v="11"/>
    <x v="4"/>
    <n v="0"/>
    <x v="0"/>
  </r>
  <r>
    <x v="1767"/>
    <x v="21"/>
    <s v="India"/>
    <x v="11"/>
    <n v="80"/>
    <n v="0.04"/>
    <n v="166"/>
    <x v="952"/>
    <x v="4"/>
    <x v="11"/>
    <x v="4"/>
    <n v="0"/>
    <x v="0"/>
  </r>
  <r>
    <x v="143"/>
    <x v="15"/>
    <s v="United States"/>
    <x v="1"/>
    <n v="80"/>
    <s v="NULL"/>
    <n v="85"/>
    <x v="952"/>
    <x v="4"/>
    <x v="11"/>
    <x v="3"/>
    <s v="NULL"/>
    <x v="0"/>
  </r>
  <r>
    <x v="2217"/>
    <x v="21"/>
    <s v="United States"/>
    <x v="8"/>
    <n v="73"/>
    <n v="0.33"/>
    <n v="20"/>
    <x v="952"/>
    <x v="4"/>
    <x v="11"/>
    <x v="3"/>
    <n v="0"/>
    <x v="0"/>
  </r>
  <r>
    <x v="1401"/>
    <x v="30"/>
    <s v="Canada"/>
    <x v="2"/>
    <n v="70"/>
    <n v="0.12"/>
    <n v="163"/>
    <x v="952"/>
    <x v="4"/>
    <x v="11"/>
    <x v="4"/>
    <n v="0"/>
    <x v="0"/>
  </r>
  <r>
    <x v="1729"/>
    <x v="15"/>
    <s v="United States"/>
    <x v="0"/>
    <n v="50"/>
    <s v="NULL"/>
    <n v="44"/>
    <x v="952"/>
    <x v="4"/>
    <x v="11"/>
    <x v="3"/>
    <s v="NULL"/>
    <x v="0"/>
  </r>
  <r>
    <x v="1602"/>
    <x v="5"/>
    <s v="United States"/>
    <x v="5"/>
    <s v="NULL"/>
    <n v="0.16"/>
    <n v="100"/>
    <x v="952"/>
    <x v="4"/>
    <x v="11"/>
    <x v="4"/>
    <n v="0"/>
    <x v="0"/>
  </r>
  <r>
    <x v="2218"/>
    <x v="14"/>
    <s v="Brazil"/>
    <x v="2"/>
    <s v="NULL"/>
    <n v="0.2"/>
    <n v="290"/>
    <x v="952"/>
    <x v="4"/>
    <x v="11"/>
    <x v="4"/>
    <n v="0"/>
    <x v="0"/>
  </r>
  <r>
    <x v="2219"/>
    <x v="1"/>
    <s v="United States"/>
    <x v="1"/>
    <s v="NULL"/>
    <s v="NULL"/>
    <n v="59"/>
    <x v="952"/>
    <x v="4"/>
    <x v="11"/>
    <x v="3"/>
    <s v="NULL"/>
    <x v="1"/>
  </r>
  <r>
    <x v="1870"/>
    <x v="0"/>
    <s v="United States"/>
    <x v="1"/>
    <s v="NULL"/>
    <n v="0.1"/>
    <s v="NULL"/>
    <x v="952"/>
    <x v="4"/>
    <x v="11"/>
    <x v="1"/>
    <n v="0"/>
    <x v="0"/>
  </r>
  <r>
    <x v="2220"/>
    <x v="21"/>
    <s v="Indonesia"/>
    <x v="2"/>
    <s v="NULL"/>
    <n v="0.3"/>
    <n v="20"/>
    <x v="952"/>
    <x v="4"/>
    <x v="11"/>
    <x v="3"/>
    <n v="0"/>
    <x v="0"/>
  </r>
  <r>
    <x v="2221"/>
    <x v="5"/>
    <s v="United States"/>
    <x v="5"/>
    <n v="149"/>
    <s v="NULL"/>
    <n v="244"/>
    <x v="953"/>
    <x v="4"/>
    <x v="11"/>
    <x v="4"/>
    <s v="NULL"/>
    <x v="0"/>
  </r>
  <r>
    <x v="609"/>
    <x v="10"/>
    <s v="Canada"/>
    <x v="8"/>
    <n v="47"/>
    <n v="0.2"/>
    <n v="39"/>
    <x v="953"/>
    <x v="4"/>
    <x v="11"/>
    <x v="3"/>
    <n v="0"/>
    <x v="0"/>
  </r>
  <r>
    <x v="976"/>
    <x v="18"/>
    <s v="United States"/>
    <x v="0"/>
    <n v="40"/>
    <n v="0.04"/>
    <n v="122"/>
    <x v="953"/>
    <x v="4"/>
    <x v="11"/>
    <x v="4"/>
    <n v="0"/>
    <x v="0"/>
  </r>
  <r>
    <x v="2222"/>
    <x v="7"/>
    <s v="United States"/>
    <x v="2"/>
    <n v="13"/>
    <s v="NULL"/>
    <n v="39"/>
    <x v="953"/>
    <x v="4"/>
    <x v="11"/>
    <x v="3"/>
    <s v="NULL"/>
    <x v="0"/>
  </r>
  <r>
    <x v="2223"/>
    <x v="11"/>
    <s v="India"/>
    <x v="11"/>
    <s v="NULL"/>
    <s v="NULL"/>
    <n v="497"/>
    <x v="953"/>
    <x v="4"/>
    <x v="11"/>
    <x v="4"/>
    <s v="NULL"/>
    <x v="1"/>
  </r>
  <r>
    <x v="2224"/>
    <x v="24"/>
    <s v="United States"/>
    <x v="1"/>
    <s v="NULL"/>
    <n v="0.15"/>
    <n v="189"/>
    <x v="953"/>
    <x v="4"/>
    <x v="11"/>
    <x v="4"/>
    <n v="0"/>
    <x v="0"/>
  </r>
  <r>
    <x v="1334"/>
    <x v="1"/>
    <s v="Germany"/>
    <x v="3"/>
    <s v="NULL"/>
    <n v="0.2"/>
    <n v="542"/>
    <x v="953"/>
    <x v="4"/>
    <x v="11"/>
    <x v="4"/>
    <n v="0"/>
    <x v="0"/>
  </r>
  <r>
    <x v="2225"/>
    <x v="10"/>
    <s v="Luxembourg"/>
    <x v="9"/>
    <s v="NULL"/>
    <n v="0.15"/>
    <n v="9"/>
    <x v="953"/>
    <x v="4"/>
    <x v="11"/>
    <x v="0"/>
    <n v="0"/>
    <x v="0"/>
  </r>
  <r>
    <x v="26"/>
    <x v="14"/>
    <s v="United States"/>
    <x v="0"/>
    <n v="713"/>
    <n v="0.23"/>
    <n v="5600"/>
    <x v="954"/>
    <x v="4"/>
    <x v="11"/>
    <x v="2"/>
    <n v="0"/>
    <x v="0"/>
  </r>
  <r>
    <x v="1228"/>
    <x v="3"/>
    <s v="United States"/>
    <x v="0"/>
    <n v="115"/>
    <n v="0.37"/>
    <n v="342"/>
    <x v="954"/>
    <x v="4"/>
    <x v="11"/>
    <x v="4"/>
    <n v="0"/>
    <x v="0"/>
  </r>
  <r>
    <x v="1860"/>
    <x v="21"/>
    <s v="India"/>
    <x v="11"/>
    <n v="100"/>
    <s v="NULL"/>
    <n v="292"/>
    <x v="954"/>
    <x v="4"/>
    <x v="11"/>
    <x v="4"/>
    <s v="NULL"/>
    <x v="0"/>
  </r>
  <r>
    <x v="2226"/>
    <x v="23"/>
    <s v="United States"/>
    <x v="3"/>
    <n v="90"/>
    <s v="NULL"/>
    <n v="107"/>
    <x v="954"/>
    <x v="4"/>
    <x v="11"/>
    <x v="4"/>
    <s v="NULL"/>
    <x v="0"/>
  </r>
  <r>
    <x v="2227"/>
    <x v="22"/>
    <s v="United States"/>
    <x v="5"/>
    <n v="80"/>
    <n v="0.25"/>
    <n v="175"/>
    <x v="954"/>
    <x v="4"/>
    <x v="11"/>
    <x v="4"/>
    <n v="0"/>
    <x v="0"/>
  </r>
  <r>
    <x v="492"/>
    <x v="19"/>
    <s v="United States"/>
    <x v="12"/>
    <n v="60"/>
    <n v="0.05"/>
    <n v="489"/>
    <x v="954"/>
    <x v="4"/>
    <x v="11"/>
    <x v="4"/>
    <n v="0"/>
    <x v="0"/>
  </r>
  <r>
    <x v="1147"/>
    <x v="23"/>
    <s v="Kenya"/>
    <x v="2"/>
    <n v="54"/>
    <n v="0.2"/>
    <n v="26"/>
    <x v="954"/>
    <x v="4"/>
    <x v="11"/>
    <x v="3"/>
    <n v="0"/>
    <x v="0"/>
  </r>
  <r>
    <x v="2228"/>
    <x v="7"/>
    <s v="United States"/>
    <x v="1"/>
    <n v="40"/>
    <s v="NULL"/>
    <n v="71"/>
    <x v="954"/>
    <x v="4"/>
    <x v="11"/>
    <x v="3"/>
    <s v="NULL"/>
    <x v="0"/>
  </r>
  <r>
    <x v="1147"/>
    <x v="23"/>
    <s v="Kenya"/>
    <x v="2"/>
    <n v="30"/>
    <n v="0.1"/>
    <n v="26"/>
    <x v="954"/>
    <x v="4"/>
    <x v="11"/>
    <x v="3"/>
    <n v="0"/>
    <x v="0"/>
  </r>
  <r>
    <x v="2229"/>
    <x v="22"/>
    <s v="United States"/>
    <x v="2"/>
    <n v="23"/>
    <n v="0.3"/>
    <n v="75"/>
    <x v="954"/>
    <x v="4"/>
    <x v="11"/>
    <x v="3"/>
    <n v="0"/>
    <x v="0"/>
  </r>
  <r>
    <x v="182"/>
    <x v="2"/>
    <s v="United States"/>
    <x v="11"/>
    <n v="19"/>
    <n v="0.08"/>
    <n v="266"/>
    <x v="954"/>
    <x v="4"/>
    <x v="11"/>
    <x v="4"/>
    <n v="0"/>
    <x v="0"/>
  </r>
  <r>
    <x v="1800"/>
    <x v="5"/>
    <s v="United States"/>
    <x v="0"/>
    <s v="NULL"/>
    <n v="0.1"/>
    <n v="530"/>
    <x v="954"/>
    <x v="4"/>
    <x v="11"/>
    <x v="4"/>
    <n v="0"/>
    <x v="0"/>
  </r>
  <r>
    <x v="2230"/>
    <x v="4"/>
    <s v="United States"/>
    <x v="0"/>
    <s v="NULL"/>
    <s v="NULL"/>
    <n v="151"/>
    <x v="954"/>
    <x v="4"/>
    <x v="11"/>
    <x v="4"/>
    <s v="NULL"/>
    <x v="1"/>
  </r>
  <r>
    <x v="2231"/>
    <x v="14"/>
    <s v="Brazil"/>
    <x v="5"/>
    <n v="58"/>
    <n v="0.5"/>
    <n v="58"/>
    <x v="955"/>
    <x v="4"/>
    <x v="11"/>
    <x v="3"/>
    <n v="0"/>
    <x v="0"/>
  </r>
  <r>
    <x v="2232"/>
    <x v="21"/>
    <s v="United States"/>
    <x v="6"/>
    <s v="NULL"/>
    <s v="NULL"/>
    <n v="1"/>
    <x v="955"/>
    <x v="4"/>
    <x v="11"/>
    <x v="0"/>
    <s v="NULL"/>
    <x v="1"/>
  </r>
  <r>
    <x v="1742"/>
    <x v="18"/>
    <s v="India"/>
    <x v="7"/>
    <s v="NULL"/>
    <s v="NULL"/>
    <n v="194"/>
    <x v="955"/>
    <x v="4"/>
    <x v="11"/>
    <x v="4"/>
    <s v="NULL"/>
    <x v="1"/>
  </r>
  <r>
    <x v="2233"/>
    <x v="4"/>
    <s v="United Kingdom"/>
    <x v="3"/>
    <s v="NULL"/>
    <s v="NULL"/>
    <s v="NULL"/>
    <x v="955"/>
    <x v="4"/>
    <x v="11"/>
    <x v="1"/>
    <s v="NULL"/>
    <x v="1"/>
  </r>
  <r>
    <x v="18"/>
    <x v="0"/>
    <s v="United States"/>
    <x v="0"/>
    <s v="NULL"/>
    <s v="NULL"/>
    <s v="NULL"/>
    <x v="955"/>
    <x v="4"/>
    <x v="11"/>
    <x v="1"/>
    <s v="NULL"/>
    <x v="1"/>
  </r>
  <r>
    <x v="2234"/>
    <x v="11"/>
    <s v="United States"/>
    <x v="8"/>
    <s v="NULL"/>
    <n v="1"/>
    <n v="20"/>
    <x v="955"/>
    <x v="4"/>
    <x v="11"/>
    <x v="3"/>
    <n v="1"/>
    <x v="0"/>
  </r>
  <r>
    <x v="2235"/>
    <x v="0"/>
    <s v="Norway"/>
    <x v="8"/>
    <s v="NULL"/>
    <s v="NULL"/>
    <n v="10"/>
    <x v="955"/>
    <x v="4"/>
    <x v="11"/>
    <x v="3"/>
    <s v="NULL"/>
    <x v="1"/>
  </r>
  <r>
    <x v="2236"/>
    <x v="10"/>
    <s v="Australia"/>
    <x v="2"/>
    <n v="75"/>
    <n v="1"/>
    <n v="18"/>
    <x v="956"/>
    <x v="4"/>
    <x v="0"/>
    <x v="3"/>
    <n v="1"/>
    <x v="0"/>
  </r>
  <r>
    <x v="2051"/>
    <x v="7"/>
    <s v="Israel"/>
    <x v="6"/>
    <n v="16"/>
    <n v="0.32"/>
    <n v="15"/>
    <x v="956"/>
    <x v="4"/>
    <x v="0"/>
    <x v="3"/>
    <n v="0"/>
    <x v="0"/>
  </r>
  <r>
    <x v="2237"/>
    <x v="10"/>
    <s v="United States"/>
    <x v="16"/>
    <s v="NULL"/>
    <n v="0.5"/>
    <s v="NULL"/>
    <x v="956"/>
    <x v="4"/>
    <x v="0"/>
    <x v="1"/>
    <n v="0"/>
    <x v="0"/>
  </r>
  <r>
    <x v="690"/>
    <x v="11"/>
    <s v="India"/>
    <x v="14"/>
    <n v="1000"/>
    <s v="NULL"/>
    <n v="5000"/>
    <x v="957"/>
    <x v="4"/>
    <x v="0"/>
    <x v="2"/>
    <s v="NULL"/>
    <x v="0"/>
  </r>
  <r>
    <x v="1737"/>
    <x v="14"/>
    <s v="Canada"/>
    <x v="5"/>
    <n v="125"/>
    <n v="0.25"/>
    <n v="681"/>
    <x v="957"/>
    <x v="4"/>
    <x v="0"/>
    <x v="4"/>
    <n v="0"/>
    <x v="0"/>
  </r>
  <r>
    <x v="2238"/>
    <x v="18"/>
    <s v="United States"/>
    <x v="7"/>
    <n v="50"/>
    <s v="NULL"/>
    <n v="229"/>
    <x v="957"/>
    <x v="4"/>
    <x v="0"/>
    <x v="4"/>
    <s v="NULL"/>
    <x v="0"/>
  </r>
  <r>
    <x v="2239"/>
    <x v="18"/>
    <s v="United States"/>
    <x v="2"/>
    <n v="43"/>
    <s v="NULL"/>
    <n v="58"/>
    <x v="957"/>
    <x v="4"/>
    <x v="0"/>
    <x v="3"/>
    <s v="NULL"/>
    <x v="0"/>
  </r>
  <r>
    <x v="2240"/>
    <x v="10"/>
    <s v="United States"/>
    <x v="5"/>
    <n v="40"/>
    <n v="0.06"/>
    <n v="65"/>
    <x v="957"/>
    <x v="4"/>
    <x v="0"/>
    <x v="3"/>
    <n v="0"/>
    <x v="0"/>
  </r>
  <r>
    <x v="2241"/>
    <x v="13"/>
    <s v="Canada"/>
    <x v="3"/>
    <n v="22"/>
    <s v="NULL"/>
    <n v="11"/>
    <x v="957"/>
    <x v="4"/>
    <x v="0"/>
    <x v="3"/>
    <s v="NULL"/>
    <x v="0"/>
  </r>
  <r>
    <x v="2242"/>
    <x v="9"/>
    <s v="Seychelles"/>
    <x v="3"/>
    <s v="NULL"/>
    <s v="NULL"/>
    <n v="11"/>
    <x v="957"/>
    <x v="4"/>
    <x v="0"/>
    <x v="3"/>
    <s v="NULL"/>
    <x v="1"/>
  </r>
  <r>
    <x v="2243"/>
    <x v="18"/>
    <s v="China"/>
    <x v="0"/>
    <s v="NULL"/>
    <s v="NULL"/>
    <n v="1700"/>
    <x v="957"/>
    <x v="4"/>
    <x v="0"/>
    <x v="2"/>
    <s v="NULL"/>
    <x v="1"/>
  </r>
  <r>
    <x v="2244"/>
    <x v="16"/>
    <s v="Australia"/>
    <x v="3"/>
    <s v="NULL"/>
    <n v="1"/>
    <n v="6"/>
    <x v="957"/>
    <x v="4"/>
    <x v="0"/>
    <x v="0"/>
    <n v="1"/>
    <x v="0"/>
  </r>
  <r>
    <x v="1981"/>
    <x v="16"/>
    <s v="United States"/>
    <x v="5"/>
    <n v="136"/>
    <s v="NULL"/>
    <n v="405"/>
    <x v="958"/>
    <x v="4"/>
    <x v="0"/>
    <x v="4"/>
    <s v="NULL"/>
    <x v="0"/>
  </r>
  <r>
    <x v="1758"/>
    <x v="21"/>
    <s v="United States"/>
    <x v="2"/>
    <n v="60"/>
    <n v="0.33"/>
    <n v="51"/>
    <x v="958"/>
    <x v="4"/>
    <x v="0"/>
    <x v="3"/>
    <n v="0"/>
    <x v="0"/>
  </r>
  <r>
    <x v="2245"/>
    <x v="14"/>
    <s v="United States"/>
    <x v="1"/>
    <n v="60"/>
    <n v="0.2"/>
    <n v="510"/>
    <x v="958"/>
    <x v="4"/>
    <x v="0"/>
    <x v="4"/>
    <n v="0"/>
    <x v="0"/>
  </r>
  <r>
    <x v="1484"/>
    <x v="14"/>
    <s v="New Zealand"/>
    <x v="0"/>
    <n v="45"/>
    <s v="NULL"/>
    <n v="130"/>
    <x v="958"/>
    <x v="4"/>
    <x v="0"/>
    <x v="4"/>
    <s v="NULL"/>
    <x v="0"/>
  </r>
  <r>
    <x v="2246"/>
    <x v="2"/>
    <s v="United States"/>
    <x v="0"/>
    <n v="23"/>
    <s v="NULL"/>
    <n v="202"/>
    <x v="958"/>
    <x v="4"/>
    <x v="0"/>
    <x v="4"/>
    <s v="NULL"/>
    <x v="0"/>
  </r>
  <r>
    <x v="2247"/>
    <x v="1"/>
    <s v="Canada"/>
    <x v="6"/>
    <n v="22"/>
    <s v="NULL"/>
    <n v="1"/>
    <x v="958"/>
    <x v="4"/>
    <x v="0"/>
    <x v="0"/>
    <s v="NULL"/>
    <x v="0"/>
  </r>
  <r>
    <x v="371"/>
    <x v="21"/>
    <s v="United States"/>
    <x v="0"/>
    <s v="NULL"/>
    <n v="0.2"/>
    <n v="426"/>
    <x v="958"/>
    <x v="4"/>
    <x v="0"/>
    <x v="4"/>
    <n v="0"/>
    <x v="0"/>
  </r>
  <r>
    <x v="2248"/>
    <x v="2"/>
    <s v="India"/>
    <x v="8"/>
    <s v="NULL"/>
    <s v="NULL"/>
    <n v="12"/>
    <x v="958"/>
    <x v="4"/>
    <x v="0"/>
    <x v="3"/>
    <s v="NULL"/>
    <x v="1"/>
  </r>
  <r>
    <x v="2249"/>
    <x v="19"/>
    <s v="United States"/>
    <x v="8"/>
    <s v="NULL"/>
    <s v="NULL"/>
    <n v="12"/>
    <x v="958"/>
    <x v="4"/>
    <x v="0"/>
    <x v="3"/>
    <s v="NULL"/>
    <x v="1"/>
  </r>
  <r>
    <x v="2250"/>
    <x v="0"/>
    <s v="United States"/>
    <x v="7"/>
    <s v="NULL"/>
    <n v="0.19"/>
    <n v="72"/>
    <x v="958"/>
    <x v="4"/>
    <x v="0"/>
    <x v="3"/>
    <n v="0"/>
    <x v="0"/>
  </r>
  <r>
    <x v="2251"/>
    <x v="4"/>
    <s v="United States"/>
    <x v="1"/>
    <s v="NULL"/>
    <s v="NULL"/>
    <n v="17"/>
    <x v="958"/>
    <x v="4"/>
    <x v="0"/>
    <x v="3"/>
    <s v="NULL"/>
    <x v="1"/>
  </r>
  <r>
    <x v="2252"/>
    <x v="26"/>
    <s v="United States"/>
    <x v="3"/>
    <s v="NULL"/>
    <n v="0.2"/>
    <n v="491"/>
    <x v="958"/>
    <x v="4"/>
    <x v="0"/>
    <x v="4"/>
    <n v="0"/>
    <x v="0"/>
  </r>
  <r>
    <x v="31"/>
    <x v="11"/>
    <s v="United States"/>
    <x v="0"/>
    <n v="840"/>
    <n v="0.06"/>
    <n v="10700"/>
    <x v="959"/>
    <x v="4"/>
    <x v="0"/>
    <x v="2"/>
    <n v="0"/>
    <x v="0"/>
  </r>
  <r>
    <x v="462"/>
    <x v="4"/>
    <s v="United States"/>
    <x v="4"/>
    <n v="39"/>
    <n v="0.02"/>
    <n v="307"/>
    <x v="959"/>
    <x v="4"/>
    <x v="0"/>
    <x v="4"/>
    <n v="0"/>
    <x v="0"/>
  </r>
  <r>
    <x v="2253"/>
    <x v="9"/>
    <s v="Canada"/>
    <x v="3"/>
    <n v="30"/>
    <n v="0.24"/>
    <n v="98"/>
    <x v="959"/>
    <x v="4"/>
    <x v="0"/>
    <x v="3"/>
    <n v="0"/>
    <x v="0"/>
  </r>
  <r>
    <x v="47"/>
    <x v="10"/>
    <s v="Israel"/>
    <x v="11"/>
    <n v="30"/>
    <n v="0.04"/>
    <n v="60"/>
    <x v="959"/>
    <x v="4"/>
    <x v="0"/>
    <x v="3"/>
    <n v="0"/>
    <x v="0"/>
  </r>
  <r>
    <x v="101"/>
    <x v="2"/>
    <s v="Canada"/>
    <x v="0"/>
    <n v="1000"/>
    <n v="0.1"/>
    <n v="122"/>
    <x v="960"/>
    <x v="4"/>
    <x v="0"/>
    <x v="4"/>
    <n v="0"/>
    <x v="0"/>
  </r>
  <r>
    <x v="943"/>
    <x v="16"/>
    <s v="Germany"/>
    <x v="3"/>
    <n v="90"/>
    <s v="NULL"/>
    <n v="214"/>
    <x v="960"/>
    <x v="4"/>
    <x v="0"/>
    <x v="4"/>
    <s v="NULL"/>
    <x v="0"/>
  </r>
  <r>
    <x v="271"/>
    <x v="0"/>
    <s v="Israel"/>
    <x v="0"/>
    <n v="60"/>
    <n v="0.08"/>
    <n v="111"/>
    <x v="960"/>
    <x v="4"/>
    <x v="0"/>
    <x v="4"/>
    <n v="0"/>
    <x v="0"/>
  </r>
  <r>
    <x v="2254"/>
    <x v="14"/>
    <s v="Australia"/>
    <x v="2"/>
    <n v="40"/>
    <n v="0.17"/>
    <n v="41"/>
    <x v="960"/>
    <x v="4"/>
    <x v="0"/>
    <x v="3"/>
    <n v="0"/>
    <x v="0"/>
  </r>
  <r>
    <x v="413"/>
    <x v="10"/>
    <s v="United States"/>
    <x v="0"/>
    <n v="38"/>
    <n v="0.03"/>
    <n v="394"/>
    <x v="960"/>
    <x v="4"/>
    <x v="0"/>
    <x v="4"/>
    <n v="0"/>
    <x v="0"/>
  </r>
  <r>
    <x v="2255"/>
    <x v="8"/>
    <s v="United States"/>
    <x v="8"/>
    <n v="23"/>
    <n v="0.3"/>
    <n v="22"/>
    <x v="960"/>
    <x v="4"/>
    <x v="0"/>
    <x v="3"/>
    <n v="0"/>
    <x v="0"/>
  </r>
  <r>
    <x v="1551"/>
    <x v="9"/>
    <s v="Australia"/>
    <x v="5"/>
    <n v="20"/>
    <n v="0.06"/>
    <n v="279"/>
    <x v="960"/>
    <x v="4"/>
    <x v="0"/>
    <x v="4"/>
    <n v="0"/>
    <x v="0"/>
  </r>
  <r>
    <x v="1377"/>
    <x v="0"/>
    <s v="United States"/>
    <x v="1"/>
    <n v="80"/>
    <s v="NULL"/>
    <n v="974"/>
    <x v="961"/>
    <x v="4"/>
    <x v="0"/>
    <x v="4"/>
    <s v="NULL"/>
    <x v="0"/>
  </r>
  <r>
    <x v="1436"/>
    <x v="5"/>
    <s v="United States"/>
    <x v="0"/>
    <n v="25"/>
    <n v="0.09"/>
    <n v="409"/>
    <x v="961"/>
    <x v="4"/>
    <x v="0"/>
    <x v="4"/>
    <n v="0"/>
    <x v="0"/>
  </r>
  <r>
    <x v="2256"/>
    <x v="5"/>
    <s v="United States"/>
    <x v="11"/>
    <s v="NULL"/>
    <n v="0.06"/>
    <n v="272"/>
    <x v="961"/>
    <x v="4"/>
    <x v="0"/>
    <x v="4"/>
    <n v="0"/>
    <x v="0"/>
  </r>
  <r>
    <x v="2257"/>
    <x v="15"/>
    <s v="Israel"/>
    <x v="1"/>
    <n v="120"/>
    <n v="1"/>
    <n v="18"/>
    <x v="962"/>
    <x v="4"/>
    <x v="0"/>
    <x v="3"/>
    <n v="1"/>
    <x v="0"/>
  </r>
  <r>
    <x v="2258"/>
    <x v="5"/>
    <s v="Australia"/>
    <x v="5"/>
    <n v="50"/>
    <n v="0.2"/>
    <n v="69"/>
    <x v="963"/>
    <x v="4"/>
    <x v="0"/>
    <x v="3"/>
    <n v="0"/>
    <x v="0"/>
  </r>
  <r>
    <x v="2259"/>
    <x v="7"/>
    <s v="United States"/>
    <x v="2"/>
    <n v="45"/>
    <s v="NULL"/>
    <n v="58"/>
    <x v="963"/>
    <x v="4"/>
    <x v="0"/>
    <x v="3"/>
    <s v="NULL"/>
    <x v="0"/>
  </r>
  <r>
    <x v="1349"/>
    <x v="14"/>
    <s v="Brazil"/>
    <x v="8"/>
    <n v="28"/>
    <n v="0.22"/>
    <n v="15"/>
    <x v="963"/>
    <x v="4"/>
    <x v="0"/>
    <x v="3"/>
    <n v="0"/>
    <x v="0"/>
  </r>
  <r>
    <x v="2260"/>
    <x v="5"/>
    <s v="United States"/>
    <x v="7"/>
    <n v="15"/>
    <n v="0.05"/>
    <n v="328"/>
    <x v="963"/>
    <x v="4"/>
    <x v="0"/>
    <x v="4"/>
    <n v="0"/>
    <x v="0"/>
  </r>
  <r>
    <x v="2261"/>
    <x v="3"/>
    <s v="United States"/>
    <x v="3"/>
    <s v="NULL"/>
    <s v="NULL"/>
    <s v="NULL"/>
    <x v="963"/>
    <x v="4"/>
    <x v="0"/>
    <x v="1"/>
    <s v="NULL"/>
    <x v="1"/>
  </r>
  <r>
    <x v="2262"/>
    <x v="2"/>
    <s v="United States"/>
    <x v="2"/>
    <s v="NULL"/>
    <n v="0.05"/>
    <n v="137"/>
    <x v="963"/>
    <x v="4"/>
    <x v="0"/>
    <x v="4"/>
    <n v="0"/>
    <x v="0"/>
  </r>
  <r>
    <x v="2263"/>
    <x v="5"/>
    <s v="United States"/>
    <x v="0"/>
    <s v="NULL"/>
    <s v="NULL"/>
    <n v="178"/>
    <x v="963"/>
    <x v="4"/>
    <x v="0"/>
    <x v="4"/>
    <s v="NULL"/>
    <x v="1"/>
  </r>
  <r>
    <x v="2264"/>
    <x v="19"/>
    <s v="United States"/>
    <x v="7"/>
    <s v="NULL"/>
    <s v="NULL"/>
    <n v="200"/>
    <x v="963"/>
    <x v="4"/>
    <x v="0"/>
    <x v="4"/>
    <s v="NULL"/>
    <x v="1"/>
  </r>
  <r>
    <x v="2265"/>
    <x v="22"/>
    <s v="United States"/>
    <x v="1"/>
    <s v="NULL"/>
    <s v="NULL"/>
    <n v="62"/>
    <x v="963"/>
    <x v="4"/>
    <x v="0"/>
    <x v="3"/>
    <s v="NULL"/>
    <x v="1"/>
  </r>
  <r>
    <x v="1752"/>
    <x v="9"/>
    <s v="United Kingdom"/>
    <x v="7"/>
    <n v="150"/>
    <n v="0.25"/>
    <n v="490"/>
    <x v="964"/>
    <x v="4"/>
    <x v="0"/>
    <x v="4"/>
    <n v="0"/>
    <x v="0"/>
  </r>
  <r>
    <x v="2052"/>
    <x v="4"/>
    <s v="United States"/>
    <x v="7"/>
    <n v="140"/>
    <n v="0.35"/>
    <s v="NULL"/>
    <x v="964"/>
    <x v="4"/>
    <x v="0"/>
    <x v="1"/>
    <n v="0"/>
    <x v="0"/>
  </r>
  <r>
    <x v="1629"/>
    <x v="3"/>
    <s v="United States"/>
    <x v="0"/>
    <n v="130"/>
    <n v="0.22"/>
    <s v="NULL"/>
    <x v="964"/>
    <x v="4"/>
    <x v="0"/>
    <x v="1"/>
    <n v="0"/>
    <x v="0"/>
  </r>
  <r>
    <x v="1774"/>
    <x v="25"/>
    <s v="United States"/>
    <x v="4"/>
    <n v="95"/>
    <n v="0.15"/>
    <n v="404"/>
    <x v="964"/>
    <x v="4"/>
    <x v="0"/>
    <x v="4"/>
    <n v="0"/>
    <x v="0"/>
  </r>
  <r>
    <x v="594"/>
    <x v="11"/>
    <s v="United States"/>
    <x v="7"/>
    <n v="63"/>
    <n v="0.1"/>
    <n v="329"/>
    <x v="964"/>
    <x v="4"/>
    <x v="0"/>
    <x v="4"/>
    <n v="0"/>
    <x v="0"/>
  </r>
  <r>
    <x v="2266"/>
    <x v="18"/>
    <s v="United States"/>
    <x v="2"/>
    <n v="60"/>
    <n v="0.33"/>
    <n v="72"/>
    <x v="964"/>
    <x v="4"/>
    <x v="0"/>
    <x v="3"/>
    <n v="0"/>
    <x v="0"/>
  </r>
  <r>
    <x v="448"/>
    <x v="5"/>
    <s v="United States"/>
    <x v="2"/>
    <n v="11"/>
    <n v="0.05"/>
    <n v="42"/>
    <x v="964"/>
    <x v="4"/>
    <x v="0"/>
    <x v="3"/>
    <n v="0"/>
    <x v="0"/>
  </r>
  <r>
    <x v="697"/>
    <x v="5"/>
    <s v="United States"/>
    <x v="11"/>
    <s v="NULL"/>
    <n v="0.1"/>
    <n v="247"/>
    <x v="964"/>
    <x v="4"/>
    <x v="0"/>
    <x v="4"/>
    <n v="0"/>
    <x v="0"/>
  </r>
  <r>
    <x v="2267"/>
    <x v="15"/>
    <s v="United States"/>
    <x v="2"/>
    <s v="NULL"/>
    <s v="NULL"/>
    <n v="45"/>
    <x v="964"/>
    <x v="4"/>
    <x v="0"/>
    <x v="3"/>
    <s v="NULL"/>
    <x v="1"/>
  </r>
  <r>
    <x v="891"/>
    <x v="22"/>
    <s v="United States"/>
    <x v="4"/>
    <s v="NULL"/>
    <n v="0.5"/>
    <n v="356"/>
    <x v="964"/>
    <x v="4"/>
    <x v="0"/>
    <x v="4"/>
    <n v="0"/>
    <x v="0"/>
  </r>
  <r>
    <x v="1314"/>
    <x v="22"/>
    <s v="United States"/>
    <x v="5"/>
    <s v="NULL"/>
    <s v="NULL"/>
    <n v="192"/>
    <x v="964"/>
    <x v="4"/>
    <x v="0"/>
    <x v="4"/>
    <s v="NULL"/>
    <x v="1"/>
  </r>
  <r>
    <x v="2268"/>
    <x v="0"/>
    <s v="United States"/>
    <x v="9"/>
    <s v="NULL"/>
    <s v="NULL"/>
    <s v="NULL"/>
    <x v="964"/>
    <x v="4"/>
    <x v="0"/>
    <x v="1"/>
    <s v="NULL"/>
    <x v="1"/>
  </r>
  <r>
    <x v="2269"/>
    <x v="18"/>
    <s v="Netherlands"/>
    <x v="0"/>
    <n v="390"/>
    <s v="NULL"/>
    <n v="2800"/>
    <x v="965"/>
    <x v="4"/>
    <x v="0"/>
    <x v="2"/>
    <s v="NULL"/>
    <x v="0"/>
  </r>
  <r>
    <x v="908"/>
    <x v="16"/>
    <s v="United States"/>
    <x v="5"/>
    <n v="200"/>
    <n v="0.2"/>
    <n v="310"/>
    <x v="965"/>
    <x v="4"/>
    <x v="0"/>
    <x v="4"/>
    <n v="0"/>
    <x v="0"/>
  </r>
  <r>
    <x v="1358"/>
    <x v="14"/>
    <s v="United States"/>
    <x v="11"/>
    <n v="75"/>
    <s v="NULL"/>
    <n v="992"/>
    <x v="965"/>
    <x v="4"/>
    <x v="0"/>
    <x v="4"/>
    <s v="NULL"/>
    <x v="0"/>
  </r>
  <r>
    <x v="2270"/>
    <x v="0"/>
    <s v="United States"/>
    <x v="5"/>
    <n v="60"/>
    <s v="NULL"/>
    <n v="48"/>
    <x v="965"/>
    <x v="4"/>
    <x v="0"/>
    <x v="3"/>
    <s v="NULL"/>
    <x v="0"/>
  </r>
  <r>
    <x v="555"/>
    <x v="11"/>
    <s v="United States"/>
    <x v="0"/>
    <n v="60"/>
    <n v="0.02"/>
    <n v="4900"/>
    <x v="965"/>
    <x v="4"/>
    <x v="0"/>
    <x v="2"/>
    <n v="0"/>
    <x v="0"/>
  </r>
  <r>
    <x v="2271"/>
    <x v="19"/>
    <s v="Canada"/>
    <x v="5"/>
    <n v="57"/>
    <n v="0.16"/>
    <n v="125"/>
    <x v="965"/>
    <x v="4"/>
    <x v="0"/>
    <x v="4"/>
    <n v="0"/>
    <x v="0"/>
  </r>
  <r>
    <x v="42"/>
    <x v="0"/>
    <s v="Israel"/>
    <x v="3"/>
    <n v="30"/>
    <n v="0.2"/>
    <n v="51"/>
    <x v="965"/>
    <x v="4"/>
    <x v="0"/>
    <x v="3"/>
    <n v="0"/>
    <x v="0"/>
  </r>
  <r>
    <x v="2272"/>
    <x v="4"/>
    <s v="United States"/>
    <x v="7"/>
    <n v="23"/>
    <s v="NULL"/>
    <n v="159"/>
    <x v="965"/>
    <x v="4"/>
    <x v="0"/>
    <x v="4"/>
    <s v="NULL"/>
    <x v="0"/>
  </r>
  <r>
    <x v="2273"/>
    <x v="19"/>
    <s v="Canada"/>
    <x v="2"/>
    <n v="15"/>
    <n v="0.09"/>
    <n v="58"/>
    <x v="965"/>
    <x v="4"/>
    <x v="0"/>
    <x v="3"/>
    <n v="0"/>
    <x v="0"/>
  </r>
  <r>
    <x v="2274"/>
    <x v="7"/>
    <s v="United States"/>
    <x v="6"/>
    <n v="13"/>
    <s v="NULL"/>
    <n v="1"/>
    <x v="965"/>
    <x v="4"/>
    <x v="0"/>
    <x v="0"/>
    <s v="NULL"/>
    <x v="0"/>
  </r>
  <r>
    <x v="910"/>
    <x v="5"/>
    <s v="United States"/>
    <x v="0"/>
    <n v="1000"/>
    <s v="NULL"/>
    <n v="2000"/>
    <x v="966"/>
    <x v="4"/>
    <x v="0"/>
    <x v="2"/>
    <s v="NULL"/>
    <x v="0"/>
  </r>
  <r>
    <x v="983"/>
    <x v="5"/>
    <s v="United States"/>
    <x v="13"/>
    <n v="450"/>
    <n v="0.31"/>
    <n v="856"/>
    <x v="966"/>
    <x v="4"/>
    <x v="0"/>
    <x v="4"/>
    <n v="0"/>
    <x v="0"/>
  </r>
  <r>
    <x v="2275"/>
    <x v="14"/>
    <s v="United States"/>
    <x v="11"/>
    <n v="38"/>
    <s v="NULL"/>
    <n v="323"/>
    <x v="966"/>
    <x v="4"/>
    <x v="0"/>
    <x v="4"/>
    <s v="NULL"/>
    <x v="0"/>
  </r>
  <r>
    <x v="2276"/>
    <x v="2"/>
    <s v="Germany"/>
    <x v="3"/>
    <n v="28"/>
    <s v="NULL"/>
    <n v="766"/>
    <x v="966"/>
    <x v="4"/>
    <x v="0"/>
    <x v="4"/>
    <s v="NULL"/>
    <x v="0"/>
  </r>
  <r>
    <x v="2277"/>
    <x v="7"/>
    <s v="United Kingdom"/>
    <x v="3"/>
    <n v="28"/>
    <n v="0.2"/>
    <s v="NULL"/>
    <x v="966"/>
    <x v="4"/>
    <x v="0"/>
    <x v="1"/>
    <n v="0"/>
    <x v="0"/>
  </r>
  <r>
    <x v="2278"/>
    <x v="5"/>
    <s v="United States"/>
    <x v="7"/>
    <s v="NULL"/>
    <n v="0.13"/>
    <n v="570"/>
    <x v="966"/>
    <x v="4"/>
    <x v="0"/>
    <x v="4"/>
    <n v="0"/>
    <x v="0"/>
  </r>
  <r>
    <x v="2279"/>
    <x v="5"/>
    <s v="United States"/>
    <x v="5"/>
    <n v="94"/>
    <s v="NULL"/>
    <n v="200"/>
    <x v="967"/>
    <x v="4"/>
    <x v="0"/>
    <x v="4"/>
    <s v="NULL"/>
    <x v="0"/>
  </r>
  <r>
    <x v="146"/>
    <x v="9"/>
    <s v="United States"/>
    <x v="3"/>
    <n v="68"/>
    <n v="7.0000000000000007E-2"/>
    <n v="423"/>
    <x v="967"/>
    <x v="4"/>
    <x v="0"/>
    <x v="4"/>
    <n v="0"/>
    <x v="0"/>
  </r>
  <r>
    <x v="224"/>
    <x v="10"/>
    <s v="United States"/>
    <x v="2"/>
    <n v="30"/>
    <n v="0.1"/>
    <n v="245"/>
    <x v="967"/>
    <x v="4"/>
    <x v="0"/>
    <x v="4"/>
    <n v="0"/>
    <x v="0"/>
  </r>
  <r>
    <x v="1880"/>
    <x v="5"/>
    <s v="United States"/>
    <x v="2"/>
    <s v="NULL"/>
    <s v="NULL"/>
    <n v="323"/>
    <x v="967"/>
    <x v="4"/>
    <x v="0"/>
    <x v="4"/>
    <s v="NULL"/>
    <x v="1"/>
  </r>
  <r>
    <x v="1835"/>
    <x v="18"/>
    <s v="United States"/>
    <x v="1"/>
    <s v="NULL"/>
    <n v="0.25"/>
    <n v="107"/>
    <x v="967"/>
    <x v="4"/>
    <x v="0"/>
    <x v="4"/>
    <n v="0"/>
    <x v="0"/>
  </r>
  <r>
    <x v="1696"/>
    <x v="25"/>
    <s v="United States"/>
    <x v="7"/>
    <s v="NULL"/>
    <n v="0.35"/>
    <n v="269"/>
    <x v="967"/>
    <x v="4"/>
    <x v="0"/>
    <x v="4"/>
    <n v="0"/>
    <x v="0"/>
  </r>
  <r>
    <x v="1"/>
    <x v="1"/>
    <s v="United States"/>
    <x v="1"/>
    <s v="NULL"/>
    <s v="NULL"/>
    <s v="NULL"/>
    <x v="967"/>
    <x v="4"/>
    <x v="0"/>
    <x v="1"/>
    <s v="NULL"/>
    <x v="1"/>
  </r>
  <r>
    <x v="133"/>
    <x v="1"/>
    <s v="United States"/>
    <x v="0"/>
    <s v="NULL"/>
    <n v="0.06"/>
    <n v="450"/>
    <x v="967"/>
    <x v="4"/>
    <x v="0"/>
    <x v="4"/>
    <n v="0"/>
    <x v="0"/>
  </r>
  <r>
    <x v="2280"/>
    <x v="14"/>
    <s v="India"/>
    <x v="8"/>
    <n v="100"/>
    <n v="0.5"/>
    <n v="31"/>
    <x v="968"/>
    <x v="4"/>
    <x v="0"/>
    <x v="3"/>
    <n v="0"/>
    <x v="0"/>
  </r>
  <r>
    <x v="1060"/>
    <x v="23"/>
    <s v="United States"/>
    <x v="3"/>
    <n v="63"/>
    <n v="0.05"/>
    <n v="817"/>
    <x v="968"/>
    <x v="4"/>
    <x v="0"/>
    <x v="4"/>
    <n v="0"/>
    <x v="0"/>
  </r>
  <r>
    <x v="2281"/>
    <x v="2"/>
    <s v="United Kingdom"/>
    <x v="3"/>
    <n v="24"/>
    <n v="0.2"/>
    <n v="265"/>
    <x v="968"/>
    <x v="4"/>
    <x v="0"/>
    <x v="4"/>
    <n v="0"/>
    <x v="0"/>
  </r>
  <r>
    <x v="2282"/>
    <x v="10"/>
    <s v="United States"/>
    <x v="8"/>
    <n v="23"/>
    <s v="NULL"/>
    <n v="27"/>
    <x v="968"/>
    <x v="4"/>
    <x v="0"/>
    <x v="3"/>
    <s v="NULL"/>
    <x v="0"/>
  </r>
  <r>
    <x v="1141"/>
    <x v="1"/>
    <s v="United States"/>
    <x v="5"/>
    <s v="NULL"/>
    <n v="0.17"/>
    <n v="40"/>
    <x v="968"/>
    <x v="4"/>
    <x v="0"/>
    <x v="3"/>
    <n v="0"/>
    <x v="0"/>
  </r>
  <r>
    <x v="2283"/>
    <x v="14"/>
    <s v="United Kingdom"/>
    <x v="5"/>
    <n v="85"/>
    <n v="0.17"/>
    <n v="202"/>
    <x v="969"/>
    <x v="4"/>
    <x v="0"/>
    <x v="4"/>
    <n v="0"/>
    <x v="0"/>
  </r>
  <r>
    <x v="2284"/>
    <x v="7"/>
    <s v="United States"/>
    <x v="5"/>
    <n v="54"/>
    <n v="0.15"/>
    <n v="115"/>
    <x v="969"/>
    <x v="4"/>
    <x v="0"/>
    <x v="4"/>
    <n v="0"/>
    <x v="0"/>
  </r>
  <r>
    <x v="2285"/>
    <x v="9"/>
    <s v="United States"/>
    <x v="2"/>
    <n v="42"/>
    <n v="0.25"/>
    <n v="7"/>
    <x v="969"/>
    <x v="4"/>
    <x v="0"/>
    <x v="0"/>
    <n v="0"/>
    <x v="0"/>
  </r>
  <r>
    <x v="2286"/>
    <x v="16"/>
    <s v="United States"/>
    <x v="11"/>
    <n v="39"/>
    <n v="7.0000000000000007E-2"/>
    <n v="240"/>
    <x v="969"/>
    <x v="4"/>
    <x v="0"/>
    <x v="4"/>
    <n v="0"/>
    <x v="0"/>
  </r>
  <r>
    <x v="2287"/>
    <x v="5"/>
    <s v="United States"/>
    <x v="11"/>
    <s v="NULL"/>
    <s v="NULL"/>
    <n v="560"/>
    <x v="969"/>
    <x v="4"/>
    <x v="0"/>
    <x v="4"/>
    <s v="NULL"/>
    <x v="1"/>
  </r>
  <r>
    <x v="2288"/>
    <x v="30"/>
    <s v="Germany"/>
    <x v="2"/>
    <s v="NULL"/>
    <s v="NULL"/>
    <n v="45"/>
    <x v="969"/>
    <x v="4"/>
    <x v="0"/>
    <x v="3"/>
    <s v="NULL"/>
    <x v="1"/>
  </r>
  <r>
    <x v="974"/>
    <x v="9"/>
    <s v="United States"/>
    <x v="5"/>
    <s v="NULL"/>
    <n v="0.2"/>
    <n v="427"/>
    <x v="969"/>
    <x v="4"/>
    <x v="0"/>
    <x v="4"/>
    <n v="0"/>
    <x v="0"/>
  </r>
  <r>
    <x v="2289"/>
    <x v="14"/>
    <s v="Senegal"/>
    <x v="8"/>
    <n v="300"/>
    <n v="0.15"/>
    <n v="292"/>
    <x v="970"/>
    <x v="4"/>
    <x v="0"/>
    <x v="4"/>
    <n v="0"/>
    <x v="0"/>
  </r>
  <r>
    <x v="2290"/>
    <x v="25"/>
    <s v="United States"/>
    <x v="11"/>
    <n v="262"/>
    <n v="0.35"/>
    <n v="450"/>
    <x v="970"/>
    <x v="4"/>
    <x v="0"/>
    <x v="4"/>
    <n v="0"/>
    <x v="0"/>
  </r>
  <r>
    <x v="707"/>
    <x v="23"/>
    <s v="United States"/>
    <x v="5"/>
    <n v="120"/>
    <n v="0.4"/>
    <n v="336"/>
    <x v="970"/>
    <x v="4"/>
    <x v="0"/>
    <x v="4"/>
    <n v="0"/>
    <x v="0"/>
  </r>
  <r>
    <x v="2291"/>
    <x v="22"/>
    <s v="Germany"/>
    <x v="2"/>
    <n v="100"/>
    <n v="0.3"/>
    <n v="89"/>
    <x v="970"/>
    <x v="4"/>
    <x v="0"/>
    <x v="3"/>
    <n v="0"/>
    <x v="0"/>
  </r>
  <r>
    <x v="728"/>
    <x v="18"/>
    <s v="United States"/>
    <x v="5"/>
    <n v="100"/>
    <n v="0.2"/>
    <n v="64"/>
    <x v="970"/>
    <x v="4"/>
    <x v="0"/>
    <x v="3"/>
    <n v="0"/>
    <x v="0"/>
  </r>
  <r>
    <x v="2292"/>
    <x v="2"/>
    <s v="Brazil"/>
    <x v="3"/>
    <n v="70"/>
    <n v="0.18"/>
    <n v="23"/>
    <x v="970"/>
    <x v="4"/>
    <x v="0"/>
    <x v="3"/>
    <n v="0"/>
    <x v="0"/>
  </r>
  <r>
    <x v="1772"/>
    <x v="1"/>
    <s v="United States"/>
    <x v="5"/>
    <n v="12"/>
    <s v="NULL"/>
    <n v="120"/>
    <x v="970"/>
    <x v="4"/>
    <x v="0"/>
    <x v="4"/>
    <s v="NULL"/>
    <x v="0"/>
  </r>
  <r>
    <x v="1351"/>
    <x v="11"/>
    <s v="United States"/>
    <x v="7"/>
    <n v="7"/>
    <s v="NULL"/>
    <n v="2100"/>
    <x v="970"/>
    <x v="4"/>
    <x v="0"/>
    <x v="2"/>
    <s v="NULL"/>
    <x v="0"/>
  </r>
  <r>
    <x v="381"/>
    <x v="11"/>
    <s v="United Kingdom"/>
    <x v="0"/>
    <s v="NULL"/>
    <n v="0.3"/>
    <n v="629"/>
    <x v="970"/>
    <x v="4"/>
    <x v="0"/>
    <x v="4"/>
    <n v="0"/>
    <x v="0"/>
  </r>
  <r>
    <x v="2293"/>
    <x v="14"/>
    <s v="United States"/>
    <x v="5"/>
    <s v="NULL"/>
    <s v="NULL"/>
    <n v="53"/>
    <x v="970"/>
    <x v="4"/>
    <x v="0"/>
    <x v="3"/>
    <s v="NULL"/>
    <x v="1"/>
  </r>
  <r>
    <x v="2294"/>
    <x v="0"/>
    <s v="United States"/>
    <x v="7"/>
    <s v="NULL"/>
    <n v="0.15"/>
    <n v="241"/>
    <x v="970"/>
    <x v="4"/>
    <x v="0"/>
    <x v="4"/>
    <n v="0"/>
    <x v="0"/>
  </r>
  <r>
    <x v="666"/>
    <x v="18"/>
    <s v="United States"/>
    <x v="13"/>
    <n v="1500"/>
    <n v="0.1"/>
    <n v="3400"/>
    <x v="971"/>
    <x v="4"/>
    <x v="0"/>
    <x v="2"/>
    <n v="0"/>
    <x v="0"/>
  </r>
  <r>
    <x v="2295"/>
    <x v="18"/>
    <s v="India"/>
    <x v="2"/>
    <n v="150"/>
    <s v="NULL"/>
    <n v="63"/>
    <x v="971"/>
    <x v="4"/>
    <x v="0"/>
    <x v="3"/>
    <s v="NULL"/>
    <x v="0"/>
  </r>
  <r>
    <x v="2296"/>
    <x v="5"/>
    <s v="United Kingdom"/>
    <x v="0"/>
    <n v="100"/>
    <s v="NULL"/>
    <n v="1100"/>
    <x v="971"/>
    <x v="4"/>
    <x v="0"/>
    <x v="2"/>
    <s v="NULL"/>
    <x v="0"/>
  </r>
  <r>
    <x v="985"/>
    <x v="10"/>
    <s v="United States"/>
    <x v="2"/>
    <n v="45"/>
    <n v="0.12"/>
    <n v="153"/>
    <x v="971"/>
    <x v="4"/>
    <x v="0"/>
    <x v="4"/>
    <n v="0"/>
    <x v="0"/>
  </r>
  <r>
    <x v="2297"/>
    <x v="23"/>
    <s v="Pakistan"/>
    <x v="2"/>
    <s v="NULL"/>
    <n v="1"/>
    <n v="109"/>
    <x v="971"/>
    <x v="4"/>
    <x v="0"/>
    <x v="4"/>
    <n v="1"/>
    <x v="0"/>
  </r>
  <r>
    <x v="0"/>
    <x v="0"/>
    <s v="United States"/>
    <x v="0"/>
    <s v="NULL"/>
    <s v="NULL"/>
    <n v="1"/>
    <x v="971"/>
    <x v="4"/>
    <x v="0"/>
    <x v="0"/>
    <s v="NULL"/>
    <x v="1"/>
  </r>
  <r>
    <x v="2298"/>
    <x v="2"/>
    <s v="United States"/>
    <x v="3"/>
    <s v="NULL"/>
    <s v="NULL"/>
    <n v="61"/>
    <x v="971"/>
    <x v="4"/>
    <x v="0"/>
    <x v="3"/>
    <s v="NULL"/>
    <x v="1"/>
  </r>
  <r>
    <x v="680"/>
    <x v="0"/>
    <s v="United Kingdom"/>
    <x v="7"/>
    <n v="242"/>
    <n v="0.28999999999999998"/>
    <n v="1000"/>
    <x v="972"/>
    <x v="4"/>
    <x v="0"/>
    <x v="2"/>
    <n v="0"/>
    <x v="0"/>
  </r>
  <r>
    <x v="1844"/>
    <x v="5"/>
    <s v="Brazil"/>
    <x v="5"/>
    <n v="63"/>
    <s v="NULL"/>
    <n v="174"/>
    <x v="972"/>
    <x v="4"/>
    <x v="0"/>
    <x v="4"/>
    <s v="NULL"/>
    <x v="0"/>
  </r>
  <r>
    <x v="2299"/>
    <x v="10"/>
    <s v="United States"/>
    <x v="7"/>
    <n v="24"/>
    <n v="0.13"/>
    <n v="74"/>
    <x v="972"/>
    <x v="4"/>
    <x v="0"/>
    <x v="3"/>
    <n v="0"/>
    <x v="0"/>
  </r>
  <r>
    <x v="2300"/>
    <x v="18"/>
    <s v="United States"/>
    <x v="11"/>
    <s v="NULL"/>
    <s v="NULL"/>
    <n v="640"/>
    <x v="972"/>
    <x v="4"/>
    <x v="0"/>
    <x v="4"/>
    <s v="NULL"/>
    <x v="1"/>
  </r>
  <r>
    <x v="479"/>
    <x v="5"/>
    <s v="United States"/>
    <x v="7"/>
    <s v="NULL"/>
    <n v="0.05"/>
    <n v="225"/>
    <x v="972"/>
    <x v="4"/>
    <x v="0"/>
    <x v="4"/>
    <n v="0"/>
    <x v="0"/>
  </r>
  <r>
    <x v="2301"/>
    <x v="9"/>
    <s v="United States"/>
    <x v="8"/>
    <s v="NULL"/>
    <n v="0.5"/>
    <n v="9"/>
    <x v="972"/>
    <x v="4"/>
    <x v="0"/>
    <x v="0"/>
    <n v="0"/>
    <x v="0"/>
  </r>
  <r>
    <x v="1345"/>
    <x v="18"/>
    <s v="United States"/>
    <x v="5"/>
    <s v="NULL"/>
    <s v="NULL"/>
    <n v="150"/>
    <x v="973"/>
    <x v="4"/>
    <x v="0"/>
    <x v="4"/>
    <s v="NULL"/>
    <x v="1"/>
  </r>
  <r>
    <x v="2302"/>
    <x v="0"/>
    <s v="China"/>
    <x v="5"/>
    <n v="1500"/>
    <s v="NULL"/>
    <n v="184"/>
    <x v="974"/>
    <x v="4"/>
    <x v="0"/>
    <x v="4"/>
    <s v="NULL"/>
    <x v="0"/>
  </r>
  <r>
    <x v="2303"/>
    <x v="18"/>
    <s v="United States"/>
    <x v="2"/>
    <n v="1000"/>
    <n v="1"/>
    <n v="50"/>
    <x v="974"/>
    <x v="4"/>
    <x v="0"/>
    <x v="3"/>
    <n v="1"/>
    <x v="0"/>
  </r>
  <r>
    <x v="1421"/>
    <x v="5"/>
    <s v="United States"/>
    <x v="2"/>
    <n v="156"/>
    <n v="0.24"/>
    <n v="127"/>
    <x v="974"/>
    <x v="4"/>
    <x v="0"/>
    <x v="4"/>
    <n v="0"/>
    <x v="0"/>
  </r>
  <r>
    <x v="2120"/>
    <x v="10"/>
    <s v="United States"/>
    <x v="3"/>
    <s v="NULL"/>
    <n v="0.03"/>
    <n v="108"/>
    <x v="974"/>
    <x v="4"/>
    <x v="0"/>
    <x v="4"/>
    <n v="0"/>
    <x v="0"/>
  </r>
  <r>
    <x v="2032"/>
    <x v="11"/>
    <s v="United States"/>
    <x v="3"/>
    <n v="150"/>
    <n v="0.05"/>
    <n v="3600"/>
    <x v="975"/>
    <x v="4"/>
    <x v="0"/>
    <x v="2"/>
    <n v="0"/>
    <x v="0"/>
  </r>
  <r>
    <x v="2304"/>
    <x v="14"/>
    <s v="United States"/>
    <x v="11"/>
    <n v="150"/>
    <n v="0.17"/>
    <n v="881"/>
    <x v="975"/>
    <x v="4"/>
    <x v="0"/>
    <x v="4"/>
    <n v="0"/>
    <x v="0"/>
  </r>
  <r>
    <x v="2305"/>
    <x v="10"/>
    <s v="United States"/>
    <x v="3"/>
    <n v="40"/>
    <s v="NULL"/>
    <n v="20"/>
    <x v="975"/>
    <x v="4"/>
    <x v="0"/>
    <x v="3"/>
    <s v="NULL"/>
    <x v="0"/>
  </r>
  <r>
    <x v="2306"/>
    <x v="10"/>
    <s v="United States"/>
    <x v="2"/>
    <n v="30"/>
    <n v="0.18"/>
    <n v="78"/>
    <x v="975"/>
    <x v="4"/>
    <x v="0"/>
    <x v="3"/>
    <n v="0"/>
    <x v="0"/>
  </r>
  <r>
    <x v="2307"/>
    <x v="5"/>
    <s v="United States"/>
    <x v="7"/>
    <s v="NULL"/>
    <n v="0.24"/>
    <n v="351"/>
    <x v="975"/>
    <x v="4"/>
    <x v="0"/>
    <x v="4"/>
    <n v="0"/>
    <x v="0"/>
  </r>
  <r>
    <x v="1534"/>
    <x v="1"/>
    <s v="United States"/>
    <x v="0"/>
    <s v="NULL"/>
    <s v="NULL"/>
    <n v="5700"/>
    <x v="975"/>
    <x v="4"/>
    <x v="0"/>
    <x v="2"/>
    <s v="NULL"/>
    <x v="1"/>
  </r>
  <r>
    <x v="2308"/>
    <x v="7"/>
    <s v="United States"/>
    <x v="5"/>
    <n v="100"/>
    <n v="0.09"/>
    <n v="496"/>
    <x v="976"/>
    <x v="4"/>
    <x v="0"/>
    <x v="4"/>
    <n v="0"/>
    <x v="0"/>
  </r>
  <r>
    <x v="101"/>
    <x v="2"/>
    <s v="Canada"/>
    <x v="0"/>
    <n v="50"/>
    <s v="NULL"/>
    <n v="122"/>
    <x v="976"/>
    <x v="4"/>
    <x v="0"/>
    <x v="4"/>
    <s v="NULL"/>
    <x v="0"/>
  </r>
  <r>
    <x v="2309"/>
    <x v="6"/>
    <s v="Israel"/>
    <x v="5"/>
    <n v="35"/>
    <n v="0.27"/>
    <n v="64"/>
    <x v="976"/>
    <x v="4"/>
    <x v="0"/>
    <x v="3"/>
    <n v="0"/>
    <x v="0"/>
  </r>
  <r>
    <x v="2310"/>
    <x v="6"/>
    <s v="United States"/>
    <x v="2"/>
    <n v="30"/>
    <n v="0.18"/>
    <n v="77"/>
    <x v="976"/>
    <x v="4"/>
    <x v="0"/>
    <x v="3"/>
    <n v="0"/>
    <x v="0"/>
  </r>
  <r>
    <x v="2309"/>
    <x v="6"/>
    <s v="Israel"/>
    <x v="5"/>
    <n v="15"/>
    <n v="0.2"/>
    <n v="64"/>
    <x v="976"/>
    <x v="4"/>
    <x v="0"/>
    <x v="3"/>
    <n v="0"/>
    <x v="0"/>
  </r>
  <r>
    <x v="552"/>
    <x v="18"/>
    <s v="United States"/>
    <x v="2"/>
    <s v="NULL"/>
    <s v="NULL"/>
    <n v="344"/>
    <x v="976"/>
    <x v="4"/>
    <x v="0"/>
    <x v="4"/>
    <s v="NULL"/>
    <x v="1"/>
  </r>
  <r>
    <x v="1511"/>
    <x v="16"/>
    <s v="Brazil"/>
    <x v="3"/>
    <n v="384"/>
    <n v="0.12"/>
    <n v="788"/>
    <x v="977"/>
    <x v="4"/>
    <x v="0"/>
    <x v="4"/>
    <n v="0"/>
    <x v="0"/>
  </r>
  <r>
    <x v="1888"/>
    <x v="10"/>
    <s v="United States"/>
    <x v="11"/>
    <n v="120"/>
    <n v="0.3"/>
    <n v="194"/>
    <x v="977"/>
    <x v="4"/>
    <x v="0"/>
    <x v="4"/>
    <n v="0"/>
    <x v="0"/>
  </r>
  <r>
    <x v="207"/>
    <x v="14"/>
    <s v="Israel"/>
    <x v="3"/>
    <n v="100"/>
    <n v="0.06"/>
    <n v="322"/>
    <x v="977"/>
    <x v="4"/>
    <x v="0"/>
    <x v="4"/>
    <n v="0"/>
    <x v="0"/>
  </r>
  <r>
    <x v="275"/>
    <x v="6"/>
    <s v="United States"/>
    <x v="11"/>
    <n v="80"/>
    <n v="0.1"/>
    <n v="569"/>
    <x v="977"/>
    <x v="4"/>
    <x v="0"/>
    <x v="4"/>
    <n v="0"/>
    <x v="0"/>
  </r>
  <r>
    <x v="1838"/>
    <x v="21"/>
    <s v="United States"/>
    <x v="7"/>
    <n v="31"/>
    <n v="0.18"/>
    <n v="240"/>
    <x v="977"/>
    <x v="4"/>
    <x v="0"/>
    <x v="4"/>
    <n v="0"/>
    <x v="0"/>
  </r>
  <r>
    <x v="2311"/>
    <x v="9"/>
    <s v="Hong Kong"/>
    <x v="3"/>
    <n v="30"/>
    <n v="0.08"/>
    <n v="300"/>
    <x v="977"/>
    <x v="4"/>
    <x v="0"/>
    <x v="4"/>
    <n v="0"/>
    <x v="0"/>
  </r>
  <r>
    <x v="2312"/>
    <x v="3"/>
    <s v="United States"/>
    <x v="8"/>
    <n v="27"/>
    <n v="7.0000000000000007E-2"/>
    <n v="583"/>
    <x v="977"/>
    <x v="4"/>
    <x v="0"/>
    <x v="4"/>
    <n v="0"/>
    <x v="0"/>
  </r>
  <r>
    <x v="2313"/>
    <x v="14"/>
    <s v="United States"/>
    <x v="8"/>
    <n v="20"/>
    <n v="0.33"/>
    <n v="28"/>
    <x v="977"/>
    <x v="4"/>
    <x v="0"/>
    <x v="3"/>
    <n v="0"/>
    <x v="0"/>
  </r>
  <r>
    <x v="2314"/>
    <x v="2"/>
    <s v="Israel"/>
    <x v="5"/>
    <n v="13"/>
    <n v="0.08"/>
    <n v="71"/>
    <x v="977"/>
    <x v="4"/>
    <x v="0"/>
    <x v="3"/>
    <n v="0"/>
    <x v="0"/>
  </r>
  <r>
    <x v="52"/>
    <x v="1"/>
    <s v="Israel"/>
    <x v="7"/>
    <n v="80"/>
    <n v="0.12"/>
    <n v="335"/>
    <x v="978"/>
    <x v="4"/>
    <x v="0"/>
    <x v="4"/>
    <n v="0"/>
    <x v="0"/>
  </r>
  <r>
    <x v="2315"/>
    <x v="1"/>
    <s v="United Kingdom"/>
    <x v="1"/>
    <n v="29"/>
    <s v="NULL"/>
    <s v="NULL"/>
    <x v="978"/>
    <x v="4"/>
    <x v="0"/>
    <x v="1"/>
    <s v="NULL"/>
    <x v="0"/>
  </r>
  <r>
    <x v="2316"/>
    <x v="23"/>
    <s v="Australia"/>
    <x v="5"/>
    <n v="27"/>
    <n v="0.12"/>
    <n v="69"/>
    <x v="978"/>
    <x v="4"/>
    <x v="0"/>
    <x v="3"/>
    <n v="0"/>
    <x v="0"/>
  </r>
  <r>
    <x v="1813"/>
    <x v="0"/>
    <s v="Germany"/>
    <x v="8"/>
    <n v="18"/>
    <n v="0.15"/>
    <n v="90"/>
    <x v="978"/>
    <x v="4"/>
    <x v="0"/>
    <x v="3"/>
    <n v="0"/>
    <x v="0"/>
  </r>
  <r>
    <x v="1395"/>
    <x v="1"/>
    <s v="Australia"/>
    <x v="5"/>
    <s v="NULL"/>
    <s v="NULL"/>
    <n v="26"/>
    <x v="978"/>
    <x v="4"/>
    <x v="0"/>
    <x v="3"/>
    <s v="NULL"/>
    <x v="1"/>
  </r>
  <r>
    <x v="2317"/>
    <x v="18"/>
    <s v="Germany"/>
    <x v="5"/>
    <n v="540"/>
    <s v="NULL"/>
    <n v="1300"/>
    <x v="979"/>
    <x v="4"/>
    <x v="0"/>
    <x v="2"/>
    <s v="NULL"/>
    <x v="0"/>
  </r>
  <r>
    <x v="2318"/>
    <x v="9"/>
    <s v="United States"/>
    <x v="2"/>
    <n v="150"/>
    <n v="0.25"/>
    <n v="864"/>
    <x v="979"/>
    <x v="4"/>
    <x v="0"/>
    <x v="4"/>
    <n v="0"/>
    <x v="0"/>
  </r>
  <r>
    <x v="2319"/>
    <x v="5"/>
    <s v="United States"/>
    <x v="7"/>
    <s v="NULL"/>
    <s v="NULL"/>
    <n v="263"/>
    <x v="980"/>
    <x v="4"/>
    <x v="0"/>
    <x v="4"/>
    <s v="NULL"/>
    <x v="1"/>
  </r>
  <r>
    <x v="2320"/>
    <x v="5"/>
    <s v="Australia"/>
    <x v="6"/>
    <s v="NULL"/>
    <s v="NULL"/>
    <n v="2"/>
    <x v="980"/>
    <x v="4"/>
    <x v="0"/>
    <x v="0"/>
    <s v="NULL"/>
    <x v="1"/>
  </r>
  <r>
    <x v="261"/>
    <x v="14"/>
    <s v="Australia"/>
    <x v="8"/>
    <s v="NULL"/>
    <n v="0.1"/>
    <n v="25"/>
    <x v="980"/>
    <x v="4"/>
    <x v="0"/>
    <x v="3"/>
    <n v="0"/>
    <x v="0"/>
  </r>
  <r>
    <x v="2321"/>
    <x v="13"/>
    <s v="United States"/>
    <x v="2"/>
    <n v="85"/>
    <n v="1"/>
    <n v="26"/>
    <x v="981"/>
    <x v="4"/>
    <x v="0"/>
    <x v="3"/>
    <n v="1"/>
    <x v="0"/>
  </r>
  <r>
    <x v="455"/>
    <x v="11"/>
    <s v="United States"/>
    <x v="0"/>
    <n v="58"/>
    <n v="0.06"/>
    <n v="300"/>
    <x v="981"/>
    <x v="4"/>
    <x v="0"/>
    <x v="4"/>
    <n v="0"/>
    <x v="0"/>
  </r>
  <r>
    <x v="2322"/>
    <x v="5"/>
    <s v="United States"/>
    <x v="3"/>
    <n v="52"/>
    <s v="NULL"/>
    <s v="NULL"/>
    <x v="981"/>
    <x v="4"/>
    <x v="0"/>
    <x v="1"/>
    <s v="NULL"/>
    <x v="0"/>
  </r>
  <r>
    <x v="2323"/>
    <x v="24"/>
    <s v="United States"/>
    <x v="5"/>
    <n v="15"/>
    <n v="0.06"/>
    <n v="169"/>
    <x v="981"/>
    <x v="4"/>
    <x v="0"/>
    <x v="4"/>
    <n v="0"/>
    <x v="0"/>
  </r>
  <r>
    <x v="2324"/>
    <x v="15"/>
    <s v="United States"/>
    <x v="8"/>
    <s v="NULL"/>
    <s v="NULL"/>
    <n v="38"/>
    <x v="981"/>
    <x v="4"/>
    <x v="0"/>
    <x v="3"/>
    <s v="NULL"/>
    <x v="1"/>
  </r>
  <r>
    <x v="2325"/>
    <x v="2"/>
    <s v="United States"/>
    <x v="0"/>
    <n v="400"/>
    <n v="0.18"/>
    <n v="310"/>
    <x v="982"/>
    <x v="4"/>
    <x v="1"/>
    <x v="4"/>
    <n v="0"/>
    <x v="0"/>
  </r>
  <r>
    <x v="2326"/>
    <x v="21"/>
    <s v="India"/>
    <x v="6"/>
    <n v="170"/>
    <n v="1"/>
    <n v="3"/>
    <x v="982"/>
    <x v="4"/>
    <x v="1"/>
    <x v="0"/>
    <n v="1"/>
    <x v="0"/>
  </r>
  <r>
    <x v="2327"/>
    <x v="14"/>
    <s v="United States"/>
    <x v="3"/>
    <n v="40"/>
    <n v="0.08"/>
    <n v="480"/>
    <x v="982"/>
    <x v="4"/>
    <x v="1"/>
    <x v="4"/>
    <n v="0"/>
    <x v="0"/>
  </r>
  <r>
    <x v="1657"/>
    <x v="2"/>
    <s v="United States"/>
    <x v="8"/>
    <n v="30"/>
    <n v="0.2"/>
    <n v="47"/>
    <x v="982"/>
    <x v="4"/>
    <x v="1"/>
    <x v="3"/>
    <n v="0"/>
    <x v="0"/>
  </r>
  <r>
    <x v="17"/>
    <x v="3"/>
    <s v="United States"/>
    <x v="4"/>
    <n v="30"/>
    <s v="NULL"/>
    <n v="849"/>
    <x v="982"/>
    <x v="4"/>
    <x v="1"/>
    <x v="4"/>
    <s v="NULL"/>
    <x v="0"/>
  </r>
  <r>
    <x v="2328"/>
    <x v="22"/>
    <s v="United States"/>
    <x v="2"/>
    <n v="20"/>
    <n v="0.12"/>
    <n v="58"/>
    <x v="982"/>
    <x v="4"/>
    <x v="1"/>
    <x v="3"/>
    <n v="0"/>
    <x v="0"/>
  </r>
  <r>
    <x v="2329"/>
    <x v="14"/>
    <s v="Germany"/>
    <x v="8"/>
    <n v="14"/>
    <n v="0.1"/>
    <n v="22"/>
    <x v="982"/>
    <x v="4"/>
    <x v="1"/>
    <x v="3"/>
    <n v="0"/>
    <x v="0"/>
  </r>
  <r>
    <x v="2330"/>
    <x v="9"/>
    <s v="United States"/>
    <x v="5"/>
    <n v="12"/>
    <n v="0.05"/>
    <n v="106"/>
    <x v="982"/>
    <x v="4"/>
    <x v="1"/>
    <x v="4"/>
    <n v="0"/>
    <x v="0"/>
  </r>
  <r>
    <x v="2331"/>
    <x v="27"/>
    <s v="United States"/>
    <x v="6"/>
    <s v="NULL"/>
    <n v="1"/>
    <n v="5"/>
    <x v="982"/>
    <x v="4"/>
    <x v="1"/>
    <x v="0"/>
    <n v="1"/>
    <x v="0"/>
  </r>
  <r>
    <x v="2332"/>
    <x v="14"/>
    <s v="United States"/>
    <x v="8"/>
    <s v="NULL"/>
    <s v="NULL"/>
    <n v="7"/>
    <x v="982"/>
    <x v="4"/>
    <x v="1"/>
    <x v="0"/>
    <s v="NULL"/>
    <x v="1"/>
  </r>
  <r>
    <x v="2333"/>
    <x v="16"/>
    <s v="United States"/>
    <x v="5"/>
    <s v="NULL"/>
    <n v="0.15"/>
    <n v="135"/>
    <x v="982"/>
    <x v="4"/>
    <x v="1"/>
    <x v="4"/>
    <n v="0"/>
    <x v="0"/>
  </r>
  <r>
    <x v="2334"/>
    <x v="21"/>
    <s v="India"/>
    <x v="1"/>
    <n v="350"/>
    <s v="NULL"/>
    <n v="112"/>
    <x v="983"/>
    <x v="4"/>
    <x v="1"/>
    <x v="4"/>
    <s v="NULL"/>
    <x v="0"/>
  </r>
  <r>
    <x v="407"/>
    <x v="0"/>
    <s v="United States"/>
    <x v="0"/>
    <n v="200"/>
    <n v="0.04"/>
    <n v="1300"/>
    <x v="983"/>
    <x v="4"/>
    <x v="1"/>
    <x v="2"/>
    <n v="0"/>
    <x v="0"/>
  </r>
  <r>
    <x v="373"/>
    <x v="1"/>
    <s v="United States"/>
    <x v="7"/>
    <n v="85"/>
    <n v="0.08"/>
    <n v="770"/>
    <x v="983"/>
    <x v="4"/>
    <x v="1"/>
    <x v="4"/>
    <n v="0"/>
    <x v="0"/>
  </r>
  <r>
    <x v="1276"/>
    <x v="13"/>
    <s v="United States"/>
    <x v="3"/>
    <n v="80"/>
    <s v="NULL"/>
    <n v="811"/>
    <x v="983"/>
    <x v="4"/>
    <x v="1"/>
    <x v="4"/>
    <s v="NULL"/>
    <x v="0"/>
  </r>
  <r>
    <x v="2335"/>
    <x v="6"/>
    <s v="United States"/>
    <x v="11"/>
    <n v="80"/>
    <n v="0.19"/>
    <n v="347"/>
    <x v="983"/>
    <x v="4"/>
    <x v="1"/>
    <x v="4"/>
    <n v="0"/>
    <x v="0"/>
  </r>
  <r>
    <x v="1723"/>
    <x v="11"/>
    <s v="Canada"/>
    <x v="2"/>
    <n v="76"/>
    <n v="0.22"/>
    <n v="153"/>
    <x v="983"/>
    <x v="4"/>
    <x v="1"/>
    <x v="4"/>
    <n v="0"/>
    <x v="0"/>
  </r>
  <r>
    <x v="2336"/>
    <x v="24"/>
    <s v="United States"/>
    <x v="3"/>
    <n v="60"/>
    <s v="NULL"/>
    <n v="8"/>
    <x v="983"/>
    <x v="4"/>
    <x v="1"/>
    <x v="0"/>
    <s v="NULL"/>
    <x v="0"/>
  </r>
  <r>
    <x v="2337"/>
    <x v="11"/>
    <s v="India"/>
    <x v="3"/>
    <n v="40"/>
    <n v="0.2"/>
    <n v="13"/>
    <x v="983"/>
    <x v="4"/>
    <x v="1"/>
    <x v="3"/>
    <n v="0"/>
    <x v="0"/>
  </r>
  <r>
    <x v="2338"/>
    <x v="0"/>
    <s v="Germany"/>
    <x v="2"/>
    <n v="18"/>
    <n v="0.3"/>
    <n v="25"/>
    <x v="983"/>
    <x v="4"/>
    <x v="1"/>
    <x v="3"/>
    <n v="0"/>
    <x v="0"/>
  </r>
  <r>
    <x v="2339"/>
    <x v="11"/>
    <s v="United States"/>
    <x v="8"/>
    <n v="16"/>
    <n v="0.25"/>
    <n v="13"/>
    <x v="983"/>
    <x v="4"/>
    <x v="1"/>
    <x v="3"/>
    <n v="0"/>
    <x v="0"/>
  </r>
  <r>
    <x v="2340"/>
    <x v="4"/>
    <s v="United States"/>
    <x v="2"/>
    <n v="13"/>
    <n v="0.14000000000000001"/>
    <n v="82"/>
    <x v="983"/>
    <x v="4"/>
    <x v="1"/>
    <x v="3"/>
    <n v="0"/>
    <x v="0"/>
  </r>
  <r>
    <x v="2341"/>
    <x v="2"/>
    <s v="United States"/>
    <x v="3"/>
    <s v="NULL"/>
    <s v="NULL"/>
    <s v="NULL"/>
    <x v="983"/>
    <x v="4"/>
    <x v="1"/>
    <x v="1"/>
    <s v="NULL"/>
    <x v="1"/>
  </r>
  <r>
    <x v="1182"/>
    <x v="21"/>
    <s v="United States"/>
    <x v="7"/>
    <s v="NULL"/>
    <n v="0.15"/>
    <n v="411"/>
    <x v="983"/>
    <x v="4"/>
    <x v="1"/>
    <x v="4"/>
    <n v="0"/>
    <x v="0"/>
  </r>
  <r>
    <x v="2342"/>
    <x v="16"/>
    <s v="United States"/>
    <x v="7"/>
    <s v="NULL"/>
    <n v="0.19"/>
    <n v="743"/>
    <x v="983"/>
    <x v="4"/>
    <x v="1"/>
    <x v="4"/>
    <n v="0"/>
    <x v="0"/>
  </r>
  <r>
    <x v="2343"/>
    <x v="2"/>
    <s v="United States"/>
    <x v="5"/>
    <s v="NULL"/>
    <s v="NULL"/>
    <n v="72"/>
    <x v="983"/>
    <x v="4"/>
    <x v="1"/>
    <x v="3"/>
    <s v="NULL"/>
    <x v="1"/>
  </r>
  <r>
    <x v="2344"/>
    <x v="14"/>
    <s v="Australia"/>
    <x v="11"/>
    <s v="NULL"/>
    <n v="1"/>
    <n v="90"/>
    <x v="983"/>
    <x v="4"/>
    <x v="1"/>
    <x v="3"/>
    <n v="1"/>
    <x v="0"/>
  </r>
  <r>
    <x v="1780"/>
    <x v="9"/>
    <s v="China"/>
    <x v="3"/>
    <n v="300"/>
    <n v="0.3"/>
    <n v="2"/>
    <x v="984"/>
    <x v="4"/>
    <x v="1"/>
    <x v="0"/>
    <n v="0"/>
    <x v="0"/>
  </r>
  <r>
    <x v="2345"/>
    <x v="21"/>
    <s v="India"/>
    <x v="1"/>
    <n v="300"/>
    <s v="NULL"/>
    <n v="11"/>
    <x v="984"/>
    <x v="4"/>
    <x v="1"/>
    <x v="3"/>
    <s v="NULL"/>
    <x v="0"/>
  </r>
  <r>
    <x v="2346"/>
    <x v="2"/>
    <s v="United States"/>
    <x v="11"/>
    <n v="120"/>
    <n v="0.08"/>
    <n v="690"/>
    <x v="984"/>
    <x v="4"/>
    <x v="1"/>
    <x v="4"/>
    <n v="0"/>
    <x v="0"/>
  </r>
  <r>
    <x v="2347"/>
    <x v="5"/>
    <s v="United States"/>
    <x v="5"/>
    <n v="110"/>
    <n v="0.4"/>
    <n v="163"/>
    <x v="984"/>
    <x v="4"/>
    <x v="1"/>
    <x v="4"/>
    <n v="0"/>
    <x v="0"/>
  </r>
  <r>
    <x v="2346"/>
    <x v="2"/>
    <s v="United States"/>
    <x v="11"/>
    <n v="80"/>
    <s v="NULL"/>
    <n v="690"/>
    <x v="984"/>
    <x v="4"/>
    <x v="1"/>
    <x v="4"/>
    <s v="NULL"/>
    <x v="0"/>
  </r>
  <r>
    <x v="2348"/>
    <x v="5"/>
    <s v="United Arab Emirates"/>
    <x v="7"/>
    <n v="50"/>
    <n v="0.1"/>
    <n v="71"/>
    <x v="984"/>
    <x v="4"/>
    <x v="1"/>
    <x v="3"/>
    <n v="0"/>
    <x v="0"/>
  </r>
  <r>
    <x v="2349"/>
    <x v="6"/>
    <s v="Israel"/>
    <x v="3"/>
    <n v="30"/>
    <n v="0.08"/>
    <n v="250"/>
    <x v="984"/>
    <x v="4"/>
    <x v="1"/>
    <x v="4"/>
    <n v="0"/>
    <x v="0"/>
  </r>
  <r>
    <x v="2350"/>
    <x v="5"/>
    <s v="Australia"/>
    <x v="2"/>
    <n v="18"/>
    <n v="0.5"/>
    <n v="20"/>
    <x v="984"/>
    <x v="4"/>
    <x v="1"/>
    <x v="3"/>
    <n v="0"/>
    <x v="0"/>
  </r>
  <r>
    <x v="1679"/>
    <x v="2"/>
    <s v="Australia"/>
    <x v="8"/>
    <s v="NULL"/>
    <s v="NULL"/>
    <n v="23"/>
    <x v="984"/>
    <x v="4"/>
    <x v="1"/>
    <x v="3"/>
    <s v="NULL"/>
    <x v="1"/>
  </r>
  <r>
    <x v="2351"/>
    <x v="5"/>
    <s v="India"/>
    <x v="2"/>
    <s v="NULL"/>
    <n v="0.3"/>
    <n v="41"/>
    <x v="984"/>
    <x v="4"/>
    <x v="1"/>
    <x v="3"/>
    <n v="0"/>
    <x v="0"/>
  </r>
  <r>
    <x v="2352"/>
    <x v="2"/>
    <s v="Singapore"/>
    <x v="8"/>
    <s v="NULL"/>
    <n v="0.1"/>
    <n v="55"/>
    <x v="984"/>
    <x v="4"/>
    <x v="1"/>
    <x v="3"/>
    <n v="0"/>
    <x v="0"/>
  </r>
  <r>
    <x v="358"/>
    <x v="10"/>
    <s v="United States"/>
    <x v="0"/>
    <n v="300"/>
    <n v="0.12"/>
    <n v="1600"/>
    <x v="985"/>
    <x v="4"/>
    <x v="1"/>
    <x v="2"/>
    <n v="0"/>
    <x v="0"/>
  </r>
  <r>
    <x v="614"/>
    <x v="6"/>
    <s v="United States"/>
    <x v="0"/>
    <n v="210"/>
    <n v="0.05"/>
    <n v="2000"/>
    <x v="985"/>
    <x v="4"/>
    <x v="1"/>
    <x v="2"/>
    <n v="0"/>
    <x v="0"/>
  </r>
  <r>
    <x v="901"/>
    <x v="2"/>
    <s v="India"/>
    <x v="3"/>
    <n v="180"/>
    <n v="0.04"/>
    <n v="1500"/>
    <x v="985"/>
    <x v="4"/>
    <x v="1"/>
    <x v="2"/>
    <n v="0"/>
    <x v="0"/>
  </r>
  <r>
    <x v="1787"/>
    <x v="5"/>
    <s v="United States"/>
    <x v="0"/>
    <n v="170"/>
    <s v="NULL"/>
    <n v="999"/>
    <x v="985"/>
    <x v="4"/>
    <x v="1"/>
    <x v="4"/>
    <s v="NULL"/>
    <x v="0"/>
  </r>
  <r>
    <x v="2353"/>
    <x v="9"/>
    <s v="Australia"/>
    <x v="0"/>
    <n v="70"/>
    <n v="0.3"/>
    <n v="13"/>
    <x v="985"/>
    <x v="4"/>
    <x v="1"/>
    <x v="3"/>
    <n v="0"/>
    <x v="0"/>
  </r>
  <r>
    <x v="2354"/>
    <x v="6"/>
    <s v="United States"/>
    <x v="2"/>
    <n v="27"/>
    <n v="0.25"/>
    <n v="61"/>
    <x v="985"/>
    <x v="4"/>
    <x v="1"/>
    <x v="3"/>
    <n v="0"/>
    <x v="0"/>
  </r>
  <r>
    <x v="1531"/>
    <x v="14"/>
    <s v="United States"/>
    <x v="3"/>
    <s v="NULL"/>
    <n v="0.18"/>
    <n v="283"/>
    <x v="985"/>
    <x v="4"/>
    <x v="1"/>
    <x v="4"/>
    <n v="0"/>
    <x v="0"/>
  </r>
  <r>
    <x v="2355"/>
    <x v="10"/>
    <s v="United States"/>
    <x v="5"/>
    <n v="43"/>
    <s v="NULL"/>
    <n v="106"/>
    <x v="986"/>
    <x v="4"/>
    <x v="1"/>
    <x v="4"/>
    <s v="NULL"/>
    <x v="0"/>
  </r>
  <r>
    <x v="2356"/>
    <x v="9"/>
    <s v="Austria"/>
    <x v="5"/>
    <n v="270"/>
    <n v="0.27"/>
    <n v="546"/>
    <x v="987"/>
    <x v="4"/>
    <x v="1"/>
    <x v="4"/>
    <n v="0"/>
    <x v="0"/>
  </r>
  <r>
    <x v="2357"/>
    <x v="14"/>
    <s v="United States"/>
    <x v="8"/>
    <n v="90"/>
    <n v="0.23"/>
    <n v="124"/>
    <x v="987"/>
    <x v="4"/>
    <x v="1"/>
    <x v="4"/>
    <n v="0"/>
    <x v="0"/>
  </r>
  <r>
    <x v="2358"/>
    <x v="14"/>
    <s v="United States"/>
    <x v="5"/>
    <n v="41"/>
    <n v="0.14000000000000001"/>
    <n v="137"/>
    <x v="987"/>
    <x v="4"/>
    <x v="1"/>
    <x v="4"/>
    <n v="0"/>
    <x v="0"/>
  </r>
  <r>
    <x v="1555"/>
    <x v="14"/>
    <s v="United States"/>
    <x v="7"/>
    <n v="40"/>
    <n v="0.12"/>
    <n v="406"/>
    <x v="987"/>
    <x v="4"/>
    <x v="1"/>
    <x v="4"/>
    <n v="0"/>
    <x v="0"/>
  </r>
  <r>
    <x v="2359"/>
    <x v="2"/>
    <s v="United States"/>
    <x v="3"/>
    <s v="NULL"/>
    <s v="NULL"/>
    <n v="76"/>
    <x v="987"/>
    <x v="4"/>
    <x v="1"/>
    <x v="3"/>
    <s v="NULL"/>
    <x v="1"/>
  </r>
  <r>
    <x v="2360"/>
    <x v="5"/>
    <s v="United States"/>
    <x v="2"/>
    <s v="NULL"/>
    <s v="NULL"/>
    <n v="45"/>
    <x v="987"/>
    <x v="4"/>
    <x v="1"/>
    <x v="3"/>
    <s v="NULL"/>
    <x v="1"/>
  </r>
  <r>
    <x v="2121"/>
    <x v="4"/>
    <s v="United States"/>
    <x v="0"/>
    <n v="300"/>
    <n v="0.03"/>
    <n v="121900"/>
    <x v="988"/>
    <x v="4"/>
    <x v="1"/>
    <x v="2"/>
    <n v="0"/>
    <x v="0"/>
  </r>
  <r>
    <x v="2361"/>
    <x v="3"/>
    <s v="United States"/>
    <x v="4"/>
    <n v="70"/>
    <n v="0.09"/>
    <n v="500"/>
    <x v="988"/>
    <x v="4"/>
    <x v="1"/>
    <x v="4"/>
    <n v="0"/>
    <x v="0"/>
  </r>
  <r>
    <x v="2362"/>
    <x v="3"/>
    <s v="United States"/>
    <x v="3"/>
    <n v="22"/>
    <n v="0.13"/>
    <n v="19"/>
    <x v="988"/>
    <x v="4"/>
    <x v="1"/>
    <x v="3"/>
    <n v="0"/>
    <x v="0"/>
  </r>
  <r>
    <x v="2363"/>
    <x v="14"/>
    <s v="United States"/>
    <x v="5"/>
    <n v="15"/>
    <n v="7.0000000000000007E-2"/>
    <n v="159"/>
    <x v="988"/>
    <x v="4"/>
    <x v="1"/>
    <x v="4"/>
    <n v="0"/>
    <x v="0"/>
  </r>
  <r>
    <x v="2364"/>
    <x v="10"/>
    <s v="United States"/>
    <x v="3"/>
    <n v="8"/>
    <n v="0.13"/>
    <n v="10"/>
    <x v="988"/>
    <x v="4"/>
    <x v="1"/>
    <x v="3"/>
    <n v="0"/>
    <x v="0"/>
  </r>
  <r>
    <x v="1773"/>
    <x v="0"/>
    <s v="United States"/>
    <x v="8"/>
    <s v="NULL"/>
    <n v="0.12"/>
    <n v="10"/>
    <x v="988"/>
    <x v="4"/>
    <x v="1"/>
    <x v="3"/>
    <n v="0"/>
    <x v="0"/>
  </r>
  <r>
    <x v="2365"/>
    <x v="18"/>
    <s v="Kenya"/>
    <x v="6"/>
    <s v="NULL"/>
    <n v="1"/>
    <n v="1"/>
    <x v="988"/>
    <x v="4"/>
    <x v="1"/>
    <x v="0"/>
    <n v="1"/>
    <x v="0"/>
  </r>
  <r>
    <x v="2366"/>
    <x v="0"/>
    <s v="United States"/>
    <x v="11"/>
    <s v="NULL"/>
    <s v="NULL"/>
    <n v="229"/>
    <x v="988"/>
    <x v="4"/>
    <x v="1"/>
    <x v="4"/>
    <s v="NULL"/>
    <x v="1"/>
  </r>
  <r>
    <x v="978"/>
    <x v="16"/>
    <s v="United States"/>
    <x v="7"/>
    <s v="NULL"/>
    <n v="0.1"/>
    <n v="472"/>
    <x v="988"/>
    <x v="4"/>
    <x v="1"/>
    <x v="4"/>
    <n v="0"/>
    <x v="0"/>
  </r>
  <r>
    <x v="2367"/>
    <x v="5"/>
    <s v="United States"/>
    <x v="3"/>
    <s v="NULL"/>
    <n v="0.18"/>
    <n v="1000"/>
    <x v="988"/>
    <x v="4"/>
    <x v="1"/>
    <x v="2"/>
    <n v="0"/>
    <x v="0"/>
  </r>
  <r>
    <x v="1125"/>
    <x v="4"/>
    <s v="Israel"/>
    <x v="2"/>
    <s v="NULL"/>
    <n v="0.2"/>
    <n v="111"/>
    <x v="988"/>
    <x v="4"/>
    <x v="1"/>
    <x v="4"/>
    <n v="0"/>
    <x v="0"/>
  </r>
  <r>
    <x v="1518"/>
    <x v="21"/>
    <s v="United States"/>
    <x v="11"/>
    <n v="120"/>
    <n v="0.2"/>
    <n v="461"/>
    <x v="989"/>
    <x v="4"/>
    <x v="1"/>
    <x v="4"/>
    <n v="0"/>
    <x v="0"/>
  </r>
  <r>
    <x v="1036"/>
    <x v="3"/>
    <s v="United States"/>
    <x v="0"/>
    <n v="90"/>
    <n v="0.35"/>
    <n v="410"/>
    <x v="989"/>
    <x v="4"/>
    <x v="1"/>
    <x v="4"/>
    <n v="0"/>
    <x v="0"/>
  </r>
  <r>
    <x v="2368"/>
    <x v="16"/>
    <s v="United States"/>
    <x v="5"/>
    <n v="70"/>
    <s v="NULL"/>
    <n v="171"/>
    <x v="989"/>
    <x v="4"/>
    <x v="1"/>
    <x v="4"/>
    <s v="NULL"/>
    <x v="0"/>
  </r>
  <r>
    <x v="1036"/>
    <x v="3"/>
    <s v="United States"/>
    <x v="0"/>
    <n v="55"/>
    <n v="0.17"/>
    <n v="410"/>
    <x v="989"/>
    <x v="4"/>
    <x v="1"/>
    <x v="4"/>
    <n v="0"/>
    <x v="0"/>
  </r>
  <r>
    <x v="410"/>
    <x v="15"/>
    <s v="United States"/>
    <x v="0"/>
    <n v="50"/>
    <s v="NULL"/>
    <n v="429"/>
    <x v="989"/>
    <x v="4"/>
    <x v="1"/>
    <x v="4"/>
    <s v="NULL"/>
    <x v="0"/>
  </r>
  <r>
    <x v="904"/>
    <x v="11"/>
    <s v="United States"/>
    <x v="5"/>
    <n v="35"/>
    <n v="7.0000000000000007E-2"/>
    <n v="261"/>
    <x v="989"/>
    <x v="4"/>
    <x v="1"/>
    <x v="4"/>
    <n v="0"/>
    <x v="0"/>
  </r>
  <r>
    <x v="772"/>
    <x v="11"/>
    <s v="Sweden"/>
    <x v="7"/>
    <n v="35"/>
    <n v="0.1"/>
    <n v="515"/>
    <x v="989"/>
    <x v="4"/>
    <x v="1"/>
    <x v="4"/>
    <n v="0"/>
    <x v="0"/>
  </r>
  <r>
    <x v="1836"/>
    <x v="19"/>
    <s v="United States"/>
    <x v="2"/>
    <n v="30"/>
    <s v="NULL"/>
    <n v="51"/>
    <x v="989"/>
    <x v="4"/>
    <x v="1"/>
    <x v="3"/>
    <s v="NULL"/>
    <x v="0"/>
  </r>
  <r>
    <x v="1271"/>
    <x v="18"/>
    <s v="Canada"/>
    <x v="5"/>
    <n v="23"/>
    <n v="0.16"/>
    <n v="134"/>
    <x v="989"/>
    <x v="4"/>
    <x v="1"/>
    <x v="4"/>
    <n v="0"/>
    <x v="0"/>
  </r>
  <r>
    <x v="2369"/>
    <x v="4"/>
    <s v="Luxembourg"/>
    <x v="3"/>
    <s v="NULL"/>
    <s v="NULL"/>
    <s v="NULL"/>
    <x v="989"/>
    <x v="4"/>
    <x v="1"/>
    <x v="1"/>
    <s v="NULL"/>
    <x v="1"/>
  </r>
  <r>
    <x v="1996"/>
    <x v="18"/>
    <s v="Australia"/>
    <x v="6"/>
    <s v="NULL"/>
    <n v="0.5"/>
    <n v="13"/>
    <x v="989"/>
    <x v="4"/>
    <x v="1"/>
    <x v="3"/>
    <n v="0"/>
    <x v="0"/>
  </r>
  <r>
    <x v="2370"/>
    <x v="14"/>
    <s v="Brazil"/>
    <x v="2"/>
    <n v="340"/>
    <n v="0.2"/>
    <n v="460"/>
    <x v="990"/>
    <x v="4"/>
    <x v="1"/>
    <x v="4"/>
    <n v="0"/>
    <x v="0"/>
  </r>
  <r>
    <x v="1549"/>
    <x v="15"/>
    <s v="United States"/>
    <x v="0"/>
    <n v="52"/>
    <n v="0"/>
    <n v="279"/>
    <x v="990"/>
    <x v="4"/>
    <x v="1"/>
    <x v="4"/>
    <n v="0"/>
    <x v="0"/>
  </r>
  <r>
    <x v="2371"/>
    <x v="10"/>
    <s v="United States"/>
    <x v="3"/>
    <n v="40"/>
    <n v="0.3"/>
    <n v="40"/>
    <x v="990"/>
    <x v="4"/>
    <x v="1"/>
    <x v="3"/>
    <n v="0"/>
    <x v="0"/>
  </r>
  <r>
    <x v="2372"/>
    <x v="22"/>
    <s v="United States"/>
    <x v="7"/>
    <n v="24"/>
    <n v="0.08"/>
    <n v="248"/>
    <x v="990"/>
    <x v="4"/>
    <x v="1"/>
    <x v="4"/>
    <n v="0"/>
    <x v="0"/>
  </r>
  <r>
    <x v="2373"/>
    <x v="18"/>
    <s v="Colombia"/>
    <x v="5"/>
    <s v="NULL"/>
    <n v="0.03"/>
    <n v="202"/>
    <x v="990"/>
    <x v="4"/>
    <x v="1"/>
    <x v="4"/>
    <n v="0"/>
    <x v="0"/>
  </r>
  <r>
    <x v="2374"/>
    <x v="21"/>
    <s v="India"/>
    <x v="6"/>
    <s v="NULL"/>
    <n v="1"/>
    <s v="NULL"/>
    <x v="990"/>
    <x v="4"/>
    <x v="1"/>
    <x v="1"/>
    <n v="1"/>
    <x v="0"/>
  </r>
  <r>
    <x v="2375"/>
    <x v="6"/>
    <s v="United States"/>
    <x v="5"/>
    <s v="NULL"/>
    <n v="0.1"/>
    <n v="109"/>
    <x v="990"/>
    <x v="4"/>
    <x v="1"/>
    <x v="4"/>
    <n v="0"/>
    <x v="0"/>
  </r>
  <r>
    <x v="1883"/>
    <x v="9"/>
    <s v="Singapore"/>
    <x v="3"/>
    <n v="600"/>
    <n v="0.3"/>
    <s v="NULL"/>
    <x v="991"/>
    <x v="4"/>
    <x v="1"/>
    <x v="1"/>
    <n v="0"/>
    <x v="0"/>
  </r>
  <r>
    <x v="2376"/>
    <x v="5"/>
    <s v="United States"/>
    <x v="3"/>
    <n v="101"/>
    <n v="1"/>
    <n v="7"/>
    <x v="991"/>
    <x v="4"/>
    <x v="1"/>
    <x v="0"/>
    <n v="1"/>
    <x v="0"/>
  </r>
  <r>
    <x v="1937"/>
    <x v="2"/>
    <s v="Singapore"/>
    <x v="11"/>
    <n v="100"/>
    <n v="0.12"/>
    <n v="1000"/>
    <x v="991"/>
    <x v="4"/>
    <x v="1"/>
    <x v="2"/>
    <n v="0"/>
    <x v="0"/>
  </r>
  <r>
    <x v="2377"/>
    <x v="18"/>
    <s v="India"/>
    <x v="3"/>
    <n v="80"/>
    <n v="0.3"/>
    <n v="12"/>
    <x v="991"/>
    <x v="4"/>
    <x v="1"/>
    <x v="3"/>
    <n v="0"/>
    <x v="0"/>
  </r>
  <r>
    <x v="2378"/>
    <x v="2"/>
    <s v="Canada"/>
    <x v="8"/>
    <n v="30"/>
    <n v="0.55000000000000004"/>
    <n v="27"/>
    <x v="991"/>
    <x v="4"/>
    <x v="1"/>
    <x v="3"/>
    <n v="0"/>
    <x v="0"/>
  </r>
  <r>
    <x v="2130"/>
    <x v="26"/>
    <s v="Australia"/>
    <x v="5"/>
    <n v="30"/>
    <n v="0.15"/>
    <n v="145"/>
    <x v="991"/>
    <x v="4"/>
    <x v="1"/>
    <x v="4"/>
    <n v="0"/>
    <x v="0"/>
  </r>
  <r>
    <x v="1243"/>
    <x v="4"/>
    <s v="United States"/>
    <x v="3"/>
    <s v="NULL"/>
    <n v="0.2"/>
    <n v="32"/>
    <x v="991"/>
    <x v="4"/>
    <x v="1"/>
    <x v="3"/>
    <n v="0"/>
    <x v="0"/>
  </r>
  <r>
    <x v="1883"/>
    <x v="9"/>
    <s v="Singapore"/>
    <x v="3"/>
    <s v="NULL"/>
    <s v="NULL"/>
    <s v="NULL"/>
    <x v="991"/>
    <x v="4"/>
    <x v="1"/>
    <x v="1"/>
    <s v="NULL"/>
    <x v="1"/>
  </r>
  <r>
    <x v="1008"/>
    <x v="2"/>
    <s v="India"/>
    <x v="5"/>
    <n v="191"/>
    <n v="0.3"/>
    <n v="112"/>
    <x v="992"/>
    <x v="4"/>
    <x v="1"/>
    <x v="4"/>
    <n v="0"/>
    <x v="0"/>
  </r>
  <r>
    <x v="2379"/>
    <x v="9"/>
    <s v="United Arab Emirates"/>
    <x v="2"/>
    <n v="9"/>
    <n v="0.05"/>
    <n v="30"/>
    <x v="992"/>
    <x v="4"/>
    <x v="1"/>
    <x v="3"/>
    <n v="0"/>
    <x v="0"/>
  </r>
  <r>
    <x v="615"/>
    <x v="21"/>
    <s v="India"/>
    <x v="13"/>
    <n v="150"/>
    <n v="0.03"/>
    <n v="838"/>
    <x v="993"/>
    <x v="4"/>
    <x v="1"/>
    <x v="4"/>
    <n v="0"/>
    <x v="0"/>
  </r>
  <r>
    <x v="514"/>
    <x v="1"/>
    <s v="China"/>
    <x v="3"/>
    <n v="150"/>
    <s v="NULL"/>
    <n v="9400"/>
    <x v="994"/>
    <x v="4"/>
    <x v="1"/>
    <x v="2"/>
    <s v="NULL"/>
    <x v="0"/>
  </r>
  <r>
    <x v="1789"/>
    <x v="14"/>
    <s v="United States"/>
    <x v="11"/>
    <n v="69"/>
    <n v="0.13"/>
    <n v="646"/>
    <x v="994"/>
    <x v="4"/>
    <x v="1"/>
    <x v="4"/>
    <n v="0"/>
    <x v="0"/>
  </r>
  <r>
    <x v="2380"/>
    <x v="3"/>
    <s v="United States"/>
    <x v="2"/>
    <n v="16"/>
    <n v="0.2"/>
    <n v="49"/>
    <x v="994"/>
    <x v="4"/>
    <x v="1"/>
    <x v="3"/>
    <n v="0"/>
    <x v="0"/>
  </r>
  <r>
    <x v="2381"/>
    <x v="18"/>
    <s v="United States"/>
    <x v="2"/>
    <n v="50"/>
    <n v="0.05"/>
    <n v="430"/>
    <x v="995"/>
    <x v="4"/>
    <x v="1"/>
    <x v="4"/>
    <n v="0"/>
    <x v="0"/>
  </r>
  <r>
    <x v="2382"/>
    <x v="16"/>
    <s v="United States"/>
    <x v="7"/>
    <n v="45"/>
    <n v="0.15"/>
    <n v="178"/>
    <x v="995"/>
    <x v="4"/>
    <x v="1"/>
    <x v="4"/>
    <n v="0"/>
    <x v="0"/>
  </r>
  <r>
    <x v="1384"/>
    <x v="5"/>
    <s v="India"/>
    <x v="3"/>
    <n v="40"/>
    <s v="NULL"/>
    <n v="1600"/>
    <x v="995"/>
    <x v="4"/>
    <x v="1"/>
    <x v="2"/>
    <s v="NULL"/>
    <x v="0"/>
  </r>
  <r>
    <x v="2383"/>
    <x v="5"/>
    <s v="United States"/>
    <x v="8"/>
    <s v="NULL"/>
    <n v="0.5"/>
    <n v="50"/>
    <x v="995"/>
    <x v="4"/>
    <x v="1"/>
    <x v="3"/>
    <n v="0"/>
    <x v="0"/>
  </r>
  <r>
    <x v="2384"/>
    <x v="2"/>
    <s v="Finland"/>
    <x v="5"/>
    <n v="250"/>
    <n v="0.17"/>
    <n v="169"/>
    <x v="996"/>
    <x v="4"/>
    <x v="1"/>
    <x v="4"/>
    <n v="0"/>
    <x v="0"/>
  </r>
  <r>
    <x v="2385"/>
    <x v="14"/>
    <s v="Canada"/>
    <x v="3"/>
    <n v="159"/>
    <n v="0.13"/>
    <n v="900"/>
    <x v="996"/>
    <x v="4"/>
    <x v="1"/>
    <x v="4"/>
    <n v="0"/>
    <x v="0"/>
  </r>
  <r>
    <x v="2386"/>
    <x v="18"/>
    <s v="United States"/>
    <x v="11"/>
    <n v="150"/>
    <n v="0.1"/>
    <n v="863"/>
    <x v="996"/>
    <x v="4"/>
    <x v="1"/>
    <x v="4"/>
    <n v="0"/>
    <x v="0"/>
  </r>
  <r>
    <x v="2037"/>
    <x v="27"/>
    <s v="United States"/>
    <x v="7"/>
    <n v="110"/>
    <n v="0.25"/>
    <n v="213"/>
    <x v="996"/>
    <x v="4"/>
    <x v="1"/>
    <x v="4"/>
    <n v="0"/>
    <x v="0"/>
  </r>
  <r>
    <x v="4"/>
    <x v="4"/>
    <s v="Israel"/>
    <x v="3"/>
    <n v="60"/>
    <n v="0.15"/>
    <n v="65"/>
    <x v="996"/>
    <x v="4"/>
    <x v="1"/>
    <x v="3"/>
    <n v="0"/>
    <x v="0"/>
  </r>
  <r>
    <x v="2387"/>
    <x v="0"/>
    <s v="United States"/>
    <x v="2"/>
    <n v="23"/>
    <n v="0.23"/>
    <n v="83"/>
    <x v="996"/>
    <x v="4"/>
    <x v="1"/>
    <x v="3"/>
    <n v="0"/>
    <x v="0"/>
  </r>
  <r>
    <x v="2388"/>
    <x v="1"/>
    <s v="Denmark"/>
    <x v="3"/>
    <n v="15"/>
    <s v="NULL"/>
    <n v="7"/>
    <x v="996"/>
    <x v="4"/>
    <x v="1"/>
    <x v="0"/>
    <s v="NULL"/>
    <x v="0"/>
  </r>
  <r>
    <x v="2389"/>
    <x v="4"/>
    <s v="Israel"/>
    <x v="11"/>
    <n v="14"/>
    <n v="0.05"/>
    <n v="223"/>
    <x v="996"/>
    <x v="4"/>
    <x v="1"/>
    <x v="4"/>
    <n v="0"/>
    <x v="0"/>
  </r>
  <r>
    <x v="2390"/>
    <x v="23"/>
    <s v="Canada"/>
    <x v="8"/>
    <n v="10"/>
    <n v="0.3"/>
    <n v="20"/>
    <x v="996"/>
    <x v="4"/>
    <x v="1"/>
    <x v="3"/>
    <n v="0"/>
    <x v="0"/>
  </r>
  <r>
    <x v="2391"/>
    <x v="21"/>
    <s v="Peru"/>
    <x v="2"/>
    <s v="NULL"/>
    <s v="NULL"/>
    <n v="93"/>
    <x v="996"/>
    <x v="4"/>
    <x v="1"/>
    <x v="3"/>
    <s v="NULL"/>
    <x v="1"/>
  </r>
  <r>
    <x v="2392"/>
    <x v="16"/>
    <s v="United States"/>
    <x v="2"/>
    <s v="NULL"/>
    <n v="1"/>
    <n v="44"/>
    <x v="996"/>
    <x v="4"/>
    <x v="1"/>
    <x v="3"/>
    <n v="1"/>
    <x v="0"/>
  </r>
  <r>
    <x v="97"/>
    <x v="9"/>
    <s v="United States"/>
    <x v="0"/>
    <n v="1100"/>
    <n v="0.18"/>
    <n v="549"/>
    <x v="997"/>
    <x v="4"/>
    <x v="1"/>
    <x v="4"/>
    <n v="0"/>
    <x v="0"/>
  </r>
  <r>
    <x v="404"/>
    <x v="16"/>
    <s v="United States"/>
    <x v="0"/>
    <n v="470"/>
    <n v="0.08"/>
    <n v="319"/>
    <x v="997"/>
    <x v="4"/>
    <x v="1"/>
    <x v="4"/>
    <n v="0"/>
    <x v="0"/>
  </r>
  <r>
    <x v="1798"/>
    <x v="16"/>
    <s v="United States"/>
    <x v="0"/>
    <n v="450"/>
    <n v="0.1"/>
    <n v="1600"/>
    <x v="997"/>
    <x v="4"/>
    <x v="1"/>
    <x v="2"/>
    <n v="0"/>
    <x v="0"/>
  </r>
  <r>
    <x v="2393"/>
    <x v="5"/>
    <s v="Brazil"/>
    <x v="3"/>
    <n v="75"/>
    <n v="0.15"/>
    <n v="36"/>
    <x v="997"/>
    <x v="4"/>
    <x v="1"/>
    <x v="3"/>
    <n v="0"/>
    <x v="0"/>
  </r>
  <r>
    <x v="2394"/>
    <x v="5"/>
    <s v="India"/>
    <x v="8"/>
    <n v="50"/>
    <n v="0.33"/>
    <n v="6"/>
    <x v="997"/>
    <x v="4"/>
    <x v="1"/>
    <x v="0"/>
    <n v="0"/>
    <x v="0"/>
  </r>
  <r>
    <x v="2395"/>
    <x v="7"/>
    <s v="Colombia"/>
    <x v="6"/>
    <n v="30"/>
    <s v="NULL"/>
    <n v="6"/>
    <x v="997"/>
    <x v="4"/>
    <x v="1"/>
    <x v="0"/>
    <s v="NULL"/>
    <x v="0"/>
  </r>
  <r>
    <x v="2396"/>
    <x v="9"/>
    <s v="United States"/>
    <x v="7"/>
    <n v="24"/>
    <n v="0.1"/>
    <n v="204"/>
    <x v="997"/>
    <x v="4"/>
    <x v="1"/>
    <x v="4"/>
    <n v="0"/>
    <x v="0"/>
  </r>
  <r>
    <x v="2397"/>
    <x v="14"/>
    <s v="Colombia"/>
    <x v="5"/>
    <s v="NULL"/>
    <s v="NULL"/>
    <n v="376"/>
    <x v="997"/>
    <x v="4"/>
    <x v="1"/>
    <x v="4"/>
    <s v="NULL"/>
    <x v="1"/>
  </r>
  <r>
    <x v="36"/>
    <x v="18"/>
    <s v="Singapore"/>
    <x v="3"/>
    <s v="NULL"/>
    <s v="NULL"/>
    <s v="NULL"/>
    <x v="997"/>
    <x v="4"/>
    <x v="1"/>
    <x v="1"/>
    <s v="NULL"/>
    <x v="1"/>
  </r>
  <r>
    <x v="1918"/>
    <x v="9"/>
    <s v="United States"/>
    <x v="11"/>
    <n v="250"/>
    <n v="0.2"/>
    <n v="1000"/>
    <x v="998"/>
    <x v="4"/>
    <x v="1"/>
    <x v="2"/>
    <n v="0"/>
    <x v="0"/>
  </r>
  <r>
    <x v="2398"/>
    <x v="4"/>
    <s v="United States"/>
    <x v="2"/>
    <n v="56"/>
    <n v="0.33"/>
    <n v="65"/>
    <x v="998"/>
    <x v="4"/>
    <x v="1"/>
    <x v="3"/>
    <n v="0"/>
    <x v="0"/>
  </r>
  <r>
    <x v="2024"/>
    <x v="21"/>
    <s v="United States"/>
    <x v="2"/>
    <n v="33"/>
    <n v="0.4"/>
    <n v="50"/>
    <x v="998"/>
    <x v="4"/>
    <x v="1"/>
    <x v="3"/>
    <n v="0"/>
    <x v="0"/>
  </r>
  <r>
    <x v="2399"/>
    <x v="24"/>
    <s v="United States"/>
    <x v="5"/>
    <s v="NULL"/>
    <s v="NULL"/>
    <n v="152"/>
    <x v="998"/>
    <x v="4"/>
    <x v="1"/>
    <x v="4"/>
    <s v="NULL"/>
    <x v="1"/>
  </r>
  <r>
    <x v="831"/>
    <x v="0"/>
    <s v="United States"/>
    <x v="0"/>
    <s v="NULL"/>
    <n v="0.12"/>
    <n v="811"/>
    <x v="998"/>
    <x v="4"/>
    <x v="1"/>
    <x v="4"/>
    <n v="0"/>
    <x v="0"/>
  </r>
  <r>
    <x v="148"/>
    <x v="9"/>
    <s v="Singapore"/>
    <x v="3"/>
    <n v="260"/>
    <n v="0.05"/>
    <n v="156"/>
    <x v="999"/>
    <x v="4"/>
    <x v="1"/>
    <x v="4"/>
    <n v="0"/>
    <x v="0"/>
  </r>
  <r>
    <x v="1616"/>
    <x v="23"/>
    <s v="India"/>
    <x v="11"/>
    <n v="250"/>
    <n v="0.3"/>
    <n v="150"/>
    <x v="999"/>
    <x v="4"/>
    <x v="1"/>
    <x v="4"/>
    <n v="0"/>
    <x v="0"/>
  </r>
  <r>
    <x v="2400"/>
    <x v="2"/>
    <s v="Germany"/>
    <x v="3"/>
    <n v="100"/>
    <n v="0.1"/>
    <n v="1000"/>
    <x v="999"/>
    <x v="4"/>
    <x v="1"/>
    <x v="2"/>
    <n v="0"/>
    <x v="0"/>
  </r>
  <r>
    <x v="2401"/>
    <x v="5"/>
    <s v="Brazil"/>
    <x v="3"/>
    <n v="60"/>
    <n v="0.2"/>
    <n v="11"/>
    <x v="999"/>
    <x v="4"/>
    <x v="1"/>
    <x v="3"/>
    <n v="0"/>
    <x v="0"/>
  </r>
  <r>
    <x v="2402"/>
    <x v="14"/>
    <s v="United Kingdom"/>
    <x v="3"/>
    <n v="45"/>
    <n v="0.15"/>
    <n v="133"/>
    <x v="999"/>
    <x v="4"/>
    <x v="1"/>
    <x v="4"/>
    <n v="0"/>
    <x v="0"/>
  </r>
  <r>
    <x v="2403"/>
    <x v="14"/>
    <s v="United States"/>
    <x v="5"/>
    <n v="20"/>
    <n v="0.08"/>
    <n v="175"/>
    <x v="999"/>
    <x v="4"/>
    <x v="1"/>
    <x v="4"/>
    <n v="0"/>
    <x v="0"/>
  </r>
  <r>
    <x v="2404"/>
    <x v="16"/>
    <s v="United States"/>
    <x v="3"/>
    <s v="NULL"/>
    <s v="NULL"/>
    <n v="6"/>
    <x v="999"/>
    <x v="4"/>
    <x v="1"/>
    <x v="0"/>
    <s v="NULL"/>
    <x v="1"/>
  </r>
  <r>
    <x v="2405"/>
    <x v="24"/>
    <s v="United States"/>
    <x v="2"/>
    <s v="NULL"/>
    <s v="NULL"/>
    <n v="22"/>
    <x v="999"/>
    <x v="4"/>
    <x v="1"/>
    <x v="3"/>
    <s v="NULL"/>
    <x v="1"/>
  </r>
  <r>
    <x v="2406"/>
    <x v="16"/>
    <s v="China"/>
    <x v="3"/>
    <s v="NULL"/>
    <n v="0.2"/>
    <n v="2100"/>
    <x v="999"/>
    <x v="4"/>
    <x v="1"/>
    <x v="2"/>
    <n v="0"/>
    <x v="0"/>
  </r>
  <r>
    <x v="2407"/>
    <x v="3"/>
    <s v="United States"/>
    <x v="5"/>
    <n v="950"/>
    <n v="0.25"/>
    <n v="926"/>
    <x v="1000"/>
    <x v="4"/>
    <x v="1"/>
    <x v="4"/>
    <n v="0"/>
    <x v="0"/>
  </r>
  <r>
    <x v="843"/>
    <x v="2"/>
    <s v="United States"/>
    <x v="0"/>
    <n v="330"/>
    <n v="0.15"/>
    <n v="79"/>
    <x v="1000"/>
    <x v="4"/>
    <x v="1"/>
    <x v="3"/>
    <n v="0"/>
    <x v="0"/>
  </r>
  <r>
    <x v="2408"/>
    <x v="2"/>
    <s v="Sweden"/>
    <x v="3"/>
    <n v="200"/>
    <n v="0.15"/>
    <s v="NULL"/>
    <x v="1000"/>
    <x v="4"/>
    <x v="1"/>
    <x v="1"/>
    <n v="0"/>
    <x v="0"/>
  </r>
  <r>
    <x v="999"/>
    <x v="23"/>
    <s v="United States"/>
    <x v="11"/>
    <n v="90"/>
    <n v="7.0000000000000007E-2"/>
    <n v="1100"/>
    <x v="1000"/>
    <x v="4"/>
    <x v="1"/>
    <x v="2"/>
    <n v="0"/>
    <x v="0"/>
  </r>
  <r>
    <x v="854"/>
    <x v="24"/>
    <s v="United States"/>
    <x v="2"/>
    <n v="80"/>
    <n v="0.4"/>
    <n v="82"/>
    <x v="1000"/>
    <x v="4"/>
    <x v="1"/>
    <x v="3"/>
    <n v="0"/>
    <x v="0"/>
  </r>
  <r>
    <x v="438"/>
    <x v="2"/>
    <s v="Sweden"/>
    <x v="0"/>
    <n v="70"/>
    <n v="0.05"/>
    <n v="56"/>
    <x v="1000"/>
    <x v="4"/>
    <x v="1"/>
    <x v="3"/>
    <n v="0"/>
    <x v="0"/>
  </r>
  <r>
    <x v="2409"/>
    <x v="2"/>
    <s v="United States"/>
    <x v="1"/>
    <n v="40"/>
    <n v="1"/>
    <n v="5"/>
    <x v="1000"/>
    <x v="4"/>
    <x v="1"/>
    <x v="0"/>
    <n v="1"/>
    <x v="0"/>
  </r>
  <r>
    <x v="2410"/>
    <x v="14"/>
    <s v="Singapore"/>
    <x v="7"/>
    <n v="31"/>
    <n v="0.14000000000000001"/>
    <n v="61"/>
    <x v="1000"/>
    <x v="4"/>
    <x v="1"/>
    <x v="3"/>
    <n v="0"/>
    <x v="0"/>
  </r>
  <r>
    <x v="2411"/>
    <x v="21"/>
    <s v="United States"/>
    <x v="5"/>
    <n v="26"/>
    <n v="0.05"/>
    <n v="100"/>
    <x v="1000"/>
    <x v="4"/>
    <x v="1"/>
    <x v="4"/>
    <n v="0"/>
    <x v="0"/>
  </r>
  <r>
    <x v="509"/>
    <x v="4"/>
    <s v="United States"/>
    <x v="5"/>
    <s v="NULL"/>
    <n v="0.08"/>
    <n v="22"/>
    <x v="1000"/>
    <x v="4"/>
    <x v="1"/>
    <x v="3"/>
    <n v="0"/>
    <x v="0"/>
  </r>
  <r>
    <x v="2412"/>
    <x v="11"/>
    <s v="United States"/>
    <x v="2"/>
    <s v="NULL"/>
    <n v="0.11"/>
    <n v="197"/>
    <x v="1000"/>
    <x v="4"/>
    <x v="1"/>
    <x v="4"/>
    <n v="0"/>
    <x v="0"/>
  </r>
  <r>
    <x v="627"/>
    <x v="14"/>
    <s v="Germany"/>
    <x v="5"/>
    <s v="NULL"/>
    <s v="NULL"/>
    <n v="1200"/>
    <x v="1000"/>
    <x v="4"/>
    <x v="1"/>
    <x v="2"/>
    <s v="NULL"/>
    <x v="1"/>
  </r>
  <r>
    <x v="247"/>
    <x v="13"/>
    <s v="United States"/>
    <x v="0"/>
    <n v="250"/>
    <n v="0.21"/>
    <n v="839"/>
    <x v="1001"/>
    <x v="4"/>
    <x v="1"/>
    <x v="4"/>
    <n v="0"/>
    <x v="0"/>
  </r>
  <r>
    <x v="1947"/>
    <x v="11"/>
    <s v="Brazil"/>
    <x v="11"/>
    <n v="150"/>
    <s v="NULL"/>
    <n v="1600"/>
    <x v="1001"/>
    <x v="4"/>
    <x v="1"/>
    <x v="2"/>
    <s v="NULL"/>
    <x v="0"/>
  </r>
  <r>
    <x v="2100"/>
    <x v="5"/>
    <s v="United States"/>
    <x v="7"/>
    <n v="150"/>
    <n v="0.15"/>
    <n v="255"/>
    <x v="1001"/>
    <x v="4"/>
    <x v="1"/>
    <x v="4"/>
    <n v="0"/>
    <x v="0"/>
  </r>
  <r>
    <x v="2413"/>
    <x v="2"/>
    <s v="Malaysia"/>
    <x v="3"/>
    <n v="50"/>
    <n v="0.2"/>
    <n v="26"/>
    <x v="1001"/>
    <x v="4"/>
    <x v="1"/>
    <x v="3"/>
    <n v="0"/>
    <x v="0"/>
  </r>
  <r>
    <x v="2414"/>
    <x v="1"/>
    <s v="Sweden"/>
    <x v="3"/>
    <s v="NULL"/>
    <n v="0.4"/>
    <n v="24"/>
    <x v="1001"/>
    <x v="4"/>
    <x v="1"/>
    <x v="3"/>
    <n v="0"/>
    <x v="0"/>
  </r>
  <r>
    <x v="1718"/>
    <x v="11"/>
    <s v="United Kingdom"/>
    <x v="0"/>
    <n v="750"/>
    <n v="0.15"/>
    <n v="2000"/>
    <x v="1002"/>
    <x v="4"/>
    <x v="1"/>
    <x v="2"/>
    <n v="0"/>
    <x v="0"/>
  </r>
  <r>
    <x v="1718"/>
    <x v="11"/>
    <s v="United Kingdom"/>
    <x v="0"/>
    <n v="750"/>
    <n v="0.15"/>
    <n v="2000"/>
    <x v="1002"/>
    <x v="4"/>
    <x v="1"/>
    <x v="2"/>
    <n v="0"/>
    <x v="0"/>
  </r>
  <r>
    <x v="2142"/>
    <x v="14"/>
    <s v="India"/>
    <x v="3"/>
    <n v="180"/>
    <n v="0.15"/>
    <n v="172"/>
    <x v="1002"/>
    <x v="4"/>
    <x v="1"/>
    <x v="4"/>
    <n v="0"/>
    <x v="0"/>
  </r>
  <r>
    <x v="2415"/>
    <x v="10"/>
    <s v="Indonesia"/>
    <x v="5"/>
    <n v="150"/>
    <s v="NULL"/>
    <n v="149"/>
    <x v="1002"/>
    <x v="4"/>
    <x v="1"/>
    <x v="4"/>
    <s v="NULL"/>
    <x v="0"/>
  </r>
  <r>
    <x v="1030"/>
    <x v="11"/>
    <s v="United States"/>
    <x v="0"/>
    <n v="138"/>
    <n v="0.23"/>
    <n v="783"/>
    <x v="1002"/>
    <x v="4"/>
    <x v="1"/>
    <x v="4"/>
    <n v="0"/>
    <x v="0"/>
  </r>
  <r>
    <x v="2416"/>
    <x v="3"/>
    <s v="United States"/>
    <x v="3"/>
    <n v="130"/>
    <s v="NULL"/>
    <n v="275"/>
    <x v="1002"/>
    <x v="4"/>
    <x v="1"/>
    <x v="4"/>
    <s v="NULL"/>
    <x v="0"/>
  </r>
  <r>
    <x v="2417"/>
    <x v="2"/>
    <s v="United States"/>
    <x v="3"/>
    <n v="40"/>
    <s v="NULL"/>
    <n v="11"/>
    <x v="1002"/>
    <x v="4"/>
    <x v="1"/>
    <x v="3"/>
    <s v="NULL"/>
    <x v="0"/>
  </r>
  <r>
    <x v="2418"/>
    <x v="14"/>
    <s v="United States"/>
    <x v="8"/>
    <s v="NULL"/>
    <s v="NULL"/>
    <n v="42"/>
    <x v="1002"/>
    <x v="4"/>
    <x v="1"/>
    <x v="3"/>
    <s v="NULL"/>
    <x v="1"/>
  </r>
  <r>
    <x v="2419"/>
    <x v="14"/>
    <s v="United States"/>
    <x v="2"/>
    <s v="NULL"/>
    <s v="NULL"/>
    <n v="35"/>
    <x v="1002"/>
    <x v="4"/>
    <x v="1"/>
    <x v="3"/>
    <s v="NULL"/>
    <x v="1"/>
  </r>
  <r>
    <x v="2124"/>
    <x v="16"/>
    <s v="Vietnam"/>
    <x v="8"/>
    <s v="NULL"/>
    <n v="0.5"/>
    <n v="33"/>
    <x v="1002"/>
    <x v="4"/>
    <x v="1"/>
    <x v="3"/>
    <n v="0"/>
    <x v="0"/>
  </r>
  <r>
    <x v="1737"/>
    <x v="14"/>
    <s v="Canada"/>
    <x v="5"/>
    <n v="60"/>
    <s v="NULL"/>
    <n v="681"/>
    <x v="1003"/>
    <x v="4"/>
    <x v="1"/>
    <x v="4"/>
    <s v="NULL"/>
    <x v="0"/>
  </r>
  <r>
    <x v="2420"/>
    <x v="0"/>
    <s v="United States"/>
    <x v="7"/>
    <n v="50"/>
    <n v="7.0000000000000007E-2"/>
    <n v="603"/>
    <x v="1003"/>
    <x v="4"/>
    <x v="1"/>
    <x v="4"/>
    <n v="0"/>
    <x v="0"/>
  </r>
  <r>
    <x v="1737"/>
    <x v="14"/>
    <s v="Ireland"/>
    <x v="5"/>
    <s v="NULL"/>
    <s v="NULL"/>
    <n v="681"/>
    <x v="1003"/>
    <x v="4"/>
    <x v="1"/>
    <x v="4"/>
    <s v="NULL"/>
    <x v="1"/>
  </r>
  <r>
    <x v="346"/>
    <x v="3"/>
    <s v="United States"/>
    <x v="7"/>
    <s v="NULL"/>
    <n v="0.1"/>
    <n v="259"/>
    <x v="1003"/>
    <x v="4"/>
    <x v="1"/>
    <x v="4"/>
    <n v="0"/>
    <x v="0"/>
  </r>
  <r>
    <x v="1032"/>
    <x v="10"/>
    <s v="United States"/>
    <x v="5"/>
    <s v="NULL"/>
    <n v="0.14000000000000001"/>
    <n v="152"/>
    <x v="1003"/>
    <x v="4"/>
    <x v="1"/>
    <x v="4"/>
    <n v="0"/>
    <x v="0"/>
  </r>
  <r>
    <x v="2421"/>
    <x v="21"/>
    <s v="India"/>
    <x v="11"/>
    <n v="40"/>
    <s v="NULL"/>
    <n v="1200"/>
    <x v="1004"/>
    <x v="4"/>
    <x v="1"/>
    <x v="2"/>
    <s v="NULL"/>
    <x v="0"/>
  </r>
  <r>
    <x v="2422"/>
    <x v="1"/>
    <s v="Brazil"/>
    <x v="3"/>
    <n v="60"/>
    <n v="0.2"/>
    <s v="NULL"/>
    <x v="1005"/>
    <x v="4"/>
    <x v="1"/>
    <x v="1"/>
    <n v="0"/>
    <x v="0"/>
  </r>
  <r>
    <x v="2423"/>
    <x v="1"/>
    <s v="United States"/>
    <x v="5"/>
    <n v="23"/>
    <n v="0.22"/>
    <n v="108"/>
    <x v="1005"/>
    <x v="4"/>
    <x v="1"/>
    <x v="4"/>
    <n v="0"/>
    <x v="0"/>
  </r>
  <r>
    <x v="2424"/>
    <x v="18"/>
    <s v="United States"/>
    <x v="1"/>
    <n v="21"/>
    <n v="0.15"/>
    <n v="176"/>
    <x v="1005"/>
    <x v="4"/>
    <x v="1"/>
    <x v="4"/>
    <n v="0"/>
    <x v="0"/>
  </r>
  <r>
    <x v="2425"/>
    <x v="26"/>
    <s v="Australia"/>
    <x v="8"/>
    <s v="NULL"/>
    <n v="0.25"/>
    <n v="12"/>
    <x v="1005"/>
    <x v="4"/>
    <x v="1"/>
    <x v="3"/>
    <n v="0"/>
    <x v="0"/>
  </r>
  <r>
    <x v="1397"/>
    <x v="1"/>
    <s v="United States"/>
    <x v="5"/>
    <s v="NULL"/>
    <s v="NULL"/>
    <n v="110"/>
    <x v="1005"/>
    <x v="4"/>
    <x v="1"/>
    <x v="4"/>
    <s v="NULL"/>
    <x v="1"/>
  </r>
  <r>
    <x v="686"/>
    <x v="11"/>
    <s v="United States"/>
    <x v="0"/>
    <s v="NULL"/>
    <n v="0.1"/>
    <n v="20200"/>
    <x v="1005"/>
    <x v="4"/>
    <x v="1"/>
    <x v="2"/>
    <n v="0"/>
    <x v="0"/>
  </r>
  <r>
    <x v="761"/>
    <x v="5"/>
    <s v="United States"/>
    <x v="7"/>
    <n v="250"/>
    <n v="0.08"/>
    <n v="522"/>
    <x v="1006"/>
    <x v="4"/>
    <x v="1"/>
    <x v="4"/>
    <n v="0"/>
    <x v="0"/>
  </r>
  <r>
    <x v="2426"/>
    <x v="18"/>
    <s v="Brazil"/>
    <x v="8"/>
    <n v="170"/>
    <s v="NULL"/>
    <n v="31"/>
    <x v="1006"/>
    <x v="4"/>
    <x v="1"/>
    <x v="3"/>
    <s v="NULL"/>
    <x v="0"/>
  </r>
  <r>
    <x v="2427"/>
    <x v="14"/>
    <s v="United States"/>
    <x v="11"/>
    <n v="170"/>
    <n v="0.25"/>
    <n v="286"/>
    <x v="1006"/>
    <x v="4"/>
    <x v="1"/>
    <x v="4"/>
    <n v="0"/>
    <x v="0"/>
  </r>
  <r>
    <x v="2428"/>
    <x v="30"/>
    <s v="India"/>
    <x v="6"/>
    <n v="140"/>
    <n v="0.5"/>
    <n v="3"/>
    <x v="1006"/>
    <x v="4"/>
    <x v="1"/>
    <x v="0"/>
    <n v="0"/>
    <x v="0"/>
  </r>
  <r>
    <x v="160"/>
    <x v="10"/>
    <s v="Australia"/>
    <x v="3"/>
    <n v="100"/>
    <s v="NULL"/>
    <s v="NULL"/>
    <x v="1006"/>
    <x v="4"/>
    <x v="1"/>
    <x v="1"/>
    <s v="NULL"/>
    <x v="0"/>
  </r>
  <r>
    <x v="146"/>
    <x v="9"/>
    <s v="United States"/>
    <x v="3"/>
    <n v="100"/>
    <n v="0.1"/>
    <n v="423"/>
    <x v="1006"/>
    <x v="4"/>
    <x v="1"/>
    <x v="4"/>
    <n v="0"/>
    <x v="0"/>
  </r>
  <r>
    <x v="2429"/>
    <x v="23"/>
    <s v="United States"/>
    <x v="7"/>
    <n v="59"/>
    <n v="0.08"/>
    <n v="325"/>
    <x v="1006"/>
    <x v="4"/>
    <x v="1"/>
    <x v="4"/>
    <n v="0"/>
    <x v="0"/>
  </r>
  <r>
    <x v="2430"/>
    <x v="1"/>
    <s v="United States"/>
    <x v="2"/>
    <n v="30"/>
    <n v="0.33"/>
    <n v="76"/>
    <x v="1006"/>
    <x v="4"/>
    <x v="1"/>
    <x v="3"/>
    <n v="0"/>
    <x v="0"/>
  </r>
  <r>
    <x v="2431"/>
    <x v="18"/>
    <s v="United States"/>
    <x v="8"/>
    <n v="29"/>
    <s v="NULL"/>
    <n v="28"/>
    <x v="1006"/>
    <x v="4"/>
    <x v="1"/>
    <x v="3"/>
    <s v="NULL"/>
    <x v="0"/>
  </r>
  <r>
    <x v="1267"/>
    <x v="1"/>
    <s v="United States"/>
    <x v="5"/>
    <n v="25"/>
    <n v="0.25"/>
    <n v="197"/>
    <x v="1006"/>
    <x v="4"/>
    <x v="1"/>
    <x v="4"/>
    <n v="0"/>
    <x v="0"/>
  </r>
  <r>
    <x v="2432"/>
    <x v="21"/>
    <s v="United States"/>
    <x v="3"/>
    <s v="NULL"/>
    <s v="NULL"/>
    <n v="37"/>
    <x v="1006"/>
    <x v="4"/>
    <x v="1"/>
    <x v="3"/>
    <s v="NULL"/>
    <x v="1"/>
  </r>
  <r>
    <x v="2433"/>
    <x v="1"/>
    <s v="Malaysia"/>
    <x v="2"/>
    <s v="NULL"/>
    <n v="1"/>
    <n v="17"/>
    <x v="1006"/>
    <x v="4"/>
    <x v="1"/>
    <x v="3"/>
    <n v="1"/>
    <x v="0"/>
  </r>
  <r>
    <x v="2434"/>
    <x v="14"/>
    <s v="Bahrain"/>
    <x v="2"/>
    <s v="NULL"/>
    <s v="NULL"/>
    <n v="202"/>
    <x v="1006"/>
    <x v="4"/>
    <x v="1"/>
    <x v="4"/>
    <s v="NULL"/>
    <x v="1"/>
  </r>
  <r>
    <x v="322"/>
    <x v="11"/>
    <s v="Netherlands"/>
    <x v="0"/>
    <n v="500"/>
    <n v="0.1"/>
    <s v="NULL"/>
    <x v="1007"/>
    <x v="4"/>
    <x v="1"/>
    <x v="1"/>
    <n v="0"/>
    <x v="0"/>
  </r>
  <r>
    <x v="730"/>
    <x v="3"/>
    <s v="United States"/>
    <x v="4"/>
    <n v="100"/>
    <n v="0.06"/>
    <n v="750"/>
    <x v="1007"/>
    <x v="4"/>
    <x v="1"/>
    <x v="4"/>
    <n v="0"/>
    <x v="0"/>
  </r>
  <r>
    <x v="2435"/>
    <x v="21"/>
    <s v="India"/>
    <x v="6"/>
    <n v="100"/>
    <n v="1"/>
    <n v="2"/>
    <x v="1007"/>
    <x v="4"/>
    <x v="1"/>
    <x v="0"/>
    <n v="1"/>
    <x v="0"/>
  </r>
  <r>
    <x v="2150"/>
    <x v="9"/>
    <s v="Brazil"/>
    <x v="3"/>
    <n v="90"/>
    <n v="0.12"/>
    <n v="250"/>
    <x v="1007"/>
    <x v="4"/>
    <x v="1"/>
    <x v="4"/>
    <n v="0"/>
    <x v="0"/>
  </r>
  <r>
    <x v="2436"/>
    <x v="14"/>
    <s v="United Kingdom"/>
    <x v="5"/>
    <n v="65"/>
    <n v="0.1"/>
    <n v="182"/>
    <x v="1007"/>
    <x v="4"/>
    <x v="1"/>
    <x v="4"/>
    <n v="0"/>
    <x v="0"/>
  </r>
  <r>
    <x v="2058"/>
    <x v="22"/>
    <s v="United States"/>
    <x v="5"/>
    <n v="34"/>
    <n v="0.14000000000000001"/>
    <n v="203"/>
    <x v="1007"/>
    <x v="4"/>
    <x v="1"/>
    <x v="4"/>
    <n v="0"/>
    <x v="0"/>
  </r>
  <r>
    <x v="2174"/>
    <x v="21"/>
    <s v="United States"/>
    <x v="3"/>
    <n v="31"/>
    <s v="NULL"/>
    <n v="136"/>
    <x v="1007"/>
    <x v="4"/>
    <x v="1"/>
    <x v="4"/>
    <s v="NULL"/>
    <x v="0"/>
  </r>
  <r>
    <x v="2437"/>
    <x v="13"/>
    <s v="United Kingdom"/>
    <x v="2"/>
    <n v="30"/>
    <n v="0.35"/>
    <n v="32"/>
    <x v="1007"/>
    <x v="4"/>
    <x v="1"/>
    <x v="3"/>
    <n v="0"/>
    <x v="0"/>
  </r>
  <r>
    <x v="522"/>
    <x v="1"/>
    <s v="United States"/>
    <x v="7"/>
    <n v="25"/>
    <s v="NULL"/>
    <n v="202"/>
    <x v="1007"/>
    <x v="4"/>
    <x v="1"/>
    <x v="4"/>
    <s v="NULL"/>
    <x v="0"/>
  </r>
  <r>
    <x v="2064"/>
    <x v="16"/>
    <s v="United States"/>
    <x v="3"/>
    <s v="NULL"/>
    <n v="0.1"/>
    <n v="313"/>
    <x v="1007"/>
    <x v="4"/>
    <x v="1"/>
    <x v="4"/>
    <n v="0"/>
    <x v="0"/>
  </r>
  <r>
    <x v="2438"/>
    <x v="23"/>
    <s v="Pakistan"/>
    <x v="6"/>
    <s v="NULL"/>
    <n v="0.3"/>
    <n v="17"/>
    <x v="1007"/>
    <x v="4"/>
    <x v="1"/>
    <x v="3"/>
    <n v="0"/>
    <x v="0"/>
  </r>
  <r>
    <x v="205"/>
    <x v="1"/>
    <s v="Israel"/>
    <x v="0"/>
    <n v="250"/>
    <n v="0.06"/>
    <s v="NULL"/>
    <x v="1008"/>
    <x v="4"/>
    <x v="2"/>
    <x v="1"/>
    <n v="0"/>
    <x v="0"/>
  </r>
  <r>
    <x v="2439"/>
    <x v="24"/>
    <s v="United States"/>
    <x v="5"/>
    <n v="50"/>
    <s v="NULL"/>
    <n v="85"/>
    <x v="1008"/>
    <x v="4"/>
    <x v="2"/>
    <x v="3"/>
    <s v="NULL"/>
    <x v="0"/>
  </r>
  <r>
    <x v="2440"/>
    <x v="14"/>
    <s v="United States"/>
    <x v="8"/>
    <n v="44"/>
    <n v="0.33"/>
    <n v="110"/>
    <x v="1008"/>
    <x v="4"/>
    <x v="2"/>
    <x v="4"/>
    <n v="0"/>
    <x v="0"/>
  </r>
  <r>
    <x v="2441"/>
    <x v="11"/>
    <s v="Israel"/>
    <x v="8"/>
    <n v="30"/>
    <s v="NULL"/>
    <n v="49"/>
    <x v="1008"/>
    <x v="4"/>
    <x v="2"/>
    <x v="3"/>
    <s v="NULL"/>
    <x v="0"/>
  </r>
  <r>
    <x v="2442"/>
    <x v="21"/>
    <s v="United States"/>
    <x v="8"/>
    <n v="12"/>
    <n v="0.25"/>
    <n v="26"/>
    <x v="1008"/>
    <x v="4"/>
    <x v="2"/>
    <x v="3"/>
    <n v="0"/>
    <x v="0"/>
  </r>
  <r>
    <x v="1530"/>
    <x v="5"/>
    <s v="United States"/>
    <x v="5"/>
    <s v="NULL"/>
    <s v="NULL"/>
    <n v="462"/>
    <x v="1008"/>
    <x v="4"/>
    <x v="2"/>
    <x v="4"/>
    <s v="NULL"/>
    <x v="1"/>
  </r>
  <r>
    <x v="1934"/>
    <x v="11"/>
    <s v="United Arab Emirates"/>
    <x v="0"/>
    <n v="400"/>
    <n v="0.32"/>
    <n v="132"/>
    <x v="1009"/>
    <x v="4"/>
    <x v="2"/>
    <x v="4"/>
    <n v="0"/>
    <x v="0"/>
  </r>
  <r>
    <x v="283"/>
    <x v="1"/>
    <s v="India"/>
    <x v="11"/>
    <n v="100"/>
    <n v="0.1"/>
    <n v="375"/>
    <x v="1009"/>
    <x v="4"/>
    <x v="2"/>
    <x v="4"/>
    <n v="0"/>
    <x v="0"/>
  </r>
  <r>
    <x v="2443"/>
    <x v="14"/>
    <s v="Brazil"/>
    <x v="3"/>
    <n v="100"/>
    <n v="0.03"/>
    <n v="50"/>
    <x v="1009"/>
    <x v="4"/>
    <x v="2"/>
    <x v="3"/>
    <n v="0"/>
    <x v="0"/>
  </r>
  <r>
    <x v="2444"/>
    <x v="6"/>
    <s v="United States"/>
    <x v="3"/>
    <s v="NULL"/>
    <s v="NULL"/>
    <n v="36"/>
    <x v="1009"/>
    <x v="4"/>
    <x v="2"/>
    <x v="3"/>
    <s v="NULL"/>
    <x v="1"/>
  </r>
  <r>
    <x v="1226"/>
    <x v="21"/>
    <s v="India"/>
    <x v="8"/>
    <n v="145"/>
    <n v="0.3"/>
    <n v="17"/>
    <x v="1010"/>
    <x v="4"/>
    <x v="2"/>
    <x v="3"/>
    <n v="0"/>
    <x v="0"/>
  </r>
  <r>
    <x v="2445"/>
    <x v="6"/>
    <s v="India"/>
    <x v="8"/>
    <n v="40"/>
    <s v="NULL"/>
    <n v="23"/>
    <x v="1010"/>
    <x v="4"/>
    <x v="2"/>
    <x v="3"/>
    <s v="NULL"/>
    <x v="0"/>
  </r>
  <r>
    <x v="2446"/>
    <x v="14"/>
    <s v="United Kingdom"/>
    <x v="3"/>
    <n v="29"/>
    <n v="0.26"/>
    <n v="118"/>
    <x v="1010"/>
    <x v="4"/>
    <x v="2"/>
    <x v="4"/>
    <n v="0"/>
    <x v="0"/>
  </r>
  <r>
    <x v="2447"/>
    <x v="23"/>
    <s v="United States"/>
    <x v="3"/>
    <s v="NULL"/>
    <s v="NULL"/>
    <n v="46"/>
    <x v="1010"/>
    <x v="4"/>
    <x v="2"/>
    <x v="3"/>
    <s v="NULL"/>
    <x v="1"/>
  </r>
  <r>
    <x v="2448"/>
    <x v="10"/>
    <s v="United States"/>
    <x v="5"/>
    <s v="NULL"/>
    <s v="NULL"/>
    <n v="120"/>
    <x v="1010"/>
    <x v="4"/>
    <x v="2"/>
    <x v="4"/>
    <s v="NULL"/>
    <x v="1"/>
  </r>
  <r>
    <x v="2448"/>
    <x v="10"/>
    <s v="United States"/>
    <x v="3"/>
    <s v="NULL"/>
    <s v="NULL"/>
    <n v="192"/>
    <x v="1010"/>
    <x v="4"/>
    <x v="2"/>
    <x v="4"/>
    <s v="NULL"/>
    <x v="1"/>
  </r>
  <r>
    <x v="2449"/>
    <x v="2"/>
    <s v="Brazil"/>
    <x v="0"/>
    <n v="200"/>
    <n v="0.13"/>
    <n v="365"/>
    <x v="1011"/>
    <x v="4"/>
    <x v="2"/>
    <x v="4"/>
    <n v="0"/>
    <x v="0"/>
  </r>
  <r>
    <x v="1905"/>
    <x v="9"/>
    <s v="Mexico"/>
    <x v="5"/>
    <n v="80"/>
    <n v="0.11"/>
    <n v="378"/>
    <x v="1011"/>
    <x v="4"/>
    <x v="2"/>
    <x v="4"/>
    <n v="0"/>
    <x v="0"/>
  </r>
  <r>
    <x v="1049"/>
    <x v="18"/>
    <s v="Romania"/>
    <x v="1"/>
    <n v="80"/>
    <s v="NULL"/>
    <n v="749"/>
    <x v="1011"/>
    <x v="4"/>
    <x v="2"/>
    <x v="4"/>
    <s v="NULL"/>
    <x v="0"/>
  </r>
  <r>
    <x v="2450"/>
    <x v="1"/>
    <s v="United Kingdom"/>
    <x v="3"/>
    <n v="50"/>
    <n v="0.02"/>
    <s v="NULL"/>
    <x v="1011"/>
    <x v="4"/>
    <x v="2"/>
    <x v="1"/>
    <n v="0"/>
    <x v="0"/>
  </r>
  <r>
    <x v="2451"/>
    <x v="3"/>
    <s v="United States"/>
    <x v="7"/>
    <n v="300"/>
    <n v="0.2"/>
    <n v="1900"/>
    <x v="1012"/>
    <x v="4"/>
    <x v="2"/>
    <x v="2"/>
    <n v="0"/>
    <x v="0"/>
  </r>
  <r>
    <x v="130"/>
    <x v="14"/>
    <s v="United States"/>
    <x v="11"/>
    <n v="240"/>
    <n v="0.27"/>
    <n v="1300"/>
    <x v="1012"/>
    <x v="4"/>
    <x v="2"/>
    <x v="2"/>
    <n v="0"/>
    <x v="0"/>
  </r>
  <r>
    <x v="1557"/>
    <x v="14"/>
    <s v="United States"/>
    <x v="5"/>
    <n v="75"/>
    <s v="NULL"/>
    <n v="121"/>
    <x v="1012"/>
    <x v="4"/>
    <x v="2"/>
    <x v="4"/>
    <s v="NULL"/>
    <x v="0"/>
  </r>
  <r>
    <x v="2452"/>
    <x v="14"/>
    <s v="Germany"/>
    <x v="2"/>
    <n v="50"/>
    <n v="0.25"/>
    <n v="53"/>
    <x v="1012"/>
    <x v="4"/>
    <x v="2"/>
    <x v="3"/>
    <n v="0"/>
    <x v="0"/>
  </r>
  <r>
    <x v="2067"/>
    <x v="14"/>
    <s v="Germany"/>
    <x v="2"/>
    <n v="45"/>
    <n v="0.2"/>
    <n v="42"/>
    <x v="1012"/>
    <x v="4"/>
    <x v="2"/>
    <x v="3"/>
    <n v="0"/>
    <x v="0"/>
  </r>
  <r>
    <x v="2453"/>
    <x v="14"/>
    <s v="United States"/>
    <x v="2"/>
    <n v="30"/>
    <n v="0.2"/>
    <n v="70"/>
    <x v="1012"/>
    <x v="4"/>
    <x v="2"/>
    <x v="3"/>
    <n v="0"/>
    <x v="0"/>
  </r>
  <r>
    <x v="2297"/>
    <x v="23"/>
    <s v="Pakistan"/>
    <x v="2"/>
    <s v="NULL"/>
    <n v="0.31"/>
    <n v="109"/>
    <x v="1012"/>
    <x v="4"/>
    <x v="2"/>
    <x v="4"/>
    <n v="0"/>
    <x v="0"/>
  </r>
  <r>
    <x v="689"/>
    <x v="18"/>
    <s v="Turkey"/>
    <x v="11"/>
    <s v="NULL"/>
    <n v="0.14000000000000001"/>
    <n v="1800"/>
    <x v="1012"/>
    <x v="4"/>
    <x v="2"/>
    <x v="2"/>
    <n v="0"/>
    <x v="0"/>
  </r>
  <r>
    <x v="521"/>
    <x v="18"/>
    <s v="United Kingdom"/>
    <x v="16"/>
    <s v="NULL"/>
    <n v="0.1"/>
    <n v="300"/>
    <x v="1012"/>
    <x v="4"/>
    <x v="2"/>
    <x v="4"/>
    <n v="0"/>
    <x v="0"/>
  </r>
  <r>
    <x v="2317"/>
    <x v="18"/>
    <s v="Germany"/>
    <x v="5"/>
    <n v="300"/>
    <n v="0.5"/>
    <n v="1300"/>
    <x v="1013"/>
    <x v="4"/>
    <x v="2"/>
    <x v="2"/>
    <n v="0"/>
    <x v="0"/>
  </r>
  <r>
    <x v="2220"/>
    <x v="21"/>
    <s v="Indonesia"/>
    <x v="2"/>
    <n v="200"/>
    <s v="NULL"/>
    <n v="20"/>
    <x v="1013"/>
    <x v="4"/>
    <x v="2"/>
    <x v="3"/>
    <s v="NULL"/>
    <x v="0"/>
  </r>
  <r>
    <x v="1969"/>
    <x v="14"/>
    <s v="United States"/>
    <x v="7"/>
    <n v="40"/>
    <s v="NULL"/>
    <n v="256"/>
    <x v="1013"/>
    <x v="4"/>
    <x v="2"/>
    <x v="4"/>
    <s v="NULL"/>
    <x v="0"/>
  </r>
  <r>
    <x v="2109"/>
    <x v="14"/>
    <s v="Sweden"/>
    <x v="3"/>
    <n v="700"/>
    <n v="0.1"/>
    <n v="3700"/>
    <x v="1014"/>
    <x v="4"/>
    <x v="2"/>
    <x v="2"/>
    <n v="0"/>
    <x v="0"/>
  </r>
  <r>
    <x v="96"/>
    <x v="14"/>
    <s v="United States"/>
    <x v="0"/>
    <n v="83"/>
    <s v="NULL"/>
    <n v="216"/>
    <x v="1014"/>
    <x v="4"/>
    <x v="2"/>
    <x v="4"/>
    <s v="NULL"/>
    <x v="0"/>
  </r>
  <r>
    <x v="2454"/>
    <x v="9"/>
    <s v="Argentina"/>
    <x v="8"/>
    <n v="80"/>
    <n v="0.45"/>
    <n v="11"/>
    <x v="1014"/>
    <x v="4"/>
    <x v="2"/>
    <x v="3"/>
    <n v="0"/>
    <x v="0"/>
  </r>
  <r>
    <x v="2455"/>
    <x v="6"/>
    <s v="Israel"/>
    <x v="8"/>
    <n v="65"/>
    <n v="1"/>
    <n v="16"/>
    <x v="1014"/>
    <x v="4"/>
    <x v="2"/>
    <x v="3"/>
    <n v="1"/>
    <x v="0"/>
  </r>
  <r>
    <x v="64"/>
    <x v="0"/>
    <s v="United States"/>
    <x v="5"/>
    <n v="60"/>
    <n v="7.0000000000000007E-2"/>
    <n v="537"/>
    <x v="1014"/>
    <x v="4"/>
    <x v="2"/>
    <x v="4"/>
    <n v="0"/>
    <x v="0"/>
  </r>
  <r>
    <x v="329"/>
    <x v="1"/>
    <s v="United States"/>
    <x v="2"/>
    <n v="30"/>
    <n v="0.2"/>
    <n v="33"/>
    <x v="1014"/>
    <x v="4"/>
    <x v="2"/>
    <x v="3"/>
    <n v="0"/>
    <x v="0"/>
  </r>
  <r>
    <x v="1644"/>
    <x v="2"/>
    <s v="Brazil"/>
    <x v="11"/>
    <s v="NULL"/>
    <s v="NULL"/>
    <n v="322"/>
    <x v="1014"/>
    <x v="4"/>
    <x v="2"/>
    <x v="4"/>
    <s v="NULL"/>
    <x v="1"/>
  </r>
  <r>
    <x v="2456"/>
    <x v="5"/>
    <s v="India"/>
    <x v="5"/>
    <n v="600"/>
    <n v="0.75"/>
    <n v="97"/>
    <x v="1015"/>
    <x v="4"/>
    <x v="2"/>
    <x v="3"/>
    <n v="0"/>
    <x v="0"/>
  </r>
  <r>
    <x v="1228"/>
    <x v="3"/>
    <s v="United States"/>
    <x v="0"/>
    <n v="130"/>
    <n v="0.28000000000000003"/>
    <n v="342"/>
    <x v="1016"/>
    <x v="4"/>
    <x v="2"/>
    <x v="4"/>
    <n v="0"/>
    <x v="0"/>
  </r>
  <r>
    <x v="1975"/>
    <x v="4"/>
    <s v="United States"/>
    <x v="2"/>
    <n v="87"/>
    <n v="0.15"/>
    <n v="174"/>
    <x v="1016"/>
    <x v="4"/>
    <x v="2"/>
    <x v="4"/>
    <n v="0"/>
    <x v="0"/>
  </r>
  <r>
    <x v="2162"/>
    <x v="1"/>
    <s v="United States"/>
    <x v="0"/>
    <n v="70"/>
    <n v="0.1"/>
    <n v="287"/>
    <x v="1016"/>
    <x v="4"/>
    <x v="2"/>
    <x v="4"/>
    <n v="0"/>
    <x v="0"/>
  </r>
  <r>
    <x v="332"/>
    <x v="11"/>
    <s v="India"/>
    <x v="12"/>
    <n v="600"/>
    <n v="0.06"/>
    <n v="1300"/>
    <x v="1017"/>
    <x v="4"/>
    <x v="2"/>
    <x v="2"/>
    <n v="0"/>
    <x v="0"/>
  </r>
  <r>
    <x v="1860"/>
    <x v="21"/>
    <s v="India"/>
    <x v="11"/>
    <n v="424"/>
    <n v="7.0000000000000007E-2"/>
    <n v="292"/>
    <x v="1018"/>
    <x v="4"/>
    <x v="2"/>
    <x v="4"/>
    <n v="0"/>
    <x v="0"/>
  </r>
  <r>
    <x v="2121"/>
    <x v="4"/>
    <s v="United States"/>
    <x v="0"/>
    <n v="150"/>
    <n v="0.01"/>
    <n v="121900"/>
    <x v="1019"/>
    <x v="4"/>
    <x v="2"/>
    <x v="2"/>
    <n v="0"/>
    <x v="0"/>
  </r>
  <r>
    <x v="2036"/>
    <x v="5"/>
    <s v="Sweden"/>
    <x v="7"/>
    <n v="100"/>
    <n v="0.1"/>
    <n v="568"/>
    <x v="1019"/>
    <x v="4"/>
    <x v="2"/>
    <x v="4"/>
    <n v="0"/>
    <x v="0"/>
  </r>
  <r>
    <x v="2457"/>
    <x v="1"/>
    <s v="United States"/>
    <x v="5"/>
    <n v="90"/>
    <n v="0.08"/>
    <n v="195"/>
    <x v="1019"/>
    <x v="4"/>
    <x v="2"/>
    <x v="4"/>
    <n v="0"/>
    <x v="0"/>
  </r>
  <r>
    <x v="2458"/>
    <x v="18"/>
    <s v="Brazil"/>
    <x v="8"/>
    <n v="100"/>
    <n v="0.4"/>
    <n v="29"/>
    <x v="1020"/>
    <x v="4"/>
    <x v="2"/>
    <x v="3"/>
    <n v="0"/>
    <x v="0"/>
  </r>
  <r>
    <x v="920"/>
    <x v="2"/>
    <s v="United States"/>
    <x v="1"/>
    <s v="NULL"/>
    <s v="NULL"/>
    <n v="194"/>
    <x v="1020"/>
    <x v="4"/>
    <x v="2"/>
    <x v="4"/>
    <s v="NULL"/>
    <x v="1"/>
  </r>
  <r>
    <x v="2459"/>
    <x v="2"/>
    <s v="Russia"/>
    <x v="1"/>
    <n v="400"/>
    <n v="0.4"/>
    <n v="60"/>
    <x v="1021"/>
    <x v="4"/>
    <x v="2"/>
    <x v="3"/>
    <n v="0"/>
    <x v="0"/>
  </r>
  <r>
    <x v="2180"/>
    <x v="5"/>
    <s v="United States"/>
    <x v="1"/>
    <n v="24"/>
    <s v="NULL"/>
    <n v="209"/>
    <x v="1021"/>
    <x v="4"/>
    <x v="2"/>
    <x v="4"/>
    <s v="NULL"/>
    <x v="0"/>
  </r>
  <r>
    <x v="2133"/>
    <x v="14"/>
    <s v="United States"/>
    <x v="7"/>
    <n v="22"/>
    <s v="NULL"/>
    <n v="130"/>
    <x v="1022"/>
    <x v="4"/>
    <x v="2"/>
    <x v="4"/>
    <s v="NULL"/>
    <x v="0"/>
  </r>
  <r>
    <x v="2460"/>
    <x v="24"/>
    <s v="United States"/>
    <x v="2"/>
    <s v="NULL"/>
    <n v="1"/>
    <s v="NULL"/>
    <x v="1022"/>
    <x v="4"/>
    <x v="2"/>
    <x v="1"/>
    <n v="1"/>
    <x v="0"/>
  </r>
  <r>
    <x v="806"/>
    <x v="25"/>
    <s v="United States"/>
    <x v="5"/>
    <n v="150"/>
    <s v="NULL"/>
    <n v="619"/>
    <x v="1023"/>
    <x v="4"/>
    <x v="2"/>
    <x v="4"/>
    <s v="NULL"/>
    <x v="0"/>
  </r>
  <r>
    <x v="2461"/>
    <x v="21"/>
    <s v="United States"/>
    <x v="8"/>
    <n v="32"/>
    <s v="NULL"/>
    <n v="37"/>
    <x v="1023"/>
    <x v="4"/>
    <x v="2"/>
    <x v="3"/>
    <s v="NULL"/>
    <x v="0"/>
  </r>
  <r>
    <x v="2462"/>
    <x v="3"/>
    <s v="United States"/>
    <x v="1"/>
    <s v="NULL"/>
    <s v="NULL"/>
    <n v="29"/>
    <x v="1023"/>
    <x v="4"/>
    <x v="2"/>
    <x v="3"/>
    <s v="NULL"/>
    <x v="1"/>
  </r>
  <r>
    <x v="2172"/>
    <x v="6"/>
    <s v="United States"/>
    <x v="12"/>
    <n v="70"/>
    <n v="7.0000000000000007E-2"/>
    <n v="1000"/>
    <x v="1024"/>
    <x v="4"/>
    <x v="2"/>
    <x v="2"/>
    <n v="0"/>
    <x v="0"/>
  </r>
  <r>
    <x v="1745"/>
    <x v="11"/>
    <s v="United States"/>
    <x v="0"/>
    <n v="2500"/>
    <n v="0.12"/>
    <n v="1600"/>
    <x v="1025"/>
    <x v="4"/>
    <x v="2"/>
    <x v="2"/>
    <n v="0"/>
    <x v="0"/>
  </r>
  <r>
    <x v="1869"/>
    <x v="14"/>
    <s v="United States"/>
    <x v="0"/>
    <n v="310"/>
    <n v="0.15"/>
    <n v="679"/>
    <x v="1025"/>
    <x v="4"/>
    <x v="2"/>
    <x v="4"/>
    <n v="0"/>
    <x v="0"/>
  </r>
  <r>
    <x v="2198"/>
    <x v="13"/>
    <s v="United Kingdom"/>
    <x v="5"/>
    <n v="200"/>
    <n v="0.33"/>
    <n v="238"/>
    <x v="1025"/>
    <x v="4"/>
    <x v="2"/>
    <x v="4"/>
    <n v="0"/>
    <x v="0"/>
  </r>
  <r>
    <x v="1228"/>
    <x v="3"/>
    <s v="United States"/>
    <x v="0"/>
    <n v="30"/>
    <n v="0.06"/>
    <n v="342"/>
    <x v="1025"/>
    <x v="4"/>
    <x v="2"/>
    <x v="4"/>
    <n v="0"/>
    <x v="0"/>
  </r>
  <r>
    <x v="2463"/>
    <x v="0"/>
    <s v="France"/>
    <x v="5"/>
    <n v="350"/>
    <n v="0.5"/>
    <n v="293"/>
    <x v="1026"/>
    <x v="4"/>
    <x v="2"/>
    <x v="4"/>
    <n v="0"/>
    <x v="0"/>
  </r>
  <r>
    <x v="834"/>
    <x v="11"/>
    <s v="United States"/>
    <x v="0"/>
    <n v="270"/>
    <n v="0.14000000000000001"/>
    <n v="1300"/>
    <x v="1026"/>
    <x v="4"/>
    <x v="2"/>
    <x v="2"/>
    <n v="0"/>
    <x v="0"/>
  </r>
  <r>
    <x v="2464"/>
    <x v="11"/>
    <s v="United States"/>
    <x v="3"/>
    <n v="750"/>
    <n v="0.05"/>
    <n v="1500"/>
    <x v="1027"/>
    <x v="4"/>
    <x v="2"/>
    <x v="2"/>
    <n v="0"/>
    <x v="0"/>
  </r>
  <r>
    <x v="2465"/>
    <x v="5"/>
    <s v="United States"/>
    <x v="1"/>
    <n v="62"/>
    <s v="NULL"/>
    <s v="NULL"/>
    <x v="1027"/>
    <x v="4"/>
    <x v="2"/>
    <x v="1"/>
    <s v="NULL"/>
    <x v="0"/>
  </r>
  <r>
    <x v="1860"/>
    <x v="21"/>
    <s v="India"/>
    <x v="11"/>
    <n v="200"/>
    <n v="0.03"/>
    <n v="292"/>
    <x v="1028"/>
    <x v="4"/>
    <x v="2"/>
    <x v="4"/>
    <n v="0"/>
    <x v="0"/>
  </r>
  <r>
    <x v="2466"/>
    <x v="14"/>
    <s v="United States"/>
    <x v="1"/>
    <n v="100"/>
    <s v="NULL"/>
    <n v="202"/>
    <x v="1028"/>
    <x v="4"/>
    <x v="2"/>
    <x v="4"/>
    <s v="NULL"/>
    <x v="0"/>
  </r>
  <r>
    <x v="1314"/>
    <x v="22"/>
    <s v="United States"/>
    <x v="5"/>
    <n v="90"/>
    <n v="0.1"/>
    <n v="192"/>
    <x v="1028"/>
    <x v="4"/>
    <x v="2"/>
    <x v="4"/>
    <n v="0"/>
    <x v="0"/>
  </r>
  <r>
    <x v="2217"/>
    <x v="21"/>
    <s v="United States"/>
    <x v="8"/>
    <n v="72"/>
    <n v="0.25"/>
    <n v="20"/>
    <x v="1028"/>
    <x v="4"/>
    <x v="2"/>
    <x v="3"/>
    <n v="0"/>
    <x v="0"/>
  </r>
  <r>
    <x v="2467"/>
    <x v="18"/>
    <s v="Australia"/>
    <x v="6"/>
    <n v="300"/>
    <n v="1"/>
    <n v="3"/>
    <x v="1029"/>
    <x v="4"/>
    <x v="2"/>
    <x v="0"/>
    <n v="1"/>
    <x v="0"/>
  </r>
  <r>
    <x v="2468"/>
    <x v="26"/>
    <s v="United States"/>
    <x v="8"/>
    <n v="97"/>
    <s v="NULL"/>
    <n v="41"/>
    <x v="1029"/>
    <x v="4"/>
    <x v="2"/>
    <x v="3"/>
    <s v="NULL"/>
    <x v="0"/>
  </r>
  <r>
    <x v="1201"/>
    <x v="1"/>
    <s v="United States"/>
    <x v="3"/>
    <n v="87"/>
    <n v="0.25"/>
    <n v="165"/>
    <x v="1029"/>
    <x v="4"/>
    <x v="2"/>
    <x v="4"/>
    <n v="0"/>
    <x v="0"/>
  </r>
  <r>
    <x v="2469"/>
    <x v="14"/>
    <s v="United States"/>
    <x v="8"/>
    <n v="45"/>
    <n v="0.3"/>
    <n v="64"/>
    <x v="1029"/>
    <x v="4"/>
    <x v="2"/>
    <x v="3"/>
    <n v="0"/>
    <x v="0"/>
  </r>
  <r>
    <x v="2470"/>
    <x v="2"/>
    <s v="United States"/>
    <x v="8"/>
    <n v="40"/>
    <s v="NULL"/>
    <n v="7"/>
    <x v="1029"/>
    <x v="4"/>
    <x v="2"/>
    <x v="0"/>
    <s v="NULL"/>
    <x v="0"/>
  </r>
  <r>
    <x v="2471"/>
    <x v="14"/>
    <s v="United States"/>
    <x v="5"/>
    <n v="25"/>
    <s v="NULL"/>
    <n v="128"/>
    <x v="1029"/>
    <x v="4"/>
    <x v="2"/>
    <x v="4"/>
    <s v="NULL"/>
    <x v="0"/>
  </r>
  <r>
    <x v="2472"/>
    <x v="14"/>
    <s v="Australia"/>
    <x v="3"/>
    <s v="NULL"/>
    <n v="0.3"/>
    <n v="45"/>
    <x v="1029"/>
    <x v="4"/>
    <x v="2"/>
    <x v="3"/>
    <n v="0"/>
    <x v="0"/>
  </r>
  <r>
    <x v="2473"/>
    <x v="2"/>
    <s v="United States"/>
    <x v="3"/>
    <s v="NULL"/>
    <s v="NULL"/>
    <n v="3400"/>
    <x v="1030"/>
    <x v="4"/>
    <x v="2"/>
    <x v="2"/>
    <s v="NULL"/>
    <x v="1"/>
  </r>
  <r>
    <x v="2474"/>
    <x v="18"/>
    <s v="Israel"/>
    <x v="2"/>
    <n v="500"/>
    <n v="0.67"/>
    <n v="45"/>
    <x v="1031"/>
    <x v="4"/>
    <x v="2"/>
    <x v="3"/>
    <n v="0"/>
    <x v="0"/>
  </r>
  <r>
    <x v="821"/>
    <x v="5"/>
    <s v="United States"/>
    <x v="4"/>
    <n v="495"/>
    <s v="NULL"/>
    <n v="657"/>
    <x v="1032"/>
    <x v="4"/>
    <x v="3"/>
    <x v="4"/>
    <s v="NULL"/>
    <x v="0"/>
  </r>
  <r>
    <x v="1448"/>
    <x v="21"/>
    <s v="United States"/>
    <x v="7"/>
    <n v="150"/>
    <n v="0.19"/>
    <n v="130"/>
    <x v="1033"/>
    <x v="4"/>
    <x v="3"/>
    <x v="4"/>
    <n v="0"/>
    <x v="0"/>
  </r>
  <r>
    <x v="2121"/>
    <x v="4"/>
    <s v="United States"/>
    <x v="0"/>
    <n v="25"/>
    <s v="NULL"/>
    <n v="121900"/>
    <x v="1033"/>
    <x v="4"/>
    <x v="3"/>
    <x v="2"/>
    <s v="NULL"/>
    <x v="0"/>
  </r>
  <r>
    <x v="2475"/>
    <x v="25"/>
    <s v="United States"/>
    <x v="3"/>
    <n v="50"/>
    <s v="NULL"/>
    <s v="NULL"/>
    <x v="1034"/>
    <x v="4"/>
    <x v="3"/>
    <x v="1"/>
    <s v="NULL"/>
    <x v="0"/>
  </r>
  <r>
    <x v="26"/>
    <x v="14"/>
    <s v="United States"/>
    <x v="0"/>
    <n v="340"/>
    <n v="0.09"/>
    <n v="5600"/>
    <x v="1035"/>
    <x v="4"/>
    <x v="3"/>
    <x v="2"/>
    <n v="0"/>
    <x v="0"/>
  </r>
  <r>
    <x v="2378"/>
    <x v="2"/>
    <s v="Canada"/>
    <x v="8"/>
    <n v="29"/>
    <n v="0.34"/>
    <n v="27"/>
    <x v="1035"/>
    <x v="4"/>
    <x v="3"/>
    <x v="3"/>
    <n v="0"/>
    <x v="0"/>
  </r>
  <r>
    <x v="2476"/>
    <x v="0"/>
    <s v="France"/>
    <x v="1"/>
    <n v="64"/>
    <s v="NULL"/>
    <n v="277"/>
    <x v="1036"/>
    <x v="4"/>
    <x v="3"/>
    <x v="4"/>
    <s v="NULL"/>
    <x v="0"/>
  </r>
  <r>
    <x v="2477"/>
    <x v="10"/>
    <s v="United States"/>
    <x v="2"/>
    <n v="22"/>
    <s v="NULL"/>
    <n v="58"/>
    <x v="1036"/>
    <x v="4"/>
    <x v="3"/>
    <x v="3"/>
    <s v="NULL"/>
    <x v="0"/>
  </r>
  <r>
    <x v="2478"/>
    <x v="1"/>
    <s v="China"/>
    <x v="11"/>
    <n v="180"/>
    <n v="0.09"/>
    <n v="917"/>
    <x v="1037"/>
    <x v="4"/>
    <x v="3"/>
    <x v="4"/>
    <n v="0"/>
    <x v="0"/>
  </r>
  <r>
    <x v="2479"/>
    <x v="2"/>
    <s v="Brazil"/>
    <x v="7"/>
    <n v="260"/>
    <n v="0.3"/>
    <n v="502"/>
    <x v="1038"/>
    <x v="4"/>
    <x v="3"/>
    <x v="4"/>
    <n v="0"/>
    <x v="0"/>
  </r>
  <r>
    <x v="1347"/>
    <x v="14"/>
    <s v="United States"/>
    <x v="0"/>
    <n v="52"/>
    <s v="NULL"/>
    <n v="481"/>
    <x v="1038"/>
    <x v="4"/>
    <x v="3"/>
    <x v="4"/>
    <s v="NULL"/>
    <x v="0"/>
  </r>
  <r>
    <x v="1135"/>
    <x v="14"/>
    <s v="United States"/>
    <x v="0"/>
    <n v="200"/>
    <n v="0.1"/>
    <n v="665"/>
    <x v="1039"/>
    <x v="4"/>
    <x v="3"/>
    <x v="4"/>
    <n v="0"/>
    <x v="0"/>
  </r>
  <r>
    <x v="2480"/>
    <x v="16"/>
    <s v="Brazil"/>
    <x v="11"/>
    <n v="160"/>
    <n v="0.04"/>
    <n v="755"/>
    <x v="1039"/>
    <x v="4"/>
    <x v="3"/>
    <x v="4"/>
    <n v="0"/>
    <x v="0"/>
  </r>
  <r>
    <x v="1511"/>
    <x v="16"/>
    <s v="Brazil"/>
    <x v="3"/>
    <n v="159"/>
    <s v="NULL"/>
    <n v="788"/>
    <x v="1039"/>
    <x v="4"/>
    <x v="3"/>
    <x v="4"/>
    <s v="NULL"/>
    <x v="0"/>
  </r>
  <r>
    <x v="1077"/>
    <x v="16"/>
    <s v="United States"/>
    <x v="3"/>
    <s v="NULL"/>
    <s v="NULL"/>
    <n v="905"/>
    <x v="1039"/>
    <x v="4"/>
    <x v="3"/>
    <x v="4"/>
    <s v="NULL"/>
    <x v="1"/>
  </r>
  <r>
    <x v="2399"/>
    <x v="24"/>
    <s v="United States"/>
    <x v="5"/>
    <s v="NULL"/>
    <n v="0.11"/>
    <n v="152"/>
    <x v="1040"/>
    <x v="4"/>
    <x v="3"/>
    <x v="4"/>
    <n v="0"/>
    <x v="0"/>
  </r>
  <r>
    <x v="2481"/>
    <x v="4"/>
    <s v="United States"/>
    <x v="1"/>
    <n v="10"/>
    <s v="NULL"/>
    <n v="4"/>
    <x v="1041"/>
    <x v="4"/>
    <x v="3"/>
    <x v="0"/>
    <s v="NULL"/>
    <x v="0"/>
  </r>
  <r>
    <x v="2482"/>
    <x v="5"/>
    <s v="United States"/>
    <x v="3"/>
    <s v="NULL"/>
    <n v="1"/>
    <n v="2"/>
    <x v="1041"/>
    <x v="4"/>
    <x v="3"/>
    <x v="0"/>
    <n v="1"/>
    <x v="0"/>
  </r>
  <r>
    <x v="2483"/>
    <x v="5"/>
    <s v="United States"/>
    <x v="3"/>
    <n v="44"/>
    <n v="1"/>
    <n v="9"/>
    <x v="1042"/>
    <x v="4"/>
    <x v="3"/>
    <x v="0"/>
    <n v="1"/>
    <x v="0"/>
  </r>
  <r>
    <x v="2100"/>
    <x v="5"/>
    <s v="United States"/>
    <x v="7"/>
    <s v="NULL"/>
    <s v="NULL"/>
    <n v="255"/>
    <x v="1042"/>
    <x v="4"/>
    <x v="3"/>
    <x v="4"/>
    <s v="NULL"/>
    <x v="1"/>
  </r>
  <r>
    <x v="594"/>
    <x v="11"/>
    <s v="United States"/>
    <x v="7"/>
    <n v="100"/>
    <n v="0.14000000000000001"/>
    <n v="329"/>
    <x v="1043"/>
    <x v="4"/>
    <x v="3"/>
    <x v="4"/>
    <n v="0"/>
    <x v="0"/>
  </r>
  <r>
    <x v="1368"/>
    <x v="2"/>
    <s v="India"/>
    <x v="4"/>
    <n v="150"/>
    <s v="NULL"/>
    <n v="1100"/>
    <x v="1044"/>
    <x v="4"/>
    <x v="3"/>
    <x v="2"/>
    <s v="NULL"/>
    <x v="0"/>
  </r>
  <r>
    <x v="2424"/>
    <x v="18"/>
    <s v="United States"/>
    <x v="1"/>
    <n v="20"/>
    <n v="0.1"/>
    <n v="176"/>
    <x v="1045"/>
    <x v="4"/>
    <x v="3"/>
    <x v="4"/>
    <n v="0"/>
    <x v="0"/>
  </r>
  <r>
    <x v="615"/>
    <x v="21"/>
    <s v="India"/>
    <x v="13"/>
    <n v="1000"/>
    <n v="0.17"/>
    <n v="838"/>
    <x v="1046"/>
    <x v="4"/>
    <x v="3"/>
    <x v="4"/>
    <n v="0"/>
    <x v="0"/>
  </r>
  <r>
    <x v="2484"/>
    <x v="18"/>
    <s v="Canada"/>
    <x v="0"/>
    <n v="70"/>
    <s v="NULL"/>
    <n v="16"/>
    <x v="1046"/>
    <x v="4"/>
    <x v="3"/>
    <x v="3"/>
    <s v="NULL"/>
    <x v="0"/>
  </r>
  <r>
    <x v="2485"/>
    <x v="26"/>
    <s v="United States"/>
    <x v="11"/>
    <n v="450"/>
    <s v="NULL"/>
    <n v="752"/>
    <x v="1047"/>
    <x v="4"/>
    <x v="3"/>
    <x v="4"/>
    <s v="NULL"/>
    <x v="0"/>
  </r>
  <r>
    <x v="2486"/>
    <x v="14"/>
    <s v="United States"/>
    <x v="2"/>
    <s v="NULL"/>
    <n v="1"/>
    <n v="124"/>
    <x v="1047"/>
    <x v="4"/>
    <x v="3"/>
    <x v="4"/>
    <n v="1"/>
    <x v="0"/>
  </r>
  <r>
    <x v="2030"/>
    <x v="9"/>
    <s v="Seychelles"/>
    <x v="6"/>
    <n v="75"/>
    <n v="0.25"/>
    <s v="NULL"/>
    <x v="1048"/>
    <x v="4"/>
    <x v="3"/>
    <x v="1"/>
    <n v="0"/>
    <x v="0"/>
  </r>
  <r>
    <x v="2487"/>
    <x v="4"/>
    <s v="Canada"/>
    <x v="0"/>
    <n v="23"/>
    <n v="0.38"/>
    <n v="3"/>
    <x v="1048"/>
    <x v="4"/>
    <x v="3"/>
    <x v="0"/>
    <n v="0"/>
    <x v="0"/>
  </r>
  <r>
    <x v="1614"/>
    <x v="14"/>
    <s v="Israel"/>
    <x v="2"/>
    <n v="20"/>
    <s v="NULL"/>
    <n v="42"/>
    <x v="1049"/>
    <x v="4"/>
    <x v="4"/>
    <x v="3"/>
    <s v="NULL"/>
    <x v="0"/>
  </r>
  <r>
    <x v="2149"/>
    <x v="2"/>
    <s v="India"/>
    <x v="0"/>
    <n v="350"/>
    <s v="NULL"/>
    <n v="8600"/>
    <x v="1050"/>
    <x v="4"/>
    <x v="4"/>
    <x v="2"/>
    <s v="NULL"/>
    <x v="0"/>
  </r>
  <r>
    <x v="2488"/>
    <x v="6"/>
    <s v="Germany"/>
    <x v="2"/>
    <n v="59"/>
    <n v="0.4"/>
    <n v="40"/>
    <x v="1050"/>
    <x v="4"/>
    <x v="4"/>
    <x v="3"/>
    <n v="0"/>
    <x v="0"/>
  </r>
  <r>
    <x v="666"/>
    <x v="18"/>
    <s v="United States"/>
    <x v="13"/>
    <n v="450"/>
    <n v="0.03"/>
    <n v="3400"/>
    <x v="1051"/>
    <x v="4"/>
    <x v="4"/>
    <x v="2"/>
    <n v="0"/>
    <x v="0"/>
  </r>
  <r>
    <x v="1766"/>
    <x v="21"/>
    <s v="Canada"/>
    <x v="0"/>
    <n v="100"/>
    <n v="0.2"/>
    <n v="22"/>
    <x v="1051"/>
    <x v="4"/>
    <x v="4"/>
    <x v="3"/>
    <n v="0"/>
    <x v="0"/>
  </r>
  <r>
    <x v="2489"/>
    <x v="2"/>
    <s v="India"/>
    <x v="7"/>
    <n v="180"/>
    <s v="NULL"/>
    <n v="228"/>
    <x v="1052"/>
    <x v="4"/>
    <x v="4"/>
    <x v="4"/>
    <s v="NULL"/>
    <x v="0"/>
  </r>
  <r>
    <x v="2490"/>
    <x v="2"/>
    <s v="United States"/>
    <x v="11"/>
    <s v="NULL"/>
    <n v="0.17"/>
    <n v="474"/>
    <x v="1053"/>
    <x v="4"/>
    <x v="4"/>
    <x v="4"/>
    <n v="0"/>
    <x v="0"/>
  </r>
  <r>
    <x v="775"/>
    <x v="4"/>
    <s v="Sweden"/>
    <x v="0"/>
    <n v="100"/>
    <n v="0.1"/>
    <n v="275"/>
    <x v="1054"/>
    <x v="4"/>
    <x v="4"/>
    <x v="4"/>
    <n v="0"/>
    <x v="0"/>
  </r>
  <r>
    <x v="2491"/>
    <x v="5"/>
    <s v="United States"/>
    <x v="7"/>
    <n v="150"/>
    <s v="NULL"/>
    <n v="19"/>
    <x v="1055"/>
    <x v="4"/>
    <x v="4"/>
    <x v="3"/>
    <s v="NULL"/>
    <x v="0"/>
  </r>
  <r>
    <x v="2492"/>
    <x v="2"/>
    <s v="India"/>
    <x v="2"/>
    <n v="300"/>
    <n v="0.5"/>
    <n v="62"/>
    <x v="1056"/>
    <x v="4"/>
    <x v="4"/>
    <x v="3"/>
    <n v="0"/>
    <x v="0"/>
  </r>
  <r>
    <x v="2493"/>
    <x v="16"/>
    <s v="United States"/>
    <x v="3"/>
    <n v="115"/>
    <n v="0.46"/>
    <n v="654"/>
    <x v="1056"/>
    <x v="4"/>
    <x v="4"/>
    <x v="4"/>
    <n v="0"/>
    <x v="0"/>
  </r>
  <r>
    <x v="2494"/>
    <x v="5"/>
    <s v="United States"/>
    <x v="0"/>
    <s v="NULL"/>
    <n v="0.25"/>
    <n v="8"/>
    <x v="1056"/>
    <x v="4"/>
    <x v="4"/>
    <x v="0"/>
    <n v="0"/>
    <x v="0"/>
  </r>
  <r>
    <x v="2495"/>
    <x v="14"/>
    <s v="United States"/>
    <x v="0"/>
    <s v="NULL"/>
    <n v="0.2"/>
    <n v="301"/>
    <x v="1057"/>
    <x v="4"/>
    <x v="4"/>
    <x v="4"/>
    <n v="0"/>
    <x v="0"/>
  </r>
  <r>
    <x v="1077"/>
    <x v="16"/>
    <s v="United States"/>
    <x v="3"/>
    <n v="3000"/>
    <n v="0.33"/>
    <n v="905"/>
    <x v="1058"/>
    <x v="4"/>
    <x v="4"/>
    <x v="4"/>
    <n v="0"/>
    <x v="0"/>
  </r>
  <r>
    <x v="2496"/>
    <x v="5"/>
    <s v="United States"/>
    <x v="0"/>
    <n v="100"/>
    <n v="0.12"/>
    <n v="406"/>
    <x v="1058"/>
    <x v="4"/>
    <x v="4"/>
    <x v="4"/>
    <n v="0"/>
    <x v="0"/>
  </r>
  <r>
    <x v="2497"/>
    <x v="6"/>
    <s v="United States"/>
    <x v="11"/>
    <n v="100"/>
    <n v="0.25"/>
    <n v="289"/>
    <x v="1059"/>
    <x v="4"/>
    <x v="4"/>
    <x v="4"/>
    <n v="0"/>
    <x v="0"/>
  </r>
  <r>
    <x v="2498"/>
    <x v="5"/>
    <s v="China"/>
    <x v="4"/>
    <n v="500"/>
    <s v="NULL"/>
    <n v="1400"/>
    <x v="1060"/>
    <x v="4"/>
    <x v="4"/>
    <x v="2"/>
    <s v="NULL"/>
    <x v="0"/>
  </r>
  <r>
    <x v="1178"/>
    <x v="2"/>
    <s v="United States"/>
    <x v="0"/>
    <n v="190"/>
    <n v="0.15"/>
    <n v="1600"/>
    <x v="1061"/>
    <x v="4"/>
    <x v="4"/>
    <x v="2"/>
    <n v="0"/>
    <x v="0"/>
  </r>
  <r>
    <x v="1980"/>
    <x v="25"/>
    <s v="United States"/>
    <x v="9"/>
    <s v="NULL"/>
    <s v="NULL"/>
    <n v="200"/>
    <x v="1062"/>
    <x v="4"/>
    <x v="5"/>
    <x v="4"/>
    <s v="NULL"/>
    <x v="1"/>
  </r>
  <r>
    <x v="2499"/>
    <x v="14"/>
    <s v="India"/>
    <x v="2"/>
    <n v="30"/>
    <s v="NULL"/>
    <n v="85"/>
    <x v="1063"/>
    <x v="4"/>
    <x v="5"/>
    <x v="3"/>
    <s v="NULL"/>
    <x v="0"/>
  </r>
  <r>
    <x v="2500"/>
    <x v="21"/>
    <s v="India"/>
    <x v="8"/>
    <n v="150"/>
    <s v="NULL"/>
    <n v="24"/>
    <x v="1064"/>
    <x v="4"/>
    <x v="5"/>
    <x v="3"/>
    <s v="NULL"/>
    <x v="0"/>
  </r>
  <r>
    <x v="2501"/>
    <x v="11"/>
    <s v="United States"/>
    <x v="3"/>
    <n v="111"/>
    <n v="0.5"/>
    <n v="368"/>
    <x v="1064"/>
    <x v="4"/>
    <x v="5"/>
    <x v="4"/>
    <n v="0"/>
    <x v="0"/>
  </r>
  <r>
    <x v="2502"/>
    <x v="14"/>
    <s v="Sweden"/>
    <x v="1"/>
    <n v="120"/>
    <s v="NULL"/>
    <n v="28"/>
    <x v="1065"/>
    <x v="4"/>
    <x v="5"/>
    <x v="3"/>
    <s v="NULL"/>
    <x v="0"/>
  </r>
  <r>
    <x v="2503"/>
    <x v="18"/>
    <s v="Brazil"/>
    <x v="7"/>
    <n v="100"/>
    <n v="0.15"/>
    <n v="118"/>
    <x v="1066"/>
    <x v="4"/>
    <x v="5"/>
    <x v="4"/>
    <n v="0"/>
    <x v="0"/>
  </r>
  <r>
    <x v="699"/>
    <x v="16"/>
    <s v="United States"/>
    <x v="2"/>
    <n v="119"/>
    <n v="0.28999999999999998"/>
    <n v="35"/>
    <x v="1067"/>
    <x v="4"/>
    <x v="5"/>
    <x v="3"/>
    <n v="0"/>
    <x v="0"/>
  </r>
  <r>
    <x v="680"/>
    <x v="0"/>
    <s v="United Kingdom"/>
    <x v="7"/>
    <n v="138"/>
    <n v="0.12"/>
    <n v="1000"/>
    <x v="1068"/>
    <x v="4"/>
    <x v="5"/>
    <x v="2"/>
    <n v="0"/>
    <x v="0"/>
  </r>
  <r>
    <x v="2212"/>
    <x v="18"/>
    <s v="United States"/>
    <x v="7"/>
    <n v="60"/>
    <n v="0.2"/>
    <n v="120"/>
    <x v="1068"/>
    <x v="4"/>
    <x v="5"/>
    <x v="4"/>
    <n v="0"/>
    <x v="0"/>
  </r>
  <r>
    <x v="192"/>
    <x v="25"/>
    <s v="United States"/>
    <x v="0"/>
    <n v="2800"/>
    <n v="0.2"/>
    <n v="1900"/>
    <x v="1069"/>
    <x v="4"/>
    <x v="5"/>
    <x v="2"/>
    <n v="0"/>
    <x v="0"/>
  </r>
  <r>
    <x v="2504"/>
    <x v="6"/>
    <s v="United States"/>
    <x v="2"/>
    <s v="NULL"/>
    <s v="NULL"/>
    <n v="78"/>
    <x v="1070"/>
    <x v="4"/>
    <x v="5"/>
    <x v="3"/>
    <s v="NULL"/>
    <x v="1"/>
  </r>
  <r>
    <x v="2505"/>
    <x v="16"/>
    <s v="United States"/>
    <x v="3"/>
    <n v="57"/>
    <n v="0.2"/>
    <n v="133"/>
    <x v="1071"/>
    <x v="4"/>
    <x v="5"/>
    <x v="4"/>
    <n v="0"/>
    <x v="0"/>
  </r>
  <r>
    <x v="666"/>
    <x v="18"/>
    <s v="United States"/>
    <x v="13"/>
    <n v="100"/>
    <s v="NULL"/>
    <n v="3400"/>
    <x v="1072"/>
    <x v="4"/>
    <x v="6"/>
    <x v="2"/>
    <s v="NULL"/>
    <x v="0"/>
  </r>
  <r>
    <x v="182"/>
    <x v="1"/>
    <s v="United States"/>
    <x v="11"/>
    <n v="80"/>
    <n v="0.33"/>
    <n v="266"/>
    <x v="1072"/>
    <x v="4"/>
    <x v="6"/>
    <x v="4"/>
    <n v="0"/>
    <x v="0"/>
  </r>
  <r>
    <x v="1999"/>
    <x v="14"/>
    <s v="United States"/>
    <x v="0"/>
    <n v="330"/>
    <s v="NULL"/>
    <n v="527"/>
    <x v="1073"/>
    <x v="4"/>
    <x v="6"/>
    <x v="4"/>
    <s v="NULL"/>
    <x v="0"/>
  </r>
  <r>
    <x v="2506"/>
    <x v="0"/>
    <s v="India"/>
    <x v="6"/>
    <s v="NULL"/>
    <n v="1"/>
    <n v="9"/>
    <x v="1073"/>
    <x v="4"/>
    <x v="6"/>
    <x v="0"/>
    <n v="1"/>
    <x v="0"/>
  </r>
  <r>
    <x v="2097"/>
    <x v="11"/>
    <s v="United States"/>
    <x v="1"/>
    <s v="NULL"/>
    <n v="0.25"/>
    <n v="8"/>
    <x v="1074"/>
    <x v="4"/>
    <x v="6"/>
    <x v="0"/>
    <n v="0"/>
    <x v="0"/>
  </r>
  <r>
    <x v="595"/>
    <x v="18"/>
    <s v="Germany"/>
    <x v="0"/>
    <n v="300"/>
    <s v="NULL"/>
    <n v="8300"/>
    <x v="1075"/>
    <x v="5"/>
    <x v="7"/>
    <x v="2"/>
    <s v="NULL"/>
    <x v="0"/>
  </r>
  <r>
    <x v="1980"/>
    <x v="25"/>
    <s v="United States"/>
    <x v="9"/>
    <s v="NULL"/>
    <s v="NULL"/>
    <n v="200"/>
    <x v="1076"/>
    <x v="5"/>
    <x v="7"/>
    <x v="4"/>
    <s v="NULL"/>
    <x v="1"/>
  </r>
  <r>
    <x v="1077"/>
    <x v="16"/>
    <s v="United States"/>
    <x v="3"/>
    <n v="900"/>
    <n v="0.09"/>
    <n v="905"/>
    <x v="1077"/>
    <x v="5"/>
    <x v="7"/>
    <x v="4"/>
    <n v="0"/>
    <x v="0"/>
  </r>
  <r>
    <x v="2507"/>
    <x v="6"/>
    <s v="United States"/>
    <x v="1"/>
    <n v="70"/>
    <n v="0.27"/>
    <n v="46"/>
    <x v="1078"/>
    <x v="5"/>
    <x v="8"/>
    <x v="3"/>
    <n v="0"/>
    <x v="0"/>
  </r>
  <r>
    <x v="188"/>
    <x v="16"/>
    <s v="United States"/>
    <x v="0"/>
    <n v="2000"/>
    <n v="0.25"/>
    <n v="97"/>
    <x v="1079"/>
    <x v="5"/>
    <x v="8"/>
    <x v="3"/>
    <n v="0"/>
    <x v="0"/>
  </r>
  <r>
    <x v="891"/>
    <x v="22"/>
    <s v="United States"/>
    <x v="3"/>
    <n v="22"/>
    <s v="NULL"/>
    <n v="356"/>
    <x v="1080"/>
    <x v="5"/>
    <x v="9"/>
    <x v="4"/>
    <s v="NULL"/>
    <x v="0"/>
  </r>
  <r>
    <x v="2508"/>
    <x v="4"/>
    <s v="United States"/>
    <x v="5"/>
    <s v="NULL"/>
    <n v="1"/>
    <n v="70"/>
    <x v="1081"/>
    <x v="5"/>
    <x v="9"/>
    <x v="3"/>
    <n v="1"/>
    <x v="0"/>
  </r>
  <r>
    <x v="1377"/>
    <x v="0"/>
    <s v="United States"/>
    <x v="0"/>
    <n v="120"/>
    <s v="NULL"/>
    <n v="974"/>
    <x v="1082"/>
    <x v="5"/>
    <x v="10"/>
    <x v="4"/>
    <s v="NULL"/>
    <x v="0"/>
  </r>
  <r>
    <x v="2238"/>
    <x v="18"/>
    <s v="United States"/>
    <x v="7"/>
    <s v="NULL"/>
    <s v="NULL"/>
    <n v="229"/>
    <x v="1083"/>
    <x v="5"/>
    <x v="10"/>
    <x v="4"/>
    <s v="NULL"/>
    <x v="1"/>
  </r>
  <r>
    <x v="2509"/>
    <x v="1"/>
    <s v="United States"/>
    <x v="1"/>
    <s v="NULL"/>
    <s v="NULL"/>
    <n v="78"/>
    <x v="1084"/>
    <x v="5"/>
    <x v="10"/>
    <x v="3"/>
    <s v="NULL"/>
    <x v="1"/>
  </r>
  <r>
    <x v="2510"/>
    <x v="21"/>
    <s v="United States"/>
    <x v="2"/>
    <n v="41"/>
    <n v="0.9"/>
    <n v="12"/>
    <x v="1085"/>
    <x v="5"/>
    <x v="10"/>
    <x v="3"/>
    <n v="0"/>
    <x v="0"/>
  </r>
  <r>
    <x v="2511"/>
    <x v="2"/>
    <s v="United States"/>
    <x v="0"/>
    <s v="NULL"/>
    <s v="NULL"/>
    <n v="339"/>
    <x v="1085"/>
    <x v="5"/>
    <x v="10"/>
    <x v="4"/>
    <s v="NULL"/>
    <x v="1"/>
  </r>
  <r>
    <x v="2512"/>
    <x v="3"/>
    <s v="United States"/>
    <x v="3"/>
    <n v="30"/>
    <s v="NULL"/>
    <n v="1000"/>
    <x v="1086"/>
    <x v="5"/>
    <x v="11"/>
    <x v="2"/>
    <s v="NULL"/>
    <x v="0"/>
  </r>
  <r>
    <x v="2513"/>
    <x v="21"/>
    <s v="United States"/>
    <x v="8"/>
    <n v="37"/>
    <n v="0.5"/>
    <n v="14"/>
    <x v="1087"/>
    <x v="5"/>
    <x v="11"/>
    <x v="3"/>
    <n v="0"/>
    <x v="0"/>
  </r>
  <r>
    <x v="514"/>
    <x v="1"/>
    <s v="China"/>
    <x v="3"/>
    <n v="1800"/>
    <s v="NULL"/>
    <n v="9400"/>
    <x v="1088"/>
    <x v="5"/>
    <x v="11"/>
    <x v="2"/>
    <s v="NULL"/>
    <x v="0"/>
  </r>
  <r>
    <x v="2514"/>
    <x v="7"/>
    <s v="India"/>
    <x v="8"/>
    <n v="80"/>
    <s v="NULL"/>
    <n v="17"/>
    <x v="1089"/>
    <x v="5"/>
    <x v="0"/>
    <x v="3"/>
    <s v="NULL"/>
    <x v="0"/>
  </r>
  <r>
    <x v="2515"/>
    <x v="30"/>
    <s v="United States"/>
    <x v="3"/>
    <n v="2434"/>
    <n v="1"/>
    <n v="1600"/>
    <x v="1090"/>
    <x v="5"/>
    <x v="1"/>
    <x v="2"/>
    <n v="1"/>
    <x v="0"/>
  </r>
  <r>
    <x v="2443"/>
    <x v="14"/>
    <s v="United Kingdom"/>
    <x v="3"/>
    <s v="NULL"/>
    <s v="NULL"/>
    <n v="53"/>
    <x v="1091"/>
    <x v="5"/>
    <x v="2"/>
    <x v="3"/>
    <s v="NULL"/>
    <x v="1"/>
  </r>
  <r>
    <x v="2516"/>
    <x v="21"/>
    <s v="United States"/>
    <x v="5"/>
    <n v="65"/>
    <s v="NULL"/>
    <n v="122"/>
    <x v="1092"/>
    <x v="5"/>
    <x v="3"/>
    <x v="4"/>
    <s v="NULL"/>
    <x v="0"/>
  </r>
  <r>
    <x v="2517"/>
    <x v="4"/>
    <s v="United States"/>
    <x v="2"/>
    <s v="NULL"/>
    <n v="1"/>
    <n v="16"/>
    <x v="1092"/>
    <x v="5"/>
    <x v="3"/>
    <x v="3"/>
    <n v="1"/>
    <x v="0"/>
  </r>
  <r>
    <x v="2123"/>
    <x v="4"/>
    <s v="United States"/>
    <x v="7"/>
    <n v="36"/>
    <s v="NULL"/>
    <n v="165"/>
    <x v="1093"/>
    <x v="5"/>
    <x v="3"/>
    <x v="4"/>
    <s v="NULL"/>
    <x v="0"/>
  </r>
  <r>
    <x v="481"/>
    <x v="24"/>
    <s v="United States"/>
    <x v="0"/>
    <n v="160"/>
    <n v="7.0000000000000007E-2"/>
    <n v="214.5"/>
    <x v="1094"/>
    <x v="5"/>
    <x v="3"/>
    <x v="4"/>
    <n v="0"/>
    <x v="0"/>
  </r>
  <r>
    <x v="2147"/>
    <x v="4"/>
    <s v="United States"/>
    <x v="5"/>
    <s v="NULL"/>
    <s v="NULL"/>
    <n v="132"/>
    <x v="1095"/>
    <x v="5"/>
    <x v="4"/>
    <x v="4"/>
    <s v="NULL"/>
    <x v="1"/>
  </r>
  <r>
    <x v="2518"/>
    <x v="4"/>
    <s v="United States"/>
    <x v="1"/>
    <n v="47"/>
    <s v="NULL"/>
    <n v="37"/>
    <x v="1096"/>
    <x v="5"/>
    <x v="4"/>
    <x v="3"/>
    <s v="NULL"/>
    <x v="0"/>
  </r>
  <r>
    <x v="2460"/>
    <x v="24"/>
    <s v="United States"/>
    <x v="2"/>
    <s v="NULL"/>
    <s v="NULL"/>
    <s v="NULL"/>
    <x v="1097"/>
    <x v="5"/>
    <x v="4"/>
    <x v="1"/>
    <s v="NULL"/>
    <x v="1"/>
  </r>
  <r>
    <x v="2519"/>
    <x v="6"/>
    <s v="United States"/>
    <x v="5"/>
    <s v="NULL"/>
    <s v="NULL"/>
    <n v="186"/>
    <x v="1098"/>
    <x v="5"/>
    <x v="4"/>
    <x v="4"/>
    <s v="NULL"/>
    <x v="1"/>
  </r>
  <r>
    <x v="2520"/>
    <x v="1"/>
    <s v="United States"/>
    <x v="3"/>
    <s v="NULL"/>
    <s v="NULL"/>
    <n v="105"/>
    <x v="1099"/>
    <x v="5"/>
    <x v="5"/>
    <x v="4"/>
    <s v="NULL"/>
    <x v="1"/>
  </r>
  <r>
    <x v="2521"/>
    <x v="18"/>
    <s v="India"/>
    <x v="3"/>
    <n v="200"/>
    <s v="NULL"/>
    <n v="194"/>
    <x v="1100"/>
    <x v="5"/>
    <x v="5"/>
    <x v="4"/>
    <s v="NULL"/>
    <x v="0"/>
  </r>
  <r>
    <x v="1781"/>
    <x v="11"/>
    <s v="India"/>
    <x v="7"/>
    <n v="200"/>
    <n v="0.4"/>
    <n v="214.2"/>
    <x v="1101"/>
    <x v="5"/>
    <x v="5"/>
    <x v="4"/>
    <n v="0"/>
    <x v="0"/>
  </r>
  <r>
    <x v="2189"/>
    <x v="2"/>
    <s v="United States"/>
    <x v="4"/>
    <n v="243"/>
    <s v="NULL"/>
    <n v="305"/>
    <x v="1102"/>
    <x v="5"/>
    <x v="5"/>
    <x v="4"/>
    <s v="NULL"/>
    <x v="0"/>
  </r>
  <r>
    <x v="813"/>
    <x v="0"/>
    <s v="United States"/>
    <x v="4"/>
    <n v="80"/>
    <s v="NULL"/>
    <n v="1200"/>
    <x v="1102"/>
    <x v="5"/>
    <x v="5"/>
    <x v="2"/>
    <s v="NULL"/>
    <x v="0"/>
  </r>
  <r>
    <x v="2522"/>
    <x v="8"/>
    <s v="United States"/>
    <x v="3"/>
    <n v="13"/>
    <n v="1"/>
    <s v="NULL"/>
    <x v="1103"/>
    <x v="5"/>
    <x v="5"/>
    <x v="1"/>
    <n v="1"/>
    <x v="0"/>
  </r>
  <r>
    <x v="141"/>
    <x v="18"/>
    <s v="Germany"/>
    <x v="1"/>
    <n v="87"/>
    <n v="0.2"/>
    <n v="39"/>
    <x v="1104"/>
    <x v="5"/>
    <x v="5"/>
    <x v="3"/>
    <n v="0"/>
    <x v="0"/>
  </r>
  <r>
    <x v="2523"/>
    <x v="2"/>
    <s v="Canada"/>
    <x v="2"/>
    <n v="45"/>
    <n v="1"/>
    <n v="61"/>
    <x v="1105"/>
    <x v="5"/>
    <x v="5"/>
    <x v="3"/>
    <n v="1"/>
    <x v="0"/>
  </r>
  <r>
    <x v="514"/>
    <x v="1"/>
    <s v="India"/>
    <x v="3"/>
    <n v="1800"/>
    <s v="NULL"/>
    <n v="7400"/>
    <x v="1106"/>
    <x v="5"/>
    <x v="6"/>
    <x v="2"/>
    <s v="NULL"/>
    <x v="0"/>
  </r>
  <r>
    <x v="2524"/>
    <x v="6"/>
    <s v="United Kingdom"/>
    <x v="5"/>
    <n v="20"/>
    <s v="NULL"/>
    <n v="150"/>
    <x v="1106"/>
    <x v="5"/>
    <x v="6"/>
    <x v="4"/>
    <s v="NULL"/>
    <x v="0"/>
  </r>
  <r>
    <x v="111"/>
    <x v="2"/>
    <s v="United States"/>
    <x v="1"/>
    <n v="800"/>
    <s v="NULL"/>
    <n v="50"/>
    <x v="1107"/>
    <x v="5"/>
    <x v="6"/>
    <x v="3"/>
    <s v="NULL"/>
    <x v="0"/>
  </r>
  <r>
    <x v="2525"/>
    <x v="18"/>
    <s v="United States"/>
    <x v="1"/>
    <n v="180"/>
    <n v="0.15"/>
    <n v="763"/>
    <x v="1108"/>
    <x v="5"/>
    <x v="6"/>
    <x v="4"/>
    <n v="0"/>
    <x v="0"/>
  </r>
  <r>
    <x v="780"/>
    <x v="18"/>
    <s v="United States"/>
    <x v="3"/>
    <n v="1877"/>
    <s v="NULL"/>
    <n v="2400"/>
    <x v="1109"/>
    <x v="5"/>
    <x v="6"/>
    <x v="2"/>
    <s v="NULL"/>
    <x v="0"/>
  </r>
  <r>
    <x v="2526"/>
    <x v="10"/>
    <s v="Singapore"/>
    <x v="3"/>
    <n v="21"/>
    <n v="1"/>
    <n v="20"/>
    <x v="1110"/>
    <x v="5"/>
    <x v="6"/>
    <x v="3"/>
    <n v="1"/>
    <x v="0"/>
  </r>
  <r>
    <x v="500"/>
    <x v="0"/>
    <s v="United States"/>
    <x v="0"/>
    <n v="315"/>
    <n v="0.15"/>
    <n v="1700"/>
    <x v="1111"/>
    <x v="5"/>
    <x v="6"/>
    <x v="2"/>
    <n v="0"/>
    <x v="0"/>
  </r>
  <r>
    <x v="2527"/>
    <x v="14"/>
    <s v="United States"/>
    <x v="3"/>
    <s v="NULL"/>
    <n v="1"/>
    <n v="584"/>
    <x v="1112"/>
    <x v="5"/>
    <x v="6"/>
    <x v="4"/>
    <n v="1"/>
    <x v="0"/>
  </r>
  <r>
    <x v="2528"/>
    <x v="14"/>
    <s v="United States"/>
    <x v="1"/>
    <s v="NULL"/>
    <n v="1"/>
    <n v="15"/>
    <x v="1113"/>
    <x v="5"/>
    <x v="6"/>
    <x v="3"/>
    <n v="1"/>
    <x v="0"/>
  </r>
  <r>
    <x v="2345"/>
    <x v="21"/>
    <s v="India"/>
    <x v="1"/>
    <n v="1800"/>
    <s v="NULL"/>
    <n v="11"/>
    <x v="1114"/>
    <x v="5"/>
    <x v="6"/>
    <x v="3"/>
    <s v="NULL"/>
    <x v="0"/>
  </r>
  <r>
    <x v="2529"/>
    <x v="3"/>
    <s v="United States"/>
    <x v="1"/>
    <n v="78"/>
    <s v="NULL"/>
    <s v="NULL"/>
    <x v="1115"/>
    <x v="6"/>
    <x v="7"/>
    <x v="1"/>
    <s v="NULL"/>
    <x v="0"/>
  </r>
  <r>
    <x v="2530"/>
    <x v="16"/>
    <s v="Canada"/>
    <x v="7"/>
    <n v="120"/>
    <n v="0.8"/>
    <n v="131"/>
    <x v="1116"/>
    <x v="6"/>
    <x v="7"/>
    <x v="4"/>
    <n v="0"/>
    <x v="0"/>
  </r>
  <r>
    <x v="2531"/>
    <x v="6"/>
    <s v="United States"/>
    <x v="1"/>
    <n v="54"/>
    <s v="NULL"/>
    <n v="352"/>
    <x v="1116"/>
    <x v="6"/>
    <x v="7"/>
    <x v="4"/>
    <s v="NULL"/>
    <x v="0"/>
  </r>
  <r>
    <x v="1882"/>
    <x v="13"/>
    <s v="India"/>
    <x v="4"/>
    <n v="600"/>
    <s v="NULL"/>
    <n v="3200"/>
    <x v="1117"/>
    <x v="6"/>
    <x v="7"/>
    <x v="2"/>
    <s v="NULL"/>
    <x v="0"/>
  </r>
  <r>
    <x v="2532"/>
    <x v="7"/>
    <s v="United States"/>
    <x v="5"/>
    <s v="NULL"/>
    <s v="NULL"/>
    <n v="120"/>
    <x v="1118"/>
    <x v="6"/>
    <x v="8"/>
    <x v="4"/>
    <s v="NULL"/>
    <x v="1"/>
  </r>
  <r>
    <x v="2533"/>
    <x v="14"/>
    <s v="Canada"/>
    <x v="6"/>
    <n v="5"/>
    <n v="0.25"/>
    <n v="3"/>
    <x v="1119"/>
    <x v="6"/>
    <x v="8"/>
    <x v="0"/>
    <n v="0"/>
    <x v="0"/>
  </r>
  <r>
    <x v="2534"/>
    <x v="16"/>
    <s v="United States"/>
    <x v="2"/>
    <s v="NULL"/>
    <n v="0.5"/>
    <n v="116"/>
    <x v="1120"/>
    <x v="6"/>
    <x v="8"/>
    <x v="4"/>
    <n v="0"/>
    <x v="0"/>
  </r>
  <r>
    <x v="2535"/>
    <x v="5"/>
    <s v="United States"/>
    <x v="2"/>
    <n v="154"/>
    <n v="1"/>
    <n v="45"/>
    <x v="1121"/>
    <x v="6"/>
    <x v="8"/>
    <x v="3"/>
    <n v="1"/>
    <x v="0"/>
  </r>
  <r>
    <x v="2536"/>
    <x v="5"/>
    <s v="United States"/>
    <x v="3"/>
    <n v="18"/>
    <n v="0.4"/>
    <s v="NULL"/>
    <x v="1121"/>
    <x v="6"/>
    <x v="8"/>
    <x v="1"/>
    <n v="0"/>
    <x v="0"/>
  </r>
  <r>
    <x v="2537"/>
    <x v="6"/>
    <s v="United States"/>
    <x v="5"/>
    <s v="NULL"/>
    <s v="NULL"/>
    <n v="67"/>
    <x v="1121"/>
    <x v="6"/>
    <x v="8"/>
    <x v="3"/>
    <s v="NULL"/>
    <x v="1"/>
  </r>
  <r>
    <x v="2538"/>
    <x v="11"/>
    <s v="United States"/>
    <x v="5"/>
    <s v="NULL"/>
    <s v="NULL"/>
    <n v="95"/>
    <x v="1121"/>
    <x v="6"/>
    <x v="8"/>
    <x v="3"/>
    <s v="NULL"/>
    <x v="1"/>
  </r>
  <r>
    <x v="2539"/>
    <x v="2"/>
    <s v="United States"/>
    <x v="3"/>
    <n v="30"/>
    <n v="0.5"/>
    <n v="3.8"/>
    <x v="1122"/>
    <x v="6"/>
    <x v="8"/>
    <x v="0"/>
    <n v="0"/>
    <x v="0"/>
  </r>
  <r>
    <x v="2540"/>
    <x v="3"/>
    <s v="United States"/>
    <x v="8"/>
    <s v="NULL"/>
    <n v="1"/>
    <n v="14"/>
    <x v="1123"/>
    <x v="6"/>
    <x v="8"/>
    <x v="3"/>
    <n v="1"/>
    <x v="0"/>
  </r>
  <r>
    <x v="2541"/>
    <x v="2"/>
    <s v="United States"/>
    <x v="3"/>
    <s v="NULL"/>
    <n v="0.5"/>
    <n v="101.6"/>
    <x v="1124"/>
    <x v="6"/>
    <x v="8"/>
    <x v="4"/>
    <n v="0"/>
    <x v="0"/>
  </r>
  <r>
    <x v="2117"/>
    <x v="15"/>
    <s v="United States"/>
    <x v="0"/>
    <n v="30"/>
    <s v="NULL"/>
    <n v="42"/>
    <x v="1125"/>
    <x v="6"/>
    <x v="8"/>
    <x v="3"/>
    <s v="NULL"/>
    <x v="0"/>
  </r>
  <r>
    <x v="2542"/>
    <x v="5"/>
    <s v="United States"/>
    <x v="8"/>
    <n v="82"/>
    <s v="NULL"/>
    <n v="12.5"/>
    <x v="1126"/>
    <x v="6"/>
    <x v="9"/>
    <x v="3"/>
    <s v="NULL"/>
    <x v="0"/>
  </r>
  <r>
    <x v="2543"/>
    <x v="16"/>
    <s v="United States"/>
    <x v="5"/>
    <n v="20"/>
    <n v="0.08"/>
    <n v="560"/>
    <x v="1126"/>
    <x v="6"/>
    <x v="9"/>
    <x v="4"/>
    <n v="0"/>
    <x v="0"/>
  </r>
  <r>
    <x v="2544"/>
    <x v="18"/>
    <s v="United States"/>
    <x v="2"/>
    <s v="NULL"/>
    <s v="NULL"/>
    <n v="67"/>
    <x v="1127"/>
    <x v="6"/>
    <x v="9"/>
    <x v="3"/>
    <s v="NULL"/>
    <x v="1"/>
  </r>
  <r>
    <x v="2545"/>
    <x v="21"/>
    <s v="United States"/>
    <x v="8"/>
    <n v="8"/>
    <s v="NULL"/>
    <n v="8"/>
    <x v="1128"/>
    <x v="6"/>
    <x v="9"/>
    <x v="0"/>
    <s v="NULL"/>
    <x v="0"/>
  </r>
  <r>
    <x v="2546"/>
    <x v="4"/>
    <s v="United States"/>
    <x v="9"/>
    <s v="NULL"/>
    <n v="1"/>
    <n v="1800"/>
    <x v="1129"/>
    <x v="6"/>
    <x v="9"/>
    <x v="2"/>
    <n v="1"/>
    <x v="0"/>
  </r>
  <r>
    <x v="369"/>
    <x v="18"/>
    <s v="Indonesia"/>
    <x v="14"/>
    <s v="NULL"/>
    <s v="NULL"/>
    <n v="914"/>
    <x v="1130"/>
    <x v="6"/>
    <x v="9"/>
    <x v="4"/>
    <s v="NULL"/>
    <x v="1"/>
  </r>
  <r>
    <x v="2547"/>
    <x v="13"/>
    <s v="Germany"/>
    <x v="11"/>
    <n v="90"/>
    <n v="0.17"/>
    <n v="656"/>
    <x v="1131"/>
    <x v="6"/>
    <x v="9"/>
    <x v="4"/>
    <n v="0"/>
    <x v="0"/>
  </r>
  <r>
    <x v="2548"/>
    <x v="10"/>
    <s v="India"/>
    <x v="1"/>
    <n v="250"/>
    <s v="NULL"/>
    <n v="28"/>
    <x v="1132"/>
    <x v="6"/>
    <x v="9"/>
    <x v="3"/>
    <s v="NULL"/>
    <x v="0"/>
  </r>
  <r>
    <x v="2549"/>
    <x v="24"/>
    <s v="United States"/>
    <x v="1"/>
    <s v="NULL"/>
    <s v="NULL"/>
    <n v="105"/>
    <x v="1133"/>
    <x v="6"/>
    <x v="9"/>
    <x v="4"/>
    <s v="NULL"/>
    <x v="1"/>
  </r>
  <r>
    <x v="2287"/>
    <x v="5"/>
    <s v="United States"/>
    <x v="7"/>
    <n v="47"/>
    <n v="0.06"/>
    <n v="356"/>
    <x v="1134"/>
    <x v="6"/>
    <x v="10"/>
    <x v="4"/>
    <n v="0"/>
    <x v="0"/>
  </r>
  <r>
    <x v="2550"/>
    <x v="4"/>
    <s v="United States"/>
    <x v="2"/>
    <s v="NULL"/>
    <s v="NULL"/>
    <n v="3.5"/>
    <x v="1134"/>
    <x v="6"/>
    <x v="10"/>
    <x v="0"/>
    <s v="NULL"/>
    <x v="1"/>
  </r>
  <r>
    <x v="2551"/>
    <x v="11"/>
    <s v="United Kingdom"/>
    <x v="9"/>
    <s v="NULL"/>
    <s v="NULL"/>
    <n v="1.54"/>
    <x v="1135"/>
    <x v="6"/>
    <x v="10"/>
    <x v="0"/>
    <s v="NULL"/>
    <x v="1"/>
  </r>
  <r>
    <x v="1694"/>
    <x v="16"/>
    <s v="China"/>
    <x v="13"/>
    <s v="NULL"/>
    <s v="NULL"/>
    <n v="19500"/>
    <x v="1136"/>
    <x v="6"/>
    <x v="10"/>
    <x v="2"/>
    <s v="NULL"/>
    <x v="1"/>
  </r>
  <r>
    <x v="2552"/>
    <x v="10"/>
    <s v="United States"/>
    <x v="8"/>
    <s v="NULL"/>
    <n v="0.16"/>
    <n v="18"/>
    <x v="1137"/>
    <x v="6"/>
    <x v="10"/>
    <x v="3"/>
    <n v="0"/>
    <x v="0"/>
  </r>
  <r>
    <x v="2553"/>
    <x v="6"/>
    <s v="United States"/>
    <x v="8"/>
    <n v="240"/>
    <n v="0.95"/>
    <n v="157.9"/>
    <x v="1138"/>
    <x v="6"/>
    <x v="10"/>
    <x v="4"/>
    <n v="0"/>
    <x v="0"/>
  </r>
  <r>
    <x v="2554"/>
    <x v="4"/>
    <s v="United Kingdom"/>
    <x v="1"/>
    <n v="20"/>
    <s v="NULL"/>
    <n v="40.5"/>
    <x v="1138"/>
    <x v="6"/>
    <x v="10"/>
    <x v="3"/>
    <s v="NULL"/>
    <x v="0"/>
  </r>
  <r>
    <x v="2555"/>
    <x v="16"/>
    <s v="United States"/>
    <x v="8"/>
    <s v="NULL"/>
    <n v="1"/>
    <n v="13.4"/>
    <x v="1138"/>
    <x v="6"/>
    <x v="10"/>
    <x v="3"/>
    <n v="1"/>
    <x v="0"/>
  </r>
  <r>
    <x v="1266"/>
    <x v="11"/>
    <s v="United States"/>
    <x v="1"/>
    <n v="30"/>
    <n v="0.05"/>
    <n v="67"/>
    <x v="1139"/>
    <x v="6"/>
    <x v="10"/>
    <x v="3"/>
    <n v="0"/>
    <x v="0"/>
  </r>
  <r>
    <x v="2115"/>
    <x v="11"/>
    <s v="United States"/>
    <x v="2"/>
    <s v="NULL"/>
    <n v="0.1"/>
    <n v="132"/>
    <x v="1140"/>
    <x v="6"/>
    <x v="10"/>
    <x v="4"/>
    <n v="0"/>
    <x v="0"/>
  </r>
  <r>
    <x v="2556"/>
    <x v="21"/>
    <s v="United States"/>
    <x v="2"/>
    <s v="NULL"/>
    <s v="NULL"/>
    <n v="22.8"/>
    <x v="1141"/>
    <x v="6"/>
    <x v="10"/>
    <x v="3"/>
    <s v="NULL"/>
    <x v="1"/>
  </r>
  <r>
    <x v="2447"/>
    <x v="23"/>
    <s v="United States"/>
    <x v="0"/>
    <s v="NULL"/>
    <s v="NULL"/>
    <s v="NULL"/>
    <x v="1142"/>
    <x v="6"/>
    <x v="10"/>
    <x v="1"/>
    <s v="NULL"/>
    <x v="1"/>
  </r>
  <r>
    <x v="2557"/>
    <x v="2"/>
    <s v="United Arab Emirates"/>
    <x v="8"/>
    <s v="NULL"/>
    <n v="1"/>
    <n v="30"/>
    <x v="1142"/>
    <x v="6"/>
    <x v="10"/>
    <x v="3"/>
    <n v="1"/>
    <x v="0"/>
  </r>
  <r>
    <x v="2558"/>
    <x v="4"/>
    <s v="United States"/>
    <x v="1"/>
    <n v="250"/>
    <s v="NULL"/>
    <n v="95.2"/>
    <x v="1143"/>
    <x v="6"/>
    <x v="10"/>
    <x v="3"/>
    <s v="NULL"/>
    <x v="0"/>
  </r>
  <r>
    <x v="2559"/>
    <x v="14"/>
    <s v="Singapore"/>
    <x v="3"/>
    <n v="22"/>
    <n v="0.11"/>
    <n v="97"/>
    <x v="1143"/>
    <x v="6"/>
    <x v="10"/>
    <x v="3"/>
    <n v="0"/>
    <x v="0"/>
  </r>
  <r>
    <x v="2560"/>
    <x v="13"/>
    <s v="India"/>
    <x v="0"/>
    <n v="350"/>
    <n v="0.1"/>
    <n v="548"/>
    <x v="1144"/>
    <x v="6"/>
    <x v="11"/>
    <x v="4"/>
    <n v="0"/>
    <x v="0"/>
  </r>
  <r>
    <x v="38"/>
    <x v="19"/>
    <s v="United States"/>
    <x v="0"/>
    <n v="1000"/>
    <n v="0.02"/>
    <n v="65.400000000000006"/>
    <x v="1145"/>
    <x v="6"/>
    <x v="11"/>
    <x v="3"/>
    <n v="0"/>
    <x v="0"/>
  </r>
  <r>
    <x v="2561"/>
    <x v="8"/>
    <s v="United States"/>
    <x v="1"/>
    <s v="NULL"/>
    <s v="NULL"/>
    <s v="NULL"/>
    <x v="1145"/>
    <x v="6"/>
    <x v="11"/>
    <x v="1"/>
    <s v="NULL"/>
    <x v="1"/>
  </r>
  <r>
    <x v="2562"/>
    <x v="24"/>
    <s v="Australia"/>
    <x v="0"/>
    <n v="30"/>
    <s v="NULL"/>
    <n v="36"/>
    <x v="1146"/>
    <x v="6"/>
    <x v="11"/>
    <x v="3"/>
    <s v="NULL"/>
    <x v="0"/>
  </r>
  <r>
    <x v="2563"/>
    <x v="4"/>
    <s v="United States"/>
    <x v="1"/>
    <s v="NULL"/>
    <s v="NULL"/>
    <n v="9.5"/>
    <x v="1146"/>
    <x v="6"/>
    <x v="11"/>
    <x v="0"/>
    <s v="NULL"/>
    <x v="1"/>
  </r>
  <r>
    <x v="2564"/>
    <x v="6"/>
    <s v="United States"/>
    <x v="5"/>
    <s v="NULL"/>
    <s v="NULL"/>
    <n v="76.2"/>
    <x v="1147"/>
    <x v="6"/>
    <x v="11"/>
    <x v="3"/>
    <s v="NULL"/>
    <x v="1"/>
  </r>
  <r>
    <x v="2565"/>
    <x v="5"/>
    <s v="United Kingdom"/>
    <x v="6"/>
    <n v="8"/>
    <n v="0.8"/>
    <n v="15.5"/>
    <x v="1148"/>
    <x v="6"/>
    <x v="11"/>
    <x v="3"/>
    <n v="0"/>
    <x v="0"/>
  </r>
  <r>
    <x v="2566"/>
    <x v="13"/>
    <s v="Germany"/>
    <x v="6"/>
    <s v="NULL"/>
    <s v="NULL"/>
    <n v="1.3"/>
    <x v="1148"/>
    <x v="6"/>
    <x v="11"/>
    <x v="0"/>
    <s v="NULL"/>
    <x v="1"/>
  </r>
  <r>
    <x v="2567"/>
    <x v="24"/>
    <s v="United States"/>
    <x v="8"/>
    <s v="NULL"/>
    <n v="1"/>
    <n v="10"/>
    <x v="1149"/>
    <x v="6"/>
    <x v="11"/>
    <x v="3"/>
    <n v="1"/>
    <x v="0"/>
  </r>
  <r>
    <x v="2520"/>
    <x v="1"/>
    <s v="China"/>
    <x v="3"/>
    <s v="NULL"/>
    <s v="NULL"/>
    <n v="105"/>
    <x v="1150"/>
    <x v="6"/>
    <x v="11"/>
    <x v="4"/>
    <s v="NULL"/>
    <x v="1"/>
  </r>
  <r>
    <x v="101"/>
    <x v="2"/>
    <s v="Canada"/>
    <x v="0"/>
    <n v="30"/>
    <s v="NULL"/>
    <n v="122.3"/>
    <x v="1151"/>
    <x v="6"/>
    <x v="11"/>
    <x v="4"/>
    <s v="NULL"/>
    <x v="0"/>
  </r>
  <r>
    <x v="891"/>
    <x v="22"/>
    <s v="United States"/>
    <x v="4"/>
    <s v="NULL"/>
    <s v="NULL"/>
    <n v="350.2"/>
    <x v="1151"/>
    <x v="6"/>
    <x v="11"/>
    <x v="4"/>
    <s v="NULL"/>
    <x v="1"/>
  </r>
  <r>
    <x v="2568"/>
    <x v="11"/>
    <s v="United States"/>
    <x v="3"/>
    <s v="NULL"/>
    <s v="NULL"/>
    <n v="45"/>
    <x v="1152"/>
    <x v="6"/>
    <x v="11"/>
    <x v="3"/>
    <s v="NULL"/>
    <x v="1"/>
  </r>
  <r>
    <x v="781"/>
    <x v="1"/>
    <s v="United States"/>
    <x v="3"/>
    <n v="250"/>
    <n v="0.25"/>
    <n v="2.2999999999999998"/>
    <x v="1153"/>
    <x v="6"/>
    <x v="11"/>
    <x v="0"/>
    <n v="0"/>
    <x v="0"/>
  </r>
  <r>
    <x v="2569"/>
    <x v="18"/>
    <s v="Singapore"/>
    <x v="6"/>
    <n v="20"/>
    <n v="1"/>
    <n v="0.98"/>
    <x v="1154"/>
    <x v="6"/>
    <x v="11"/>
    <x v="0"/>
    <n v="1"/>
    <x v="0"/>
  </r>
  <r>
    <x v="182"/>
    <x v="2"/>
    <s v="United States"/>
    <x v="7"/>
    <n v="150"/>
    <n v="0.38"/>
    <n v="186.4"/>
    <x v="1155"/>
    <x v="6"/>
    <x v="11"/>
    <x v="4"/>
    <n v="0"/>
    <x v="0"/>
  </r>
  <r>
    <x v="2570"/>
    <x v="11"/>
    <s v="Uruguay"/>
    <x v="6"/>
    <s v="NULL"/>
    <s v="NULL"/>
    <n v="1.8"/>
    <x v="1155"/>
    <x v="6"/>
    <x v="11"/>
    <x v="0"/>
    <s v="NULL"/>
    <x v="1"/>
  </r>
  <r>
    <x v="2571"/>
    <x v="18"/>
    <s v="Canada"/>
    <x v="2"/>
    <n v="75"/>
    <n v="0.5"/>
    <n v="53"/>
    <x v="1156"/>
    <x v="6"/>
    <x v="11"/>
    <x v="3"/>
    <n v="0"/>
    <x v="0"/>
  </r>
  <r>
    <x v="2572"/>
    <x v="19"/>
    <s v="United States"/>
    <x v="3"/>
    <n v="56"/>
    <s v="NULL"/>
    <n v="20"/>
    <x v="1157"/>
    <x v="6"/>
    <x v="11"/>
    <x v="3"/>
    <s v="NULL"/>
    <x v="0"/>
  </r>
  <r>
    <x v="487"/>
    <x v="13"/>
    <s v="Netherlands"/>
    <x v="1"/>
    <n v="4375"/>
    <n v="0.25"/>
    <s v="NULL"/>
    <x v="1158"/>
    <x v="6"/>
    <x v="0"/>
    <x v="1"/>
    <n v="0"/>
    <x v="0"/>
  </r>
  <r>
    <x v="2573"/>
    <x v="2"/>
    <s v="United States"/>
    <x v="1"/>
    <n v="87"/>
    <n v="1"/>
    <n v="42.4"/>
    <x v="1158"/>
    <x v="6"/>
    <x v="0"/>
    <x v="3"/>
    <n v="1"/>
    <x v="0"/>
  </r>
  <r>
    <x v="2574"/>
    <x v="14"/>
    <s v="United States"/>
    <x v="1"/>
    <s v="NULL"/>
    <s v="NULL"/>
    <n v="472"/>
    <x v="1158"/>
    <x v="6"/>
    <x v="0"/>
    <x v="4"/>
    <s v="NULL"/>
    <x v="1"/>
  </r>
  <r>
    <x v="2575"/>
    <x v="18"/>
    <s v="United States"/>
    <x v="3"/>
    <s v="NULL"/>
    <s v="NULL"/>
    <n v="13"/>
    <x v="1159"/>
    <x v="6"/>
    <x v="0"/>
    <x v="3"/>
    <s v="NULL"/>
    <x v="1"/>
  </r>
  <r>
    <x v="822"/>
    <x v="30"/>
    <s v="United States"/>
    <x v="3"/>
    <n v="180"/>
    <n v="0.09"/>
    <n v="649"/>
    <x v="1160"/>
    <x v="6"/>
    <x v="0"/>
    <x v="4"/>
    <n v="0"/>
    <x v="0"/>
  </r>
  <r>
    <x v="825"/>
    <x v="18"/>
    <s v="India"/>
    <x v="15"/>
    <n v="350"/>
    <n v="0.05"/>
    <n v="1600"/>
    <x v="1161"/>
    <x v="6"/>
    <x v="0"/>
    <x v="2"/>
    <n v="0"/>
    <x v="0"/>
  </r>
  <r>
    <x v="2576"/>
    <x v="14"/>
    <s v="Germany"/>
    <x v="2"/>
    <n v="75"/>
    <n v="0.72"/>
    <n v="60.18"/>
    <x v="1161"/>
    <x v="6"/>
    <x v="0"/>
    <x v="3"/>
    <n v="0"/>
    <x v="0"/>
  </r>
  <r>
    <x v="2577"/>
    <x v="7"/>
    <s v="United Kingdom"/>
    <x v="3"/>
    <s v="NULL"/>
    <s v="NULL"/>
    <n v="29.7"/>
    <x v="1161"/>
    <x v="6"/>
    <x v="0"/>
    <x v="3"/>
    <s v="NULL"/>
    <x v="1"/>
  </r>
  <r>
    <x v="712"/>
    <x v="7"/>
    <s v="United States"/>
    <x v="7"/>
    <n v="64"/>
    <n v="0.12"/>
    <n v="309"/>
    <x v="1162"/>
    <x v="6"/>
    <x v="0"/>
    <x v="4"/>
    <n v="0"/>
    <x v="0"/>
  </r>
  <r>
    <x v="2578"/>
    <x v="2"/>
    <s v="Indonesia"/>
    <x v="2"/>
    <s v="NULL"/>
    <n v="1"/>
    <n v="27"/>
    <x v="1162"/>
    <x v="6"/>
    <x v="0"/>
    <x v="3"/>
    <n v="1"/>
    <x v="0"/>
  </r>
  <r>
    <x v="73"/>
    <x v="8"/>
    <s v="United States"/>
    <x v="1"/>
    <n v="960"/>
    <n v="0.06"/>
    <n v="154"/>
    <x v="1163"/>
    <x v="6"/>
    <x v="0"/>
    <x v="4"/>
    <n v="0"/>
    <x v="0"/>
  </r>
  <r>
    <x v="2579"/>
    <x v="14"/>
    <s v="United States"/>
    <x v="2"/>
    <n v="22"/>
    <n v="0.49"/>
    <n v="15"/>
    <x v="1164"/>
    <x v="6"/>
    <x v="0"/>
    <x v="3"/>
    <n v="0"/>
    <x v="0"/>
  </r>
  <r>
    <x v="2580"/>
    <x v="25"/>
    <s v="India"/>
    <x v="7"/>
    <n v="120"/>
    <s v="NULL"/>
    <n v="404.6"/>
    <x v="1165"/>
    <x v="6"/>
    <x v="0"/>
    <x v="4"/>
    <s v="NULL"/>
    <x v="0"/>
  </r>
  <r>
    <x v="2581"/>
    <x v="13"/>
    <s v="Canada"/>
    <x v="8"/>
    <s v="NULL"/>
    <s v="NULL"/>
    <n v="22.4"/>
    <x v="1166"/>
    <x v="6"/>
    <x v="0"/>
    <x v="3"/>
    <s v="NULL"/>
    <x v="1"/>
  </r>
  <r>
    <x v="2582"/>
    <x v="10"/>
    <s v="United States"/>
    <x v="7"/>
    <n v="60"/>
    <n v="0.15"/>
    <n v="251.2"/>
    <x v="1167"/>
    <x v="6"/>
    <x v="0"/>
    <x v="4"/>
    <n v="0"/>
    <x v="0"/>
  </r>
  <r>
    <x v="2583"/>
    <x v="13"/>
    <s v="United Kingdom"/>
    <x v="1"/>
    <n v="300"/>
    <n v="0.2"/>
    <n v="197.2"/>
    <x v="1168"/>
    <x v="6"/>
    <x v="0"/>
    <x v="4"/>
    <n v="0"/>
    <x v="0"/>
  </r>
  <r>
    <x v="462"/>
    <x v="4"/>
    <s v="United States"/>
    <x v="4"/>
    <s v="NULL"/>
    <s v="NULL"/>
    <n v="307.60000000000002"/>
    <x v="1168"/>
    <x v="6"/>
    <x v="0"/>
    <x v="4"/>
    <s v="NULL"/>
    <x v="1"/>
  </r>
  <r>
    <x v="2584"/>
    <x v="1"/>
    <s v="United States"/>
    <x v="0"/>
    <n v="63"/>
    <s v="NULL"/>
    <n v="56"/>
    <x v="1169"/>
    <x v="6"/>
    <x v="0"/>
    <x v="3"/>
    <s v="NULL"/>
    <x v="0"/>
  </r>
  <r>
    <x v="1026"/>
    <x v="23"/>
    <s v="India"/>
    <x v="5"/>
    <n v="140"/>
    <s v="NULL"/>
    <n v="70"/>
    <x v="1170"/>
    <x v="6"/>
    <x v="0"/>
    <x v="3"/>
    <s v="NULL"/>
    <x v="0"/>
  </r>
  <r>
    <x v="2585"/>
    <x v="2"/>
    <s v="Singapore"/>
    <x v="7"/>
    <n v="100"/>
    <n v="0.12"/>
    <n v="307"/>
    <x v="1171"/>
    <x v="6"/>
    <x v="0"/>
    <x v="4"/>
    <n v="0"/>
    <x v="0"/>
  </r>
  <r>
    <x v="2586"/>
    <x v="14"/>
    <s v="India"/>
    <x v="1"/>
    <n v="40"/>
    <s v="NULL"/>
    <n v="25.6"/>
    <x v="1171"/>
    <x v="6"/>
    <x v="0"/>
    <x v="3"/>
    <s v="NULL"/>
    <x v="0"/>
  </r>
  <r>
    <x v="656"/>
    <x v="14"/>
    <s v="United States"/>
    <x v="0"/>
    <n v="85"/>
    <s v="NULL"/>
    <n v="746"/>
    <x v="1172"/>
    <x v="6"/>
    <x v="0"/>
    <x v="4"/>
    <s v="NULL"/>
    <x v="0"/>
  </r>
  <r>
    <x v="2587"/>
    <x v="14"/>
    <s v="United States"/>
    <x v="0"/>
    <s v="NULL"/>
    <s v="NULL"/>
    <n v="1200"/>
    <x v="1172"/>
    <x v="6"/>
    <x v="0"/>
    <x v="2"/>
    <s v="NULL"/>
    <x v="1"/>
  </r>
  <r>
    <x v="2157"/>
    <x v="16"/>
    <s v="United States"/>
    <x v="5"/>
    <n v="56"/>
    <s v="NULL"/>
    <n v="117"/>
    <x v="1173"/>
    <x v="6"/>
    <x v="0"/>
    <x v="4"/>
    <s v="NULL"/>
    <x v="0"/>
  </r>
  <r>
    <x v="2588"/>
    <x v="10"/>
    <s v="United States"/>
    <x v="7"/>
    <n v="18"/>
    <s v="NULL"/>
    <n v="38"/>
    <x v="1173"/>
    <x v="6"/>
    <x v="0"/>
    <x v="3"/>
    <s v="NULL"/>
    <x v="0"/>
  </r>
  <r>
    <x v="2589"/>
    <x v="4"/>
    <s v="United States"/>
    <x v="5"/>
    <n v="12"/>
    <s v="NULL"/>
    <n v="19"/>
    <x v="1173"/>
    <x v="6"/>
    <x v="0"/>
    <x v="3"/>
    <s v="NULL"/>
    <x v="0"/>
  </r>
  <r>
    <x v="2590"/>
    <x v="1"/>
    <s v="United States"/>
    <x v="5"/>
    <n v="5"/>
    <s v="NULL"/>
    <n v="57.8"/>
    <x v="1173"/>
    <x v="6"/>
    <x v="0"/>
    <x v="3"/>
    <s v="NULL"/>
    <x v="0"/>
  </r>
  <r>
    <x v="2591"/>
    <x v="10"/>
    <s v="United States"/>
    <x v="5"/>
    <n v="17"/>
    <n v="0.05"/>
    <n v="100.8"/>
    <x v="1174"/>
    <x v="6"/>
    <x v="1"/>
    <x v="4"/>
    <n v="0"/>
    <x v="0"/>
  </r>
  <r>
    <x v="2592"/>
    <x v="8"/>
    <s v="United States"/>
    <x v="7"/>
    <s v="NULL"/>
    <s v="NULL"/>
    <n v="132"/>
    <x v="1174"/>
    <x v="6"/>
    <x v="1"/>
    <x v="4"/>
    <s v="NULL"/>
    <x v="1"/>
  </r>
  <r>
    <x v="2515"/>
    <x v="30"/>
    <s v="United States"/>
    <x v="11"/>
    <n v="400"/>
    <n v="7.0000000000000007E-2"/>
    <n v="1300"/>
    <x v="1175"/>
    <x v="6"/>
    <x v="1"/>
    <x v="2"/>
    <n v="0"/>
    <x v="0"/>
  </r>
  <r>
    <x v="1781"/>
    <x v="11"/>
    <s v="India"/>
    <x v="7"/>
    <n v="130"/>
    <n v="0.22"/>
    <n v="214.2"/>
    <x v="1175"/>
    <x v="6"/>
    <x v="1"/>
    <x v="4"/>
    <n v="0"/>
    <x v="0"/>
  </r>
  <r>
    <x v="2032"/>
    <x v="11"/>
    <s v="Germany"/>
    <x v="3"/>
    <n v="100"/>
    <s v="NULL"/>
    <n v="3600"/>
    <x v="1175"/>
    <x v="6"/>
    <x v="1"/>
    <x v="2"/>
    <s v="NULL"/>
    <x v="0"/>
  </r>
  <r>
    <x v="2541"/>
    <x v="2"/>
    <s v="United States"/>
    <x v="3"/>
    <n v="61"/>
    <s v="NULL"/>
    <n v="101.6"/>
    <x v="1175"/>
    <x v="6"/>
    <x v="1"/>
    <x v="4"/>
    <s v="NULL"/>
    <x v="0"/>
  </r>
  <r>
    <x v="481"/>
    <x v="24"/>
    <s v="United States"/>
    <x v="0"/>
    <n v="20"/>
    <s v="NULL"/>
    <n v="214.5"/>
    <x v="1175"/>
    <x v="6"/>
    <x v="1"/>
    <x v="4"/>
    <s v="NULL"/>
    <x v="0"/>
  </r>
  <r>
    <x v="2593"/>
    <x v="2"/>
    <s v="United States"/>
    <x v="3"/>
    <s v="NULL"/>
    <n v="1"/>
    <n v="4"/>
    <x v="1176"/>
    <x v="6"/>
    <x v="1"/>
    <x v="0"/>
    <n v="1"/>
    <x v="0"/>
  </r>
  <r>
    <x v="2594"/>
    <x v="11"/>
    <s v="United States"/>
    <x v="5"/>
    <s v="NULL"/>
    <s v="NULL"/>
    <n v="1200"/>
    <x v="1177"/>
    <x v="6"/>
    <x v="1"/>
    <x v="2"/>
    <s v="NULL"/>
    <x v="1"/>
  </r>
  <r>
    <x v="410"/>
    <x v="15"/>
    <s v="United States"/>
    <x v="4"/>
    <s v="NULL"/>
    <s v="NULL"/>
    <n v="228"/>
    <x v="1178"/>
    <x v="6"/>
    <x v="1"/>
    <x v="4"/>
    <s v="NULL"/>
    <x v="1"/>
  </r>
  <r>
    <x v="1596"/>
    <x v="10"/>
    <s v="United States"/>
    <x v="0"/>
    <n v="451"/>
    <n v="0.06"/>
    <s v="NULL"/>
    <x v="1179"/>
    <x v="6"/>
    <x v="1"/>
    <x v="1"/>
    <n v="0"/>
    <x v="0"/>
  </r>
  <r>
    <x v="14"/>
    <x v="1"/>
    <s v="United States"/>
    <x v="0"/>
    <n v="174"/>
    <n v="0.12"/>
    <n v="455.2"/>
    <x v="1179"/>
    <x v="6"/>
    <x v="1"/>
    <x v="4"/>
    <n v="0"/>
    <x v="0"/>
  </r>
  <r>
    <x v="1882"/>
    <x v="13"/>
    <s v="United States"/>
    <x v="4"/>
    <s v="NULL"/>
    <s v="NULL"/>
    <n v="3200"/>
    <x v="1179"/>
    <x v="6"/>
    <x v="1"/>
    <x v="2"/>
    <s v="NULL"/>
    <x v="1"/>
  </r>
  <r>
    <x v="2595"/>
    <x v="11"/>
    <s v="Indonesia"/>
    <x v="4"/>
    <n v="430"/>
    <n v="0.09"/>
    <n v="4800"/>
    <x v="1180"/>
    <x v="6"/>
    <x v="1"/>
    <x v="2"/>
    <n v="0"/>
    <x v="0"/>
  </r>
  <r>
    <x v="2596"/>
    <x v="14"/>
    <s v="United States"/>
    <x v="5"/>
    <n v="90"/>
    <n v="0.9"/>
    <n v="103"/>
    <x v="1180"/>
    <x v="6"/>
    <x v="1"/>
    <x v="4"/>
    <n v="0"/>
    <x v="0"/>
  </r>
  <r>
    <x v="2597"/>
    <x v="22"/>
    <s v="United States"/>
    <x v="6"/>
    <n v="6"/>
    <n v="1"/>
    <n v="3"/>
    <x v="1180"/>
    <x v="6"/>
    <x v="1"/>
    <x v="0"/>
    <n v="1"/>
    <x v="0"/>
  </r>
  <r>
    <x v="66"/>
    <x v="14"/>
    <s v="United States"/>
    <x v="0"/>
    <n v="715"/>
    <n v="7.0000000000000007E-2"/>
    <n v="18"/>
    <x v="1181"/>
    <x v="6"/>
    <x v="1"/>
    <x v="3"/>
    <n v="0"/>
    <x v="0"/>
  </r>
  <r>
    <x v="1694"/>
    <x v="16"/>
    <s v="United Kingdom"/>
    <x v="13"/>
    <n v="200"/>
    <s v="NULL"/>
    <n v="19500"/>
    <x v="1182"/>
    <x v="6"/>
    <x v="1"/>
    <x v="2"/>
    <s v="NULL"/>
    <x v="0"/>
  </r>
  <r>
    <x v="2598"/>
    <x v="4"/>
    <s v="United States"/>
    <x v="2"/>
    <n v="15"/>
    <s v="NULL"/>
    <n v="32"/>
    <x v="1183"/>
    <x v="6"/>
    <x v="1"/>
    <x v="3"/>
    <s v="NULL"/>
    <x v="0"/>
  </r>
  <r>
    <x v="2599"/>
    <x v="14"/>
    <s v="India"/>
    <x v="9"/>
    <n v="40"/>
    <n v="0.25"/>
    <n v="582"/>
    <x v="1184"/>
    <x v="6"/>
    <x v="1"/>
    <x v="4"/>
    <n v="0"/>
    <x v="0"/>
  </r>
  <r>
    <x v="2600"/>
    <x v="14"/>
    <s v="India"/>
    <x v="12"/>
    <n v="1500"/>
    <n v="0.5"/>
    <n v="496"/>
    <x v="1185"/>
    <x v="6"/>
    <x v="1"/>
    <x v="4"/>
    <n v="0"/>
    <x v="0"/>
  </r>
  <r>
    <x v="1274"/>
    <x v="11"/>
    <s v="Singapore"/>
    <x v="15"/>
    <n v="360"/>
    <n v="0.05"/>
    <n v="9900"/>
    <x v="1185"/>
    <x v="6"/>
    <x v="1"/>
    <x v="2"/>
    <n v="0"/>
    <x v="0"/>
  </r>
  <r>
    <x v="980"/>
    <x v="6"/>
    <s v="United States"/>
    <x v="0"/>
    <n v="70"/>
    <n v="0.01"/>
    <n v="40"/>
    <x v="1185"/>
    <x v="6"/>
    <x v="1"/>
    <x v="3"/>
    <n v="0"/>
    <x v="0"/>
  </r>
  <r>
    <x v="2601"/>
    <x v="5"/>
    <s v="United States"/>
    <x v="5"/>
    <n v="44"/>
    <n v="0.25"/>
    <n v="50"/>
    <x v="1185"/>
    <x v="6"/>
    <x v="1"/>
    <x v="3"/>
    <n v="0"/>
    <x v="0"/>
  </r>
  <r>
    <x v="2602"/>
    <x v="6"/>
    <s v="United States"/>
    <x v="1"/>
    <s v="NULL"/>
    <n v="0.11"/>
    <n v="117"/>
    <x v="1186"/>
    <x v="6"/>
    <x v="1"/>
    <x v="4"/>
    <n v="0"/>
    <x v="0"/>
  </r>
  <r>
    <x v="2603"/>
    <x v="2"/>
    <s v="United States"/>
    <x v="2"/>
    <s v="NULL"/>
    <n v="1"/>
    <n v="10"/>
    <x v="1186"/>
    <x v="6"/>
    <x v="1"/>
    <x v="3"/>
    <n v="1"/>
    <x v="0"/>
  </r>
  <r>
    <x v="48"/>
    <x v="11"/>
    <s v="Netherlands"/>
    <x v="0"/>
    <n v="225"/>
    <n v="0.25"/>
    <n v="24700"/>
    <x v="1187"/>
    <x v="6"/>
    <x v="1"/>
    <x v="2"/>
    <n v="0"/>
    <x v="0"/>
  </r>
  <r>
    <x v="2604"/>
    <x v="14"/>
    <s v="United States"/>
    <x v="2"/>
    <n v="63"/>
    <n v="0.48"/>
    <n v="50"/>
    <x v="1187"/>
    <x v="6"/>
    <x v="1"/>
    <x v="3"/>
    <n v="0"/>
    <x v="0"/>
  </r>
  <r>
    <x v="2605"/>
    <x v="24"/>
    <s v="Bulgaria"/>
    <x v="3"/>
    <n v="120"/>
    <n v="0.1"/>
    <s v="NULL"/>
    <x v="1188"/>
    <x v="6"/>
    <x v="1"/>
    <x v="1"/>
    <n v="0"/>
    <x v="0"/>
  </r>
  <r>
    <x v="871"/>
    <x v="2"/>
    <s v="United States"/>
    <x v="6"/>
    <n v="3"/>
    <n v="0.27"/>
    <n v="2"/>
    <x v="1188"/>
    <x v="6"/>
    <x v="1"/>
    <x v="0"/>
    <n v="0"/>
    <x v="0"/>
  </r>
  <r>
    <x v="2606"/>
    <x v="4"/>
    <s v="United States"/>
    <x v="3"/>
    <n v="10"/>
    <n v="0.18"/>
    <s v="NULL"/>
    <x v="1189"/>
    <x v="6"/>
    <x v="1"/>
    <x v="1"/>
    <n v="0"/>
    <x v="0"/>
  </r>
  <r>
    <x v="2607"/>
    <x v="15"/>
    <s v="Canada"/>
    <x v="3"/>
    <n v="26"/>
    <s v="NULL"/>
    <n v="39.6"/>
    <x v="1190"/>
    <x v="6"/>
    <x v="1"/>
    <x v="3"/>
    <s v="NULL"/>
    <x v="0"/>
  </r>
  <r>
    <x v="2608"/>
    <x v="4"/>
    <s v="United States"/>
    <x v="7"/>
    <n v="46"/>
    <n v="0.08"/>
    <n v="139"/>
    <x v="1191"/>
    <x v="6"/>
    <x v="1"/>
    <x v="4"/>
    <n v="0"/>
    <x v="0"/>
  </r>
  <r>
    <x v="1555"/>
    <x v="14"/>
    <s v="United States"/>
    <x v="5"/>
    <n v="18"/>
    <n v="0.14000000000000001"/>
    <n v="106"/>
    <x v="1191"/>
    <x v="6"/>
    <x v="1"/>
    <x v="4"/>
    <n v="0"/>
    <x v="0"/>
  </r>
  <r>
    <x v="2609"/>
    <x v="3"/>
    <s v="United States"/>
    <x v="5"/>
    <n v="50"/>
    <n v="0.4"/>
    <n v="52"/>
    <x v="1192"/>
    <x v="6"/>
    <x v="1"/>
    <x v="3"/>
    <n v="0"/>
    <x v="0"/>
  </r>
  <r>
    <x v="2610"/>
    <x v="22"/>
    <s v="United States"/>
    <x v="8"/>
    <n v="39"/>
    <n v="0.14000000000000001"/>
    <n v="29"/>
    <x v="1192"/>
    <x v="6"/>
    <x v="1"/>
    <x v="3"/>
    <n v="0"/>
    <x v="0"/>
  </r>
  <r>
    <x v="2611"/>
    <x v="11"/>
    <s v="United States"/>
    <x v="5"/>
    <s v="NULL"/>
    <s v="NULL"/>
    <n v="75"/>
    <x v="1192"/>
    <x v="6"/>
    <x v="1"/>
    <x v="3"/>
    <s v="NULL"/>
    <x v="1"/>
  </r>
  <r>
    <x v="135"/>
    <x v="14"/>
    <s v="United Kingdom"/>
    <x v="4"/>
    <n v="120"/>
    <n v="0.08"/>
    <n v="324"/>
    <x v="1193"/>
    <x v="6"/>
    <x v="1"/>
    <x v="4"/>
    <n v="0"/>
    <x v="0"/>
  </r>
  <r>
    <x v="2111"/>
    <x v="29"/>
    <s v="United States"/>
    <x v="3"/>
    <n v="70"/>
    <s v="NULL"/>
    <n v="1"/>
    <x v="1193"/>
    <x v="6"/>
    <x v="1"/>
    <x v="0"/>
    <s v="NULL"/>
    <x v="0"/>
  </r>
  <r>
    <x v="2612"/>
    <x v="11"/>
    <s v="United States"/>
    <x v="7"/>
    <n v="40"/>
    <n v="0.21"/>
    <n v="117"/>
    <x v="1193"/>
    <x v="6"/>
    <x v="1"/>
    <x v="4"/>
    <n v="0"/>
    <x v="0"/>
  </r>
  <r>
    <x v="2613"/>
    <x v="14"/>
    <s v="United States"/>
    <x v="4"/>
    <n v="22"/>
    <n v="0.14000000000000001"/>
    <n v="120"/>
    <x v="1193"/>
    <x v="6"/>
    <x v="1"/>
    <x v="4"/>
    <n v="0"/>
    <x v="0"/>
  </r>
  <r>
    <x v="2614"/>
    <x v="11"/>
    <s v="Germany"/>
    <x v="1"/>
    <n v="100"/>
    <s v="NULL"/>
    <n v="55"/>
    <x v="1194"/>
    <x v="6"/>
    <x v="1"/>
    <x v="3"/>
    <s v="NULL"/>
    <x v="0"/>
  </r>
  <r>
    <x v="31"/>
    <x v="11"/>
    <s v="United States"/>
    <x v="9"/>
    <n v="40"/>
    <n v="0.02"/>
    <n v="3100"/>
    <x v="1194"/>
    <x v="6"/>
    <x v="1"/>
    <x v="2"/>
    <n v="0"/>
    <x v="0"/>
  </r>
  <r>
    <x v="2049"/>
    <x v="14"/>
    <s v="United States"/>
    <x v="5"/>
    <n v="14"/>
    <n v="0.15"/>
    <n v="453"/>
    <x v="1194"/>
    <x v="6"/>
    <x v="1"/>
    <x v="4"/>
    <n v="0"/>
    <x v="0"/>
  </r>
  <r>
    <x v="2615"/>
    <x v="6"/>
    <s v="United States"/>
    <x v="2"/>
    <n v="12"/>
    <n v="0.16"/>
    <n v="58"/>
    <x v="1194"/>
    <x v="6"/>
    <x v="1"/>
    <x v="3"/>
    <n v="0"/>
    <x v="0"/>
  </r>
  <r>
    <x v="2616"/>
    <x v="1"/>
    <s v="United States"/>
    <x v="1"/>
    <n v="12"/>
    <s v="NULL"/>
    <n v="10"/>
    <x v="1194"/>
    <x v="6"/>
    <x v="1"/>
    <x v="3"/>
    <s v="NULL"/>
    <x v="0"/>
  </r>
  <r>
    <x v="843"/>
    <x v="2"/>
    <s v="United States"/>
    <x v="0"/>
    <n v="1400"/>
    <n v="0.18"/>
    <n v="79"/>
    <x v="1195"/>
    <x v="6"/>
    <x v="1"/>
    <x v="3"/>
    <n v="0"/>
    <x v="0"/>
  </r>
  <r>
    <x v="2560"/>
    <x v="13"/>
    <s v="India"/>
    <x v="0"/>
    <n v="350"/>
    <n v="0.1"/>
    <n v="548"/>
    <x v="1195"/>
    <x v="6"/>
    <x v="1"/>
    <x v="4"/>
    <n v="0"/>
    <x v="0"/>
  </r>
  <r>
    <x v="2617"/>
    <x v="16"/>
    <s v="United States"/>
    <x v="5"/>
    <n v="24"/>
    <n v="0.22"/>
    <n v="24"/>
    <x v="1195"/>
    <x v="6"/>
    <x v="1"/>
    <x v="3"/>
    <n v="0"/>
    <x v="0"/>
  </r>
  <r>
    <x v="835"/>
    <x v="14"/>
    <s v="United States"/>
    <x v="5"/>
    <n v="62"/>
    <n v="0.15"/>
    <n v="732"/>
    <x v="1196"/>
    <x v="6"/>
    <x v="2"/>
    <x v="4"/>
    <n v="0"/>
    <x v="0"/>
  </r>
  <r>
    <x v="2618"/>
    <x v="16"/>
    <s v="United States"/>
    <x v="8"/>
    <n v="32"/>
    <n v="0.6"/>
    <n v="17"/>
    <x v="1196"/>
    <x v="6"/>
    <x v="2"/>
    <x v="3"/>
    <n v="0"/>
    <x v="0"/>
  </r>
  <r>
    <x v="2619"/>
    <x v="1"/>
    <s v="India"/>
    <x v="3"/>
    <n v="270"/>
    <n v="0.18"/>
    <n v="224"/>
    <x v="1197"/>
    <x v="6"/>
    <x v="2"/>
    <x v="4"/>
    <n v="0"/>
    <x v="0"/>
  </r>
  <r>
    <x v="172"/>
    <x v="11"/>
    <s v="United States"/>
    <x v="0"/>
    <n v="219"/>
    <n v="0.3"/>
    <n v="340"/>
    <x v="1197"/>
    <x v="6"/>
    <x v="2"/>
    <x v="4"/>
    <n v="0"/>
    <x v="0"/>
  </r>
  <r>
    <x v="2219"/>
    <x v="1"/>
    <s v="United States"/>
    <x v="1"/>
    <n v="200"/>
    <s v="NULL"/>
    <n v="19"/>
    <x v="1197"/>
    <x v="6"/>
    <x v="2"/>
    <x v="3"/>
    <s v="NULL"/>
    <x v="0"/>
  </r>
  <r>
    <x v="8"/>
    <x v="7"/>
    <s v="Australia"/>
    <x v="11"/>
    <n v="36"/>
    <n v="0.08"/>
    <n v="157"/>
    <x v="1197"/>
    <x v="6"/>
    <x v="2"/>
    <x v="4"/>
    <n v="0"/>
    <x v="0"/>
  </r>
  <r>
    <x v="2620"/>
    <x v="2"/>
    <s v="United States"/>
    <x v="8"/>
    <n v="20"/>
    <n v="0.25"/>
    <n v="7"/>
    <x v="1197"/>
    <x v="6"/>
    <x v="2"/>
    <x v="0"/>
    <n v="0"/>
    <x v="0"/>
  </r>
  <r>
    <x v="2621"/>
    <x v="21"/>
    <s v="United States"/>
    <x v="1"/>
    <n v="150"/>
    <n v="0.12"/>
    <n v="89"/>
    <x v="1198"/>
    <x v="6"/>
    <x v="2"/>
    <x v="3"/>
    <n v="0"/>
    <x v="0"/>
  </r>
  <r>
    <x v="2370"/>
    <x v="14"/>
    <s v="Brazil"/>
    <x v="3"/>
    <n v="62"/>
    <n v="0.08"/>
    <n v="30"/>
    <x v="1198"/>
    <x v="6"/>
    <x v="2"/>
    <x v="3"/>
    <n v="0"/>
    <x v="0"/>
  </r>
  <r>
    <x v="48"/>
    <x v="11"/>
    <s v="India"/>
    <x v="0"/>
    <n v="600"/>
    <n v="0.23"/>
    <n v="24700"/>
    <x v="1199"/>
    <x v="6"/>
    <x v="2"/>
    <x v="2"/>
    <n v="0"/>
    <x v="0"/>
  </r>
  <r>
    <x v="2622"/>
    <x v="21"/>
    <s v="United States"/>
    <x v="1"/>
    <n v="137"/>
    <n v="1"/>
    <n v="108"/>
    <x v="1199"/>
    <x v="6"/>
    <x v="2"/>
    <x v="4"/>
    <n v="1"/>
    <x v="0"/>
  </r>
  <r>
    <x v="2623"/>
    <x v="14"/>
    <s v="United States"/>
    <x v="3"/>
    <n v="50"/>
    <s v="NULL"/>
    <n v="207"/>
    <x v="1199"/>
    <x v="6"/>
    <x v="2"/>
    <x v="4"/>
    <s v="NULL"/>
    <x v="0"/>
  </r>
  <r>
    <x v="2223"/>
    <x v="11"/>
    <s v="India"/>
    <x v="7"/>
    <n v="200"/>
    <s v="NULL"/>
    <n v="247"/>
    <x v="1200"/>
    <x v="6"/>
    <x v="2"/>
    <x v="4"/>
    <s v="NULL"/>
    <x v="0"/>
  </r>
  <r>
    <x v="2624"/>
    <x v="0"/>
    <s v="Ireland"/>
    <x v="3"/>
    <n v="21"/>
    <s v="NULL"/>
    <s v="NULL"/>
    <x v="1201"/>
    <x v="6"/>
    <x v="2"/>
    <x v="1"/>
    <s v="NULL"/>
    <x v="0"/>
  </r>
  <r>
    <x v="2625"/>
    <x v="10"/>
    <s v="United States"/>
    <x v="1"/>
    <n v="400"/>
    <n v="0.1"/>
    <n v="146"/>
    <x v="1202"/>
    <x v="6"/>
    <x v="2"/>
    <x v="4"/>
    <n v="0"/>
    <x v="0"/>
  </r>
  <r>
    <x v="2626"/>
    <x v="13"/>
    <s v="India"/>
    <x v="8"/>
    <n v="70"/>
    <n v="0.35"/>
    <n v="3"/>
    <x v="1202"/>
    <x v="6"/>
    <x v="2"/>
    <x v="0"/>
    <n v="0"/>
    <x v="0"/>
  </r>
  <r>
    <x v="2627"/>
    <x v="22"/>
    <s v="United States"/>
    <x v="8"/>
    <n v="18"/>
    <n v="0.36"/>
    <n v="30"/>
    <x v="1202"/>
    <x v="6"/>
    <x v="2"/>
    <x v="3"/>
    <n v="0"/>
    <x v="0"/>
  </r>
  <r>
    <x v="2628"/>
    <x v="11"/>
    <s v="France"/>
    <x v="1"/>
    <s v="NULL"/>
    <s v="NULL"/>
    <n v="100"/>
    <x v="1202"/>
    <x v="6"/>
    <x v="2"/>
    <x v="4"/>
    <s v="NULL"/>
    <x v="1"/>
  </r>
  <r>
    <x v="690"/>
    <x v="11"/>
    <s v="India"/>
    <x v="14"/>
    <n v="1400"/>
    <n v="0.35"/>
    <n v="3800"/>
    <x v="1203"/>
    <x v="6"/>
    <x v="2"/>
    <x v="2"/>
    <n v="0"/>
    <x v="0"/>
  </r>
  <r>
    <x v="2629"/>
    <x v="23"/>
    <s v="United States"/>
    <x v="4"/>
    <n v="300"/>
    <n v="0.18"/>
    <n v="530"/>
    <x v="1203"/>
    <x v="6"/>
    <x v="2"/>
    <x v="4"/>
    <n v="0"/>
    <x v="0"/>
  </r>
  <r>
    <x v="2630"/>
    <x v="13"/>
    <s v="United States"/>
    <x v="2"/>
    <n v="221"/>
    <n v="1"/>
    <n v="62"/>
    <x v="1203"/>
    <x v="6"/>
    <x v="2"/>
    <x v="3"/>
    <n v="1"/>
    <x v="0"/>
  </r>
  <r>
    <x v="869"/>
    <x v="14"/>
    <s v="United States"/>
    <x v="9"/>
    <n v="112"/>
    <n v="7.0000000000000007E-2"/>
    <n v="2500"/>
    <x v="1203"/>
    <x v="6"/>
    <x v="2"/>
    <x v="2"/>
    <n v="0"/>
    <x v="0"/>
  </r>
  <r>
    <x v="433"/>
    <x v="10"/>
    <s v="India"/>
    <x v="7"/>
    <n v="101"/>
    <n v="0.25"/>
    <n v="222"/>
    <x v="1203"/>
    <x v="6"/>
    <x v="2"/>
    <x v="4"/>
    <n v="0"/>
    <x v="0"/>
  </r>
  <r>
    <x v="1982"/>
    <x v="15"/>
    <s v="United States"/>
    <x v="7"/>
    <n v="39"/>
    <n v="0.06"/>
    <n v="240"/>
    <x v="1203"/>
    <x v="6"/>
    <x v="2"/>
    <x v="4"/>
    <n v="0"/>
    <x v="0"/>
  </r>
  <r>
    <x v="174"/>
    <x v="2"/>
    <s v="India"/>
    <x v="7"/>
    <n v="450"/>
    <n v="0.15"/>
    <n v="157"/>
    <x v="1204"/>
    <x v="6"/>
    <x v="2"/>
    <x v="4"/>
    <n v="0"/>
    <x v="0"/>
  </r>
  <r>
    <x v="2198"/>
    <x v="13"/>
    <s v="United Kingdom"/>
    <x v="2"/>
    <n v="69"/>
    <n v="0.31"/>
    <n v="88"/>
    <x v="1204"/>
    <x v="6"/>
    <x v="2"/>
    <x v="3"/>
    <n v="0"/>
    <x v="0"/>
  </r>
  <r>
    <x v="2631"/>
    <x v="22"/>
    <s v="United Kingdom"/>
    <x v="3"/>
    <n v="10"/>
    <n v="1"/>
    <s v="NULL"/>
    <x v="1204"/>
    <x v="6"/>
    <x v="2"/>
    <x v="1"/>
    <n v="1"/>
    <x v="0"/>
  </r>
  <r>
    <x v="2632"/>
    <x v="14"/>
    <s v="United States"/>
    <x v="5"/>
    <s v="NULL"/>
    <s v="NULL"/>
    <n v="252"/>
    <x v="1204"/>
    <x v="6"/>
    <x v="2"/>
    <x v="4"/>
    <s v="NULL"/>
    <x v="1"/>
  </r>
  <r>
    <x v="48"/>
    <x v="11"/>
    <s v="United States"/>
    <x v="0"/>
    <n v="3000"/>
    <n v="0.13"/>
    <n v="24700"/>
    <x v="1205"/>
    <x v="6"/>
    <x v="2"/>
    <x v="2"/>
    <n v="0"/>
    <x v="0"/>
  </r>
  <r>
    <x v="2633"/>
    <x v="13"/>
    <s v="Singapore"/>
    <x v="1"/>
    <n v="1500"/>
    <n v="0.25"/>
    <s v="NULL"/>
    <x v="1205"/>
    <x v="6"/>
    <x v="2"/>
    <x v="1"/>
    <n v="0"/>
    <x v="0"/>
  </r>
  <r>
    <x v="825"/>
    <x v="18"/>
    <s v="India"/>
    <x v="15"/>
    <n v="1100"/>
    <n v="0.14000000000000001"/>
    <n v="1600"/>
    <x v="1205"/>
    <x v="6"/>
    <x v="2"/>
    <x v="2"/>
    <n v="0"/>
    <x v="0"/>
  </r>
  <r>
    <x v="1694"/>
    <x v="16"/>
    <s v="India"/>
    <x v="13"/>
    <n v="100"/>
    <n v="0.2"/>
    <n v="19500"/>
    <x v="1205"/>
    <x v="6"/>
    <x v="2"/>
    <x v="2"/>
    <n v="0"/>
    <x v="0"/>
  </r>
  <r>
    <x v="2634"/>
    <x v="24"/>
    <s v="United States"/>
    <x v="11"/>
    <n v="57"/>
    <s v="NULL"/>
    <n v="553"/>
    <x v="1205"/>
    <x v="6"/>
    <x v="2"/>
    <x v="4"/>
    <s v="NULL"/>
    <x v="0"/>
  </r>
  <r>
    <x v="2635"/>
    <x v="27"/>
    <s v="United States"/>
    <x v="9"/>
    <n v="45"/>
    <n v="0.05"/>
    <s v="NULL"/>
    <x v="1205"/>
    <x v="6"/>
    <x v="2"/>
    <x v="1"/>
    <n v="0"/>
    <x v="0"/>
  </r>
  <r>
    <x v="2026"/>
    <x v="3"/>
    <s v="Israel"/>
    <x v="1"/>
    <s v="NULL"/>
    <s v="NULL"/>
    <n v="92"/>
    <x v="1205"/>
    <x v="6"/>
    <x v="2"/>
    <x v="3"/>
    <s v="NULL"/>
    <x v="1"/>
  </r>
  <r>
    <x v="2636"/>
    <x v="24"/>
    <s v="United States"/>
    <x v="5"/>
    <s v="NULL"/>
    <n v="0.1"/>
    <n v="63"/>
    <x v="1205"/>
    <x v="6"/>
    <x v="2"/>
    <x v="3"/>
    <n v="0"/>
    <x v="0"/>
  </r>
  <r>
    <x v="2637"/>
    <x v="16"/>
    <s v="India"/>
    <x v="3"/>
    <n v="250"/>
    <s v="NULL"/>
    <n v="300"/>
    <x v="1206"/>
    <x v="6"/>
    <x v="2"/>
    <x v="4"/>
    <s v="NULL"/>
    <x v="0"/>
  </r>
  <r>
    <x v="369"/>
    <x v="18"/>
    <s v="India"/>
    <x v="14"/>
    <n v="520"/>
    <n v="0.13"/>
    <n v="914"/>
    <x v="1207"/>
    <x v="6"/>
    <x v="2"/>
    <x v="4"/>
    <n v="0"/>
    <x v="0"/>
  </r>
  <r>
    <x v="2638"/>
    <x v="14"/>
    <s v="India"/>
    <x v="3"/>
    <n v="500"/>
    <n v="0.5"/>
    <n v="200"/>
    <x v="1207"/>
    <x v="6"/>
    <x v="2"/>
    <x v="4"/>
    <n v="0"/>
    <x v="0"/>
  </r>
  <r>
    <x v="1753"/>
    <x v="7"/>
    <s v="United States"/>
    <x v="5"/>
    <n v="16"/>
    <n v="0.1"/>
    <n v="49"/>
    <x v="1207"/>
    <x v="6"/>
    <x v="2"/>
    <x v="3"/>
    <n v="0"/>
    <x v="0"/>
  </r>
  <r>
    <x v="2639"/>
    <x v="2"/>
    <s v="United States"/>
    <x v="6"/>
    <s v="NULL"/>
    <n v="1"/>
    <n v="3"/>
    <x v="1207"/>
    <x v="6"/>
    <x v="2"/>
    <x v="0"/>
    <n v="1"/>
    <x v="0"/>
  </r>
  <r>
    <x v="417"/>
    <x v="11"/>
    <s v="United States"/>
    <x v="1"/>
    <n v="150"/>
    <n v="0.08"/>
    <n v="5300"/>
    <x v="1208"/>
    <x v="6"/>
    <x v="2"/>
    <x v="2"/>
    <n v="0"/>
    <x v="0"/>
  </r>
  <r>
    <x v="2640"/>
    <x v="4"/>
    <s v="United States"/>
    <x v="1"/>
    <n v="80"/>
    <n v="0.4"/>
    <s v="NULL"/>
    <x v="1208"/>
    <x v="6"/>
    <x v="2"/>
    <x v="1"/>
    <n v="0"/>
    <x v="0"/>
  </r>
  <r>
    <x v="1864"/>
    <x v="10"/>
    <s v="United States"/>
    <x v="1"/>
    <n v="70"/>
    <n v="0.1"/>
    <n v="116"/>
    <x v="1208"/>
    <x v="6"/>
    <x v="2"/>
    <x v="4"/>
    <n v="0"/>
    <x v="0"/>
  </r>
  <r>
    <x v="2641"/>
    <x v="11"/>
    <s v="United States"/>
    <x v="2"/>
    <n v="35"/>
    <n v="0.15"/>
    <n v="73"/>
    <x v="1208"/>
    <x v="6"/>
    <x v="2"/>
    <x v="3"/>
    <n v="0"/>
    <x v="0"/>
  </r>
  <r>
    <x v="2642"/>
    <x v="14"/>
    <s v="United States"/>
    <x v="3"/>
    <n v="30"/>
    <s v="NULL"/>
    <n v="69"/>
    <x v="1208"/>
    <x v="6"/>
    <x v="2"/>
    <x v="3"/>
    <s v="NULL"/>
    <x v="0"/>
  </r>
  <r>
    <x v="2643"/>
    <x v="3"/>
    <s v="United States"/>
    <x v="7"/>
    <s v="NULL"/>
    <s v="NULL"/>
    <n v="106"/>
    <x v="1208"/>
    <x v="6"/>
    <x v="2"/>
    <x v="4"/>
    <s v="NULL"/>
    <x v="1"/>
  </r>
  <r>
    <x v="2644"/>
    <x v="1"/>
    <s v="Netherlands"/>
    <x v="3"/>
    <s v="NULL"/>
    <n v="0.3"/>
    <n v="8"/>
    <x v="1208"/>
    <x v="6"/>
    <x v="2"/>
    <x v="0"/>
    <n v="0"/>
    <x v="0"/>
  </r>
  <r>
    <x v="2645"/>
    <x v="10"/>
    <s v="United States"/>
    <x v="5"/>
    <s v="NULL"/>
    <s v="NULL"/>
    <n v="375"/>
    <x v="1208"/>
    <x v="6"/>
    <x v="2"/>
    <x v="4"/>
    <s v="NULL"/>
    <x v="1"/>
  </r>
  <r>
    <x v="2646"/>
    <x v="2"/>
    <s v="United States"/>
    <x v="5"/>
    <n v="669"/>
    <n v="1"/>
    <n v="80"/>
    <x v="1209"/>
    <x v="6"/>
    <x v="2"/>
    <x v="3"/>
    <n v="1"/>
    <x v="0"/>
  </r>
  <r>
    <x v="2647"/>
    <x v="19"/>
    <s v="Brazil"/>
    <x v="3"/>
    <n v="51"/>
    <n v="0.4"/>
    <n v="2"/>
    <x v="1209"/>
    <x v="6"/>
    <x v="2"/>
    <x v="0"/>
    <n v="0"/>
    <x v="0"/>
  </r>
  <r>
    <x v="2648"/>
    <x v="14"/>
    <s v="United States"/>
    <x v="3"/>
    <n v="25"/>
    <n v="0.18"/>
    <n v="10"/>
    <x v="1209"/>
    <x v="6"/>
    <x v="2"/>
    <x v="3"/>
    <n v="0"/>
    <x v="0"/>
  </r>
  <r>
    <x v="2649"/>
    <x v="22"/>
    <s v="Canada"/>
    <x v="1"/>
    <n v="19"/>
    <n v="0.11"/>
    <s v="NULL"/>
    <x v="1209"/>
    <x v="6"/>
    <x v="2"/>
    <x v="1"/>
    <n v="0"/>
    <x v="0"/>
  </r>
  <r>
    <x v="2126"/>
    <x v="6"/>
    <s v="United States"/>
    <x v="5"/>
    <n v="17"/>
    <s v="NULL"/>
    <n v="46"/>
    <x v="1209"/>
    <x v="6"/>
    <x v="2"/>
    <x v="3"/>
    <s v="NULL"/>
    <x v="0"/>
  </r>
  <r>
    <x v="2650"/>
    <x v="3"/>
    <s v="United States"/>
    <x v="11"/>
    <s v="NULL"/>
    <s v="NULL"/>
    <n v="111"/>
    <x v="1209"/>
    <x v="6"/>
    <x v="2"/>
    <x v="4"/>
    <s v="NULL"/>
    <x v="1"/>
  </r>
  <r>
    <x v="2651"/>
    <x v="25"/>
    <s v="Vietnam"/>
    <x v="6"/>
    <s v="NULL"/>
    <n v="1"/>
    <n v="1"/>
    <x v="1209"/>
    <x v="6"/>
    <x v="2"/>
    <x v="0"/>
    <n v="1"/>
    <x v="0"/>
  </r>
  <r>
    <x v="1377"/>
    <x v="0"/>
    <s v="United States"/>
    <x v="5"/>
    <s v="NULL"/>
    <n v="0.1"/>
    <n v="574"/>
    <x v="1209"/>
    <x v="6"/>
    <x v="2"/>
    <x v="4"/>
    <n v="0"/>
    <x v="0"/>
  </r>
  <r>
    <x v="151"/>
    <x v="14"/>
    <s v="Brazil"/>
    <x v="0"/>
    <n v="1300"/>
    <n v="0.2"/>
    <s v="NULL"/>
    <x v="1210"/>
    <x v="6"/>
    <x v="2"/>
    <x v="1"/>
    <n v="0"/>
    <x v="0"/>
  </r>
  <r>
    <x v="969"/>
    <x v="16"/>
    <s v="United States"/>
    <x v="2"/>
    <n v="73"/>
    <n v="0.5"/>
    <n v="79"/>
    <x v="1210"/>
    <x v="6"/>
    <x v="2"/>
    <x v="3"/>
    <n v="0"/>
    <x v="0"/>
  </r>
  <r>
    <x v="2652"/>
    <x v="6"/>
    <s v="United States"/>
    <x v="2"/>
    <n v="65"/>
    <n v="0.19"/>
    <n v="77"/>
    <x v="1210"/>
    <x v="6"/>
    <x v="2"/>
    <x v="3"/>
    <n v="0"/>
    <x v="0"/>
  </r>
  <r>
    <x v="2653"/>
    <x v="8"/>
    <s v="United States"/>
    <x v="7"/>
    <n v="36"/>
    <n v="0.17"/>
    <n v="52"/>
    <x v="1210"/>
    <x v="6"/>
    <x v="2"/>
    <x v="3"/>
    <n v="0"/>
    <x v="0"/>
  </r>
  <r>
    <x v="807"/>
    <x v="21"/>
    <s v="Canada"/>
    <x v="7"/>
    <n v="16"/>
    <n v="0.03"/>
    <n v="104"/>
    <x v="1210"/>
    <x v="6"/>
    <x v="2"/>
    <x v="4"/>
    <n v="0"/>
    <x v="0"/>
  </r>
  <r>
    <x v="2654"/>
    <x v="24"/>
    <s v="United States"/>
    <x v="1"/>
    <s v="NULL"/>
    <s v="NULL"/>
    <n v="100"/>
    <x v="1210"/>
    <x v="6"/>
    <x v="2"/>
    <x v="4"/>
    <s v="NULL"/>
    <x v="1"/>
  </r>
  <r>
    <x v="1246"/>
    <x v="14"/>
    <s v="United States"/>
    <x v="2"/>
    <s v="NULL"/>
    <s v="NULL"/>
    <n v="47"/>
    <x v="1210"/>
    <x v="6"/>
    <x v="2"/>
    <x v="3"/>
    <s v="NULL"/>
    <x v="1"/>
  </r>
  <r>
    <x v="2655"/>
    <x v="14"/>
    <s v="United Kingdom"/>
    <x v="7"/>
    <n v="60"/>
    <n v="0.03"/>
    <n v="837"/>
    <x v="1211"/>
    <x v="6"/>
    <x v="2"/>
    <x v="4"/>
    <n v="0"/>
    <x v="0"/>
  </r>
  <r>
    <x v="2656"/>
    <x v="16"/>
    <s v="United States"/>
    <x v="5"/>
    <n v="28"/>
    <n v="0.25"/>
    <n v="133"/>
    <x v="1211"/>
    <x v="6"/>
    <x v="2"/>
    <x v="4"/>
    <n v="0"/>
    <x v="0"/>
  </r>
  <r>
    <x v="1039"/>
    <x v="14"/>
    <s v="United States"/>
    <x v="7"/>
    <n v="9"/>
    <n v="0.01"/>
    <n v="782"/>
    <x v="1212"/>
    <x v="6"/>
    <x v="2"/>
    <x v="4"/>
    <n v="0"/>
    <x v="0"/>
  </r>
  <r>
    <x v="2657"/>
    <x v="11"/>
    <s v="United States"/>
    <x v="1"/>
    <n v="500"/>
    <n v="1"/>
    <n v="11"/>
    <x v="1213"/>
    <x v="6"/>
    <x v="2"/>
    <x v="3"/>
    <n v="1"/>
    <x v="0"/>
  </r>
  <r>
    <x v="1473"/>
    <x v="8"/>
    <s v="United States"/>
    <x v="1"/>
    <n v="300"/>
    <n v="0.3"/>
    <n v="204"/>
    <x v="1213"/>
    <x v="6"/>
    <x v="2"/>
    <x v="4"/>
    <n v="0"/>
    <x v="0"/>
  </r>
  <r>
    <x v="2658"/>
    <x v="14"/>
    <s v="Switzerland"/>
    <x v="2"/>
    <n v="62"/>
    <n v="0.5"/>
    <n v="78"/>
    <x v="1213"/>
    <x v="6"/>
    <x v="2"/>
    <x v="3"/>
    <n v="0"/>
    <x v="0"/>
  </r>
  <r>
    <x v="389"/>
    <x v="14"/>
    <s v="United States"/>
    <x v="11"/>
    <n v="60"/>
    <n v="0.12"/>
    <n v="263"/>
    <x v="1213"/>
    <x v="6"/>
    <x v="2"/>
    <x v="4"/>
    <n v="0"/>
    <x v="0"/>
  </r>
  <r>
    <x v="1604"/>
    <x v="19"/>
    <s v="United States"/>
    <x v="7"/>
    <n v="55"/>
    <s v="NULL"/>
    <n v="145"/>
    <x v="1213"/>
    <x v="6"/>
    <x v="2"/>
    <x v="4"/>
    <s v="NULL"/>
    <x v="0"/>
  </r>
  <r>
    <x v="582"/>
    <x v="14"/>
    <s v="United States"/>
    <x v="5"/>
    <n v="28"/>
    <n v="0.23"/>
    <n v="92"/>
    <x v="1213"/>
    <x v="6"/>
    <x v="2"/>
    <x v="3"/>
    <n v="0"/>
    <x v="0"/>
  </r>
  <r>
    <x v="2659"/>
    <x v="13"/>
    <s v="Indonesia"/>
    <x v="3"/>
    <s v="NULL"/>
    <n v="1"/>
    <s v="NULL"/>
    <x v="1213"/>
    <x v="6"/>
    <x v="2"/>
    <x v="1"/>
    <n v="1"/>
    <x v="0"/>
  </r>
  <r>
    <x v="48"/>
    <x v="11"/>
    <s v="United States"/>
    <x v="0"/>
    <n v="3700"/>
    <n v="0.14000000000000001"/>
    <n v="24700"/>
    <x v="1214"/>
    <x v="6"/>
    <x v="2"/>
    <x v="2"/>
    <n v="0"/>
    <x v="0"/>
  </r>
  <r>
    <x v="2660"/>
    <x v="6"/>
    <s v="United States"/>
    <x v="9"/>
    <n v="130"/>
    <n v="0.33"/>
    <s v="NULL"/>
    <x v="1214"/>
    <x v="6"/>
    <x v="2"/>
    <x v="1"/>
    <n v="0"/>
    <x v="0"/>
  </r>
  <r>
    <x v="2661"/>
    <x v="21"/>
    <s v="United States"/>
    <x v="1"/>
    <n v="100"/>
    <s v="NULL"/>
    <n v="15"/>
    <x v="1214"/>
    <x v="6"/>
    <x v="2"/>
    <x v="3"/>
    <s v="NULL"/>
    <x v="0"/>
  </r>
  <r>
    <x v="2662"/>
    <x v="10"/>
    <s v="United States"/>
    <x v="0"/>
    <n v="50"/>
    <n v="0.08"/>
    <n v="60"/>
    <x v="1214"/>
    <x v="6"/>
    <x v="2"/>
    <x v="3"/>
    <n v="0"/>
    <x v="0"/>
  </r>
  <r>
    <x v="2663"/>
    <x v="6"/>
    <s v="United States"/>
    <x v="7"/>
    <n v="50"/>
    <n v="0.1"/>
    <n v="283"/>
    <x v="1214"/>
    <x v="6"/>
    <x v="2"/>
    <x v="4"/>
    <n v="0"/>
    <x v="0"/>
  </r>
  <r>
    <x v="2664"/>
    <x v="14"/>
    <s v="Nigeria"/>
    <x v="2"/>
    <s v="NULL"/>
    <n v="0.7"/>
    <n v="170"/>
    <x v="1214"/>
    <x v="6"/>
    <x v="2"/>
    <x v="4"/>
    <n v="0"/>
    <x v="0"/>
  </r>
  <r>
    <x v="2665"/>
    <x v="6"/>
    <s v="United States"/>
    <x v="11"/>
    <s v="NULL"/>
    <s v="NULL"/>
    <n v="743"/>
    <x v="1214"/>
    <x v="6"/>
    <x v="2"/>
    <x v="4"/>
    <s v="NULL"/>
    <x v="1"/>
  </r>
  <r>
    <x v="1515"/>
    <x v="13"/>
    <s v="United States"/>
    <x v="9"/>
    <n v="1900"/>
    <n v="0.25"/>
    <n v="5400"/>
    <x v="1215"/>
    <x v="6"/>
    <x v="2"/>
    <x v="2"/>
    <n v="0"/>
    <x v="0"/>
  </r>
  <r>
    <x v="1990"/>
    <x v="1"/>
    <s v="United States"/>
    <x v="3"/>
    <n v="900"/>
    <n v="0.3"/>
    <n v="1500"/>
    <x v="1215"/>
    <x v="6"/>
    <x v="2"/>
    <x v="2"/>
    <n v="0"/>
    <x v="0"/>
  </r>
  <r>
    <x v="2666"/>
    <x v="8"/>
    <s v="United States"/>
    <x v="7"/>
    <n v="135"/>
    <n v="0.1"/>
    <n v="181"/>
    <x v="1215"/>
    <x v="6"/>
    <x v="2"/>
    <x v="4"/>
    <n v="0"/>
    <x v="0"/>
  </r>
  <r>
    <x v="1011"/>
    <x v="8"/>
    <s v="United States"/>
    <x v="7"/>
    <n v="40"/>
    <n v="0.15"/>
    <n v="68"/>
    <x v="1215"/>
    <x v="6"/>
    <x v="2"/>
    <x v="3"/>
    <n v="0"/>
    <x v="0"/>
  </r>
  <r>
    <x v="936"/>
    <x v="19"/>
    <s v="Estonia"/>
    <x v="5"/>
    <n v="31"/>
    <s v="NULL"/>
    <n v="90"/>
    <x v="1215"/>
    <x v="6"/>
    <x v="2"/>
    <x v="3"/>
    <s v="NULL"/>
    <x v="0"/>
  </r>
  <r>
    <x v="2667"/>
    <x v="8"/>
    <s v="United States"/>
    <x v="5"/>
    <n v="25"/>
    <n v="0.1"/>
    <n v="84"/>
    <x v="1215"/>
    <x v="6"/>
    <x v="2"/>
    <x v="3"/>
    <n v="0"/>
    <x v="0"/>
  </r>
  <r>
    <x v="2668"/>
    <x v="24"/>
    <s v="United States"/>
    <x v="0"/>
    <s v="NULL"/>
    <s v="NULL"/>
    <n v="1000"/>
    <x v="1215"/>
    <x v="6"/>
    <x v="2"/>
    <x v="2"/>
    <s v="NULL"/>
    <x v="1"/>
  </r>
  <r>
    <x v="265"/>
    <x v="8"/>
    <s v="United States"/>
    <x v="5"/>
    <s v="NULL"/>
    <s v="NULL"/>
    <n v="74"/>
    <x v="1215"/>
    <x v="6"/>
    <x v="2"/>
    <x v="3"/>
    <s v="NULL"/>
    <x v="1"/>
  </r>
  <r>
    <x v="2669"/>
    <x v="5"/>
    <s v="Canada"/>
    <x v="3"/>
    <s v="NULL"/>
    <s v="NULL"/>
    <n v="76"/>
    <x v="1215"/>
    <x v="6"/>
    <x v="2"/>
    <x v="3"/>
    <s v="NULL"/>
    <x v="1"/>
  </r>
  <r>
    <x v="2580"/>
    <x v="25"/>
    <s v="India"/>
    <x v="7"/>
    <n v="800"/>
    <n v="0.16"/>
    <n v="404"/>
    <x v="1216"/>
    <x v="6"/>
    <x v="2"/>
    <x v="4"/>
    <n v="0"/>
    <x v="0"/>
  </r>
  <r>
    <x v="100"/>
    <x v="11"/>
    <s v="United Arab Emirates"/>
    <x v="1"/>
    <n v="536"/>
    <n v="0.31"/>
    <n v="771"/>
    <x v="1216"/>
    <x v="6"/>
    <x v="2"/>
    <x v="4"/>
    <n v="0"/>
    <x v="0"/>
  </r>
  <r>
    <x v="2670"/>
    <x v="14"/>
    <s v="Hong Kong"/>
    <x v="2"/>
    <n v="400"/>
    <n v="0.2"/>
    <n v="175"/>
    <x v="1216"/>
    <x v="6"/>
    <x v="2"/>
    <x v="4"/>
    <n v="0"/>
    <x v="0"/>
  </r>
  <r>
    <x v="1107"/>
    <x v="3"/>
    <s v="Estonia"/>
    <x v="8"/>
    <n v="63"/>
    <n v="0.21"/>
    <n v="7"/>
    <x v="1216"/>
    <x v="6"/>
    <x v="2"/>
    <x v="0"/>
    <n v="0"/>
    <x v="0"/>
  </r>
  <r>
    <x v="2671"/>
    <x v="0"/>
    <s v="Canada"/>
    <x v="2"/>
    <n v="62"/>
    <n v="0.15"/>
    <n v="257"/>
    <x v="1216"/>
    <x v="6"/>
    <x v="2"/>
    <x v="4"/>
    <n v="0"/>
    <x v="0"/>
  </r>
  <r>
    <x v="2672"/>
    <x v="7"/>
    <s v="Australia"/>
    <x v="2"/>
    <n v="60"/>
    <n v="0.3"/>
    <n v="106"/>
    <x v="1216"/>
    <x v="6"/>
    <x v="2"/>
    <x v="4"/>
    <n v="0"/>
    <x v="0"/>
  </r>
  <r>
    <x v="152"/>
    <x v="19"/>
    <s v="Canada"/>
    <x v="8"/>
    <n v="11"/>
    <n v="0.08"/>
    <n v="11"/>
    <x v="1216"/>
    <x v="6"/>
    <x v="2"/>
    <x v="3"/>
    <n v="0"/>
    <x v="0"/>
  </r>
  <r>
    <x v="2673"/>
    <x v="5"/>
    <s v="United States"/>
    <x v="0"/>
    <s v="NULL"/>
    <n v="0.13"/>
    <n v="184"/>
    <x v="1216"/>
    <x v="6"/>
    <x v="2"/>
    <x v="4"/>
    <n v="0"/>
    <x v="0"/>
  </r>
  <r>
    <x v="2674"/>
    <x v="13"/>
    <s v="Germany"/>
    <x v="1"/>
    <s v="NULL"/>
    <s v="NULL"/>
    <n v="55"/>
    <x v="1216"/>
    <x v="6"/>
    <x v="2"/>
    <x v="3"/>
    <s v="NULL"/>
    <x v="1"/>
  </r>
  <r>
    <x v="1937"/>
    <x v="2"/>
    <s v="Israel"/>
    <x v="7"/>
    <n v="120"/>
    <n v="0.1"/>
    <n v="386"/>
    <x v="1217"/>
    <x v="6"/>
    <x v="2"/>
    <x v="4"/>
    <n v="0"/>
    <x v="0"/>
  </r>
  <r>
    <x v="2675"/>
    <x v="0"/>
    <s v="United States"/>
    <x v="0"/>
    <n v="50"/>
    <s v="NULL"/>
    <n v="46"/>
    <x v="1217"/>
    <x v="6"/>
    <x v="2"/>
    <x v="3"/>
    <s v="NULL"/>
    <x v="0"/>
  </r>
  <r>
    <x v="1882"/>
    <x v="13"/>
    <s v="United Kingdom"/>
    <x v="4"/>
    <n v="150"/>
    <s v="NULL"/>
    <n v="2400"/>
    <x v="1218"/>
    <x v="6"/>
    <x v="2"/>
    <x v="2"/>
    <s v="NULL"/>
    <x v="0"/>
  </r>
  <r>
    <x v="2676"/>
    <x v="7"/>
    <s v="United States"/>
    <x v="11"/>
    <n v="110"/>
    <n v="0.4"/>
    <n v="217"/>
    <x v="1218"/>
    <x v="6"/>
    <x v="2"/>
    <x v="4"/>
    <n v="0"/>
    <x v="0"/>
  </r>
  <r>
    <x v="2677"/>
    <x v="4"/>
    <s v="United Kingdom"/>
    <x v="2"/>
    <n v="95"/>
    <n v="0.32"/>
    <n v="102"/>
    <x v="1218"/>
    <x v="6"/>
    <x v="2"/>
    <x v="4"/>
    <n v="0"/>
    <x v="0"/>
  </r>
  <r>
    <x v="2678"/>
    <x v="1"/>
    <s v="United States"/>
    <x v="8"/>
    <n v="80"/>
    <n v="0.8"/>
    <n v="82"/>
    <x v="1218"/>
    <x v="6"/>
    <x v="2"/>
    <x v="3"/>
    <n v="0"/>
    <x v="0"/>
  </r>
  <r>
    <x v="2679"/>
    <x v="5"/>
    <s v="United States"/>
    <x v="8"/>
    <n v="70"/>
    <s v="NULL"/>
    <n v="10"/>
    <x v="1218"/>
    <x v="6"/>
    <x v="2"/>
    <x v="3"/>
    <s v="NULL"/>
    <x v="0"/>
  </r>
  <r>
    <x v="2680"/>
    <x v="14"/>
    <s v="Portugal"/>
    <x v="3"/>
    <n v="35"/>
    <s v="NULL"/>
    <n v="80"/>
    <x v="1218"/>
    <x v="6"/>
    <x v="2"/>
    <x v="3"/>
    <s v="NULL"/>
    <x v="0"/>
  </r>
  <r>
    <x v="1378"/>
    <x v="4"/>
    <s v="United States"/>
    <x v="5"/>
    <n v="26"/>
    <n v="0.2"/>
    <n v="28"/>
    <x v="1218"/>
    <x v="6"/>
    <x v="2"/>
    <x v="3"/>
    <n v="0"/>
    <x v="0"/>
  </r>
  <r>
    <x v="2681"/>
    <x v="11"/>
    <s v="United States"/>
    <x v="1"/>
    <s v="NULL"/>
    <n v="1"/>
    <n v="24"/>
    <x v="1218"/>
    <x v="6"/>
    <x v="2"/>
    <x v="3"/>
    <n v="1"/>
    <x v="0"/>
  </r>
  <r>
    <x v="2682"/>
    <x v="13"/>
    <s v="India"/>
    <x v="6"/>
    <s v="NULL"/>
    <s v="NULL"/>
    <n v="1"/>
    <x v="1218"/>
    <x v="6"/>
    <x v="2"/>
    <x v="0"/>
    <s v="NULL"/>
    <x v="1"/>
  </r>
  <r>
    <x v="1000"/>
    <x v="19"/>
    <s v="United States"/>
    <x v="1"/>
    <n v="100"/>
    <s v="NULL"/>
    <n v="32"/>
    <x v="1219"/>
    <x v="6"/>
    <x v="3"/>
    <x v="3"/>
    <s v="NULL"/>
    <x v="0"/>
  </r>
  <r>
    <x v="2683"/>
    <x v="1"/>
    <s v="United States"/>
    <x v="1"/>
    <n v="81"/>
    <s v="NULL"/>
    <n v="156"/>
    <x v="1219"/>
    <x v="6"/>
    <x v="3"/>
    <x v="4"/>
    <s v="NULL"/>
    <x v="0"/>
  </r>
  <r>
    <x v="2684"/>
    <x v="29"/>
    <s v="United States"/>
    <x v="3"/>
    <s v="NULL"/>
    <s v="NULL"/>
    <n v="75"/>
    <x v="1219"/>
    <x v="6"/>
    <x v="3"/>
    <x v="3"/>
    <s v="NULL"/>
    <x v="1"/>
  </r>
  <r>
    <x v="1298"/>
    <x v="6"/>
    <s v="United States"/>
    <x v="11"/>
    <s v="NULL"/>
    <s v="NULL"/>
    <n v="660"/>
    <x v="1219"/>
    <x v="6"/>
    <x v="3"/>
    <x v="4"/>
    <s v="NULL"/>
    <x v="1"/>
  </r>
  <r>
    <x v="1698"/>
    <x v="4"/>
    <s v="United States"/>
    <x v="11"/>
    <s v="NULL"/>
    <n v="0.14000000000000001"/>
    <n v="145"/>
    <x v="1219"/>
    <x v="6"/>
    <x v="3"/>
    <x v="4"/>
    <n v="0"/>
    <x v="0"/>
  </r>
  <r>
    <x v="2685"/>
    <x v="18"/>
    <s v="United States"/>
    <x v="8"/>
    <s v="NULL"/>
    <n v="1"/>
    <n v="15"/>
    <x v="1219"/>
    <x v="6"/>
    <x v="3"/>
    <x v="3"/>
    <n v="1"/>
    <x v="0"/>
  </r>
  <r>
    <x v="555"/>
    <x v="11"/>
    <s v="United States"/>
    <x v="0"/>
    <n v="982"/>
    <n v="0.17"/>
    <n v="4900"/>
    <x v="1220"/>
    <x v="6"/>
    <x v="3"/>
    <x v="2"/>
    <n v="0"/>
    <x v="0"/>
  </r>
  <r>
    <x v="1694"/>
    <x v="16"/>
    <s v="United States"/>
    <x v="13"/>
    <n v="300"/>
    <s v="NULL"/>
    <n v="2250"/>
    <x v="1220"/>
    <x v="6"/>
    <x v="3"/>
    <x v="2"/>
    <s v="NULL"/>
    <x v="0"/>
  </r>
  <r>
    <x v="1009"/>
    <x v="13"/>
    <s v="United States"/>
    <x v="1"/>
    <n v="160"/>
    <n v="0.08"/>
    <n v="229"/>
    <x v="1220"/>
    <x v="6"/>
    <x v="3"/>
    <x v="4"/>
    <n v="0"/>
    <x v="0"/>
  </r>
  <r>
    <x v="1941"/>
    <x v="18"/>
    <s v="United States"/>
    <x v="2"/>
    <n v="124"/>
    <s v="NULL"/>
    <n v="89"/>
    <x v="1220"/>
    <x v="6"/>
    <x v="3"/>
    <x v="3"/>
    <s v="NULL"/>
    <x v="0"/>
  </r>
  <r>
    <x v="2686"/>
    <x v="11"/>
    <s v="United States"/>
    <x v="7"/>
    <n v="80"/>
    <n v="0.13"/>
    <n v="765"/>
    <x v="1220"/>
    <x v="6"/>
    <x v="3"/>
    <x v="4"/>
    <n v="0"/>
    <x v="0"/>
  </r>
  <r>
    <x v="2687"/>
    <x v="23"/>
    <s v="United States"/>
    <x v="7"/>
    <n v="24"/>
    <n v="0.1"/>
    <n v="128"/>
    <x v="1220"/>
    <x v="6"/>
    <x v="3"/>
    <x v="4"/>
    <n v="0"/>
    <x v="0"/>
  </r>
  <r>
    <x v="2688"/>
    <x v="14"/>
    <s v="South Africa"/>
    <x v="2"/>
    <s v="NULL"/>
    <s v="NULL"/>
    <n v="23"/>
    <x v="1220"/>
    <x v="6"/>
    <x v="3"/>
    <x v="3"/>
    <s v="NULL"/>
    <x v="1"/>
  </r>
  <r>
    <x v="251"/>
    <x v="13"/>
    <s v="United States"/>
    <x v="0"/>
    <n v="900"/>
    <n v="0.25"/>
    <n v="3"/>
    <x v="1221"/>
    <x v="6"/>
    <x v="3"/>
    <x v="0"/>
    <n v="0"/>
    <x v="0"/>
  </r>
  <r>
    <x v="2689"/>
    <x v="14"/>
    <s v="Nigeria"/>
    <x v="3"/>
    <n v="391"/>
    <n v="0.5"/>
    <s v="NULL"/>
    <x v="1221"/>
    <x v="6"/>
    <x v="3"/>
    <x v="1"/>
    <n v="0"/>
    <x v="0"/>
  </r>
  <r>
    <x v="170"/>
    <x v="18"/>
    <s v="United Kingdom"/>
    <x v="12"/>
    <n v="367"/>
    <n v="0.15"/>
    <n v="1500"/>
    <x v="1221"/>
    <x v="6"/>
    <x v="3"/>
    <x v="2"/>
    <n v="0"/>
    <x v="0"/>
  </r>
  <r>
    <x v="2690"/>
    <x v="6"/>
    <s v="United States"/>
    <x v="3"/>
    <n v="80"/>
    <n v="0.18"/>
    <n v="156"/>
    <x v="1221"/>
    <x v="6"/>
    <x v="3"/>
    <x v="4"/>
    <n v="0"/>
    <x v="0"/>
  </r>
  <r>
    <x v="2691"/>
    <x v="10"/>
    <s v="United States"/>
    <x v="3"/>
    <n v="35"/>
    <n v="0.15"/>
    <n v="70"/>
    <x v="1221"/>
    <x v="6"/>
    <x v="3"/>
    <x v="3"/>
    <n v="0"/>
    <x v="0"/>
  </r>
  <r>
    <x v="2692"/>
    <x v="14"/>
    <s v="United States"/>
    <x v="2"/>
    <n v="27"/>
    <n v="0.25"/>
    <n v="71"/>
    <x v="1221"/>
    <x v="6"/>
    <x v="3"/>
    <x v="3"/>
    <n v="0"/>
    <x v="0"/>
  </r>
  <r>
    <x v="2693"/>
    <x v="2"/>
    <s v="United States"/>
    <x v="6"/>
    <n v="20"/>
    <n v="0.5"/>
    <n v="2"/>
    <x v="1221"/>
    <x v="6"/>
    <x v="3"/>
    <x v="0"/>
    <n v="0"/>
    <x v="0"/>
  </r>
  <r>
    <x v="831"/>
    <x v="0"/>
    <s v="United States"/>
    <x v="11"/>
    <s v="NULL"/>
    <s v="NULL"/>
    <n v="436"/>
    <x v="1221"/>
    <x v="6"/>
    <x v="3"/>
    <x v="4"/>
    <s v="NULL"/>
    <x v="1"/>
  </r>
  <r>
    <x v="2694"/>
    <x v="14"/>
    <s v="United States"/>
    <x v="2"/>
    <s v="NULL"/>
    <n v="0.25"/>
    <n v="37"/>
    <x v="1221"/>
    <x v="6"/>
    <x v="3"/>
    <x v="3"/>
    <n v="0"/>
    <x v="0"/>
  </r>
  <r>
    <x v="2695"/>
    <x v="0"/>
    <s v="United States"/>
    <x v="2"/>
    <n v="260"/>
    <n v="0.1"/>
    <n v="840"/>
    <x v="1222"/>
    <x v="6"/>
    <x v="3"/>
    <x v="4"/>
    <n v="0"/>
    <x v="0"/>
  </r>
  <r>
    <x v="2392"/>
    <x v="16"/>
    <s v="United States"/>
    <x v="8"/>
    <n v="20"/>
    <n v="0.2"/>
    <n v="24"/>
    <x v="1222"/>
    <x v="6"/>
    <x v="3"/>
    <x v="3"/>
    <n v="0"/>
    <x v="0"/>
  </r>
  <r>
    <x v="2696"/>
    <x v="8"/>
    <s v="United States"/>
    <x v="6"/>
    <s v="NULL"/>
    <n v="0.7"/>
    <n v="4"/>
    <x v="1222"/>
    <x v="6"/>
    <x v="3"/>
    <x v="0"/>
    <n v="0"/>
    <x v="0"/>
  </r>
  <r>
    <x v="1882"/>
    <x v="13"/>
    <s v="Brazil"/>
    <x v="4"/>
    <n v="500"/>
    <s v="NULL"/>
    <n v="2400"/>
    <x v="1223"/>
    <x v="6"/>
    <x v="3"/>
    <x v="2"/>
    <s v="NULL"/>
    <x v="0"/>
  </r>
  <r>
    <x v="2697"/>
    <x v="18"/>
    <s v="Indonesia"/>
    <x v="8"/>
    <n v="250"/>
    <n v="1"/>
    <s v="NULL"/>
    <x v="1223"/>
    <x v="6"/>
    <x v="3"/>
    <x v="1"/>
    <n v="1"/>
    <x v="0"/>
  </r>
  <r>
    <x v="586"/>
    <x v="0"/>
    <s v="United States"/>
    <x v="2"/>
    <n v="30"/>
    <n v="0.2"/>
    <n v="17"/>
    <x v="1223"/>
    <x v="6"/>
    <x v="3"/>
    <x v="3"/>
    <n v="0"/>
    <x v="0"/>
  </r>
  <r>
    <x v="2698"/>
    <x v="11"/>
    <s v="United States"/>
    <x v="2"/>
    <n v="57"/>
    <n v="0.36"/>
    <n v="88"/>
    <x v="1224"/>
    <x v="6"/>
    <x v="3"/>
    <x v="3"/>
    <n v="0"/>
    <x v="0"/>
  </r>
  <r>
    <x v="2699"/>
    <x v="15"/>
    <s v="Canada"/>
    <x v="2"/>
    <n v="36"/>
    <n v="0.23"/>
    <n v="60"/>
    <x v="1224"/>
    <x v="6"/>
    <x v="3"/>
    <x v="3"/>
    <n v="0"/>
    <x v="0"/>
  </r>
  <r>
    <x v="2700"/>
    <x v="10"/>
    <s v="United States"/>
    <x v="8"/>
    <n v="19"/>
    <n v="0.3"/>
    <n v="7"/>
    <x v="1224"/>
    <x v="6"/>
    <x v="3"/>
    <x v="0"/>
    <n v="0"/>
    <x v="0"/>
  </r>
  <r>
    <x v="2579"/>
    <x v="14"/>
    <s v="United States"/>
    <x v="2"/>
    <n v="18"/>
    <n v="0.22"/>
    <n v="15"/>
    <x v="1224"/>
    <x v="6"/>
    <x v="3"/>
    <x v="3"/>
    <n v="0"/>
    <x v="0"/>
  </r>
  <r>
    <x v="2701"/>
    <x v="13"/>
    <s v="Germany"/>
    <x v="2"/>
    <n v="15"/>
    <n v="0.25"/>
    <n v="30"/>
    <x v="1224"/>
    <x v="6"/>
    <x v="3"/>
    <x v="3"/>
    <n v="0"/>
    <x v="0"/>
  </r>
  <r>
    <x v="2702"/>
    <x v="5"/>
    <s v="United States"/>
    <x v="2"/>
    <n v="10"/>
    <n v="0.33"/>
    <n v="29"/>
    <x v="1224"/>
    <x v="6"/>
    <x v="3"/>
    <x v="3"/>
    <n v="0"/>
    <x v="0"/>
  </r>
  <r>
    <x v="2703"/>
    <x v="1"/>
    <s v="United States"/>
    <x v="3"/>
    <n v="6"/>
    <n v="0.21"/>
    <n v="12"/>
    <x v="1224"/>
    <x v="6"/>
    <x v="3"/>
    <x v="3"/>
    <n v="0"/>
    <x v="0"/>
  </r>
  <r>
    <x v="2704"/>
    <x v="21"/>
    <s v="Brazil"/>
    <x v="8"/>
    <n v="4"/>
    <n v="1"/>
    <n v="2"/>
    <x v="1224"/>
    <x v="6"/>
    <x v="3"/>
    <x v="0"/>
    <n v="1"/>
    <x v="0"/>
  </r>
  <r>
    <x v="2705"/>
    <x v="4"/>
    <s v="United States"/>
    <x v="1"/>
    <s v="NULL"/>
    <s v="NULL"/>
    <n v="54"/>
    <x v="1224"/>
    <x v="6"/>
    <x v="3"/>
    <x v="3"/>
    <s v="NULL"/>
    <x v="1"/>
  </r>
  <r>
    <x v="119"/>
    <x v="14"/>
    <s v="United Kingdom"/>
    <x v="11"/>
    <s v="NULL"/>
    <s v="NULL"/>
    <n v="122"/>
    <x v="1224"/>
    <x v="6"/>
    <x v="3"/>
    <x v="4"/>
    <s v="NULL"/>
    <x v="1"/>
  </r>
  <r>
    <x v="2346"/>
    <x v="2"/>
    <s v="United States"/>
    <x v="5"/>
    <n v="100"/>
    <n v="0.12"/>
    <n v="160"/>
    <x v="1225"/>
    <x v="6"/>
    <x v="3"/>
    <x v="4"/>
    <n v="0"/>
    <x v="0"/>
  </r>
  <r>
    <x v="2706"/>
    <x v="7"/>
    <s v="United States"/>
    <x v="5"/>
    <n v="87"/>
    <n v="0.15"/>
    <n v="583"/>
    <x v="1225"/>
    <x v="6"/>
    <x v="3"/>
    <x v="4"/>
    <n v="0"/>
    <x v="0"/>
  </r>
  <r>
    <x v="861"/>
    <x v="6"/>
    <s v="United States"/>
    <x v="4"/>
    <n v="80"/>
    <n v="0.09"/>
    <n v="274"/>
    <x v="1225"/>
    <x v="6"/>
    <x v="3"/>
    <x v="4"/>
    <n v="0"/>
    <x v="0"/>
  </r>
  <r>
    <x v="2707"/>
    <x v="5"/>
    <s v="United States"/>
    <x v="3"/>
    <n v="70"/>
    <n v="0.05"/>
    <n v="1300"/>
    <x v="1225"/>
    <x v="6"/>
    <x v="3"/>
    <x v="2"/>
    <n v="0"/>
    <x v="0"/>
  </r>
  <r>
    <x v="2708"/>
    <x v="10"/>
    <s v="United States"/>
    <x v="5"/>
    <n v="6"/>
    <s v="NULL"/>
    <n v="68"/>
    <x v="1225"/>
    <x v="6"/>
    <x v="3"/>
    <x v="3"/>
    <s v="NULL"/>
    <x v="0"/>
  </r>
  <r>
    <x v="999"/>
    <x v="23"/>
    <s v="United States"/>
    <x v="7"/>
    <s v="NULL"/>
    <n v="0.01"/>
    <n v="665"/>
    <x v="1225"/>
    <x v="6"/>
    <x v="3"/>
    <x v="4"/>
    <n v="0"/>
    <x v="0"/>
  </r>
  <r>
    <x v="2709"/>
    <x v="2"/>
    <s v="United States"/>
    <x v="1"/>
    <s v="NULL"/>
    <s v="NULL"/>
    <n v="78"/>
    <x v="1225"/>
    <x v="6"/>
    <x v="3"/>
    <x v="3"/>
    <s v="NULL"/>
    <x v="1"/>
  </r>
  <r>
    <x v="2710"/>
    <x v="10"/>
    <s v="United States"/>
    <x v="2"/>
    <s v="NULL"/>
    <s v="NULL"/>
    <n v="50"/>
    <x v="1225"/>
    <x v="6"/>
    <x v="3"/>
    <x v="3"/>
    <s v="NULL"/>
    <x v="1"/>
  </r>
  <r>
    <x v="603"/>
    <x v="1"/>
    <s v="United States"/>
    <x v="11"/>
    <n v="1000"/>
    <n v="0.5"/>
    <n v="2600"/>
    <x v="1226"/>
    <x v="6"/>
    <x v="3"/>
    <x v="2"/>
    <n v="0"/>
    <x v="0"/>
  </r>
  <r>
    <x v="2711"/>
    <x v="7"/>
    <s v="United States"/>
    <x v="2"/>
    <n v="55"/>
    <n v="0.35"/>
    <n v="24"/>
    <x v="1226"/>
    <x v="6"/>
    <x v="3"/>
    <x v="3"/>
    <n v="0"/>
    <x v="0"/>
  </r>
  <r>
    <x v="2712"/>
    <x v="11"/>
    <s v="United States"/>
    <x v="8"/>
    <n v="10"/>
    <n v="0.14000000000000001"/>
    <n v="52"/>
    <x v="1226"/>
    <x v="6"/>
    <x v="3"/>
    <x v="3"/>
    <n v="0"/>
    <x v="0"/>
  </r>
  <r>
    <x v="2659"/>
    <x v="13"/>
    <s v="Indonesia"/>
    <x v="3"/>
    <s v="NULL"/>
    <n v="0.7"/>
    <s v="NULL"/>
    <x v="1226"/>
    <x v="6"/>
    <x v="3"/>
    <x v="1"/>
    <n v="0"/>
    <x v="0"/>
  </r>
  <r>
    <x v="1342"/>
    <x v="6"/>
    <s v="United States"/>
    <x v="8"/>
    <s v="NULL"/>
    <s v="NULL"/>
    <n v="17"/>
    <x v="1226"/>
    <x v="6"/>
    <x v="3"/>
    <x v="3"/>
    <s v="NULL"/>
    <x v="1"/>
  </r>
  <r>
    <x v="2072"/>
    <x v="3"/>
    <s v="United States"/>
    <x v="5"/>
    <s v="NULL"/>
    <s v="NULL"/>
    <n v="61"/>
    <x v="1226"/>
    <x v="6"/>
    <x v="3"/>
    <x v="3"/>
    <s v="NULL"/>
    <x v="1"/>
  </r>
  <r>
    <x v="1603"/>
    <x v="30"/>
    <s v="Australia"/>
    <x v="0"/>
    <s v="NULL"/>
    <n v="0.1"/>
    <n v="15"/>
    <x v="1226"/>
    <x v="6"/>
    <x v="3"/>
    <x v="3"/>
    <n v="0"/>
    <x v="0"/>
  </r>
  <r>
    <x v="825"/>
    <x v="18"/>
    <s v="India"/>
    <x v="15"/>
    <n v="800"/>
    <s v="NULL"/>
    <n v="1600"/>
    <x v="1227"/>
    <x v="6"/>
    <x v="3"/>
    <x v="2"/>
    <s v="NULL"/>
    <x v="0"/>
  </r>
  <r>
    <x v="37"/>
    <x v="14"/>
    <s v="India"/>
    <x v="3"/>
    <n v="500"/>
    <s v="NULL"/>
    <n v="2200"/>
    <x v="1227"/>
    <x v="6"/>
    <x v="3"/>
    <x v="2"/>
    <s v="NULL"/>
    <x v="0"/>
  </r>
  <r>
    <x v="1014"/>
    <x v="14"/>
    <s v="United States"/>
    <x v="0"/>
    <n v="460"/>
    <n v="0.3"/>
    <n v="392"/>
    <x v="1227"/>
    <x v="6"/>
    <x v="3"/>
    <x v="4"/>
    <n v="0"/>
    <x v="0"/>
  </r>
  <r>
    <x v="1865"/>
    <x v="1"/>
    <s v="United States"/>
    <x v="11"/>
    <n v="155"/>
    <n v="0.1"/>
    <n v="613"/>
    <x v="1227"/>
    <x v="6"/>
    <x v="3"/>
    <x v="4"/>
    <n v="0"/>
    <x v="0"/>
  </r>
  <r>
    <x v="2511"/>
    <x v="2"/>
    <s v="United States"/>
    <x v="0"/>
    <n v="78"/>
    <n v="0.21"/>
    <n v="339"/>
    <x v="1227"/>
    <x v="6"/>
    <x v="3"/>
    <x v="4"/>
    <n v="0"/>
    <x v="0"/>
  </r>
  <r>
    <x v="448"/>
    <x v="5"/>
    <s v="United States"/>
    <x v="2"/>
    <n v="40"/>
    <n v="0.13"/>
    <n v="42"/>
    <x v="1227"/>
    <x v="6"/>
    <x v="3"/>
    <x v="3"/>
    <n v="0"/>
    <x v="0"/>
  </r>
  <r>
    <x v="529"/>
    <x v="14"/>
    <s v="Canada"/>
    <x v="2"/>
    <n v="38"/>
    <n v="0.09"/>
    <n v="75"/>
    <x v="1227"/>
    <x v="6"/>
    <x v="3"/>
    <x v="3"/>
    <n v="0"/>
    <x v="0"/>
  </r>
  <r>
    <x v="2123"/>
    <x v="4"/>
    <s v="United States"/>
    <x v="7"/>
    <n v="30"/>
    <n v="0.13"/>
    <n v="165"/>
    <x v="1227"/>
    <x v="6"/>
    <x v="3"/>
    <x v="4"/>
    <n v="0"/>
    <x v="0"/>
  </r>
  <r>
    <x v="2516"/>
    <x v="21"/>
    <s v="United States"/>
    <x v="2"/>
    <n v="19"/>
    <s v="NULL"/>
    <n v="48"/>
    <x v="1227"/>
    <x v="6"/>
    <x v="3"/>
    <x v="3"/>
    <s v="NULL"/>
    <x v="0"/>
  </r>
  <r>
    <x v="2713"/>
    <x v="4"/>
    <s v="United States"/>
    <x v="3"/>
    <n v="13"/>
    <s v="NULL"/>
    <s v="NULL"/>
    <x v="1227"/>
    <x v="6"/>
    <x v="3"/>
    <x v="1"/>
    <s v="NULL"/>
    <x v="0"/>
  </r>
  <r>
    <x v="2714"/>
    <x v="23"/>
    <s v="Israel"/>
    <x v="7"/>
    <n v="10"/>
    <n v="0.1"/>
    <n v="84"/>
    <x v="1227"/>
    <x v="6"/>
    <x v="3"/>
    <x v="3"/>
    <n v="0"/>
    <x v="0"/>
  </r>
  <r>
    <x v="2715"/>
    <x v="13"/>
    <s v="Hong Kong"/>
    <x v="7"/>
    <n v="300"/>
    <n v="0.15"/>
    <n v="521"/>
    <x v="1228"/>
    <x v="6"/>
    <x v="3"/>
    <x v="4"/>
    <n v="0"/>
    <x v="0"/>
  </r>
  <r>
    <x v="303"/>
    <x v="9"/>
    <s v="United States"/>
    <x v="3"/>
    <n v="91"/>
    <n v="0.14000000000000001"/>
    <n v="10"/>
    <x v="1228"/>
    <x v="6"/>
    <x v="3"/>
    <x v="3"/>
    <n v="0"/>
    <x v="0"/>
  </r>
  <r>
    <x v="2716"/>
    <x v="10"/>
    <s v="United States"/>
    <x v="7"/>
    <n v="90"/>
    <n v="0.25"/>
    <n v="58"/>
    <x v="1228"/>
    <x v="6"/>
    <x v="3"/>
    <x v="3"/>
    <n v="0"/>
    <x v="0"/>
  </r>
  <r>
    <x v="2717"/>
    <x v="14"/>
    <s v="Mexico"/>
    <x v="2"/>
    <n v="90"/>
    <n v="0.3"/>
    <n v="38"/>
    <x v="1228"/>
    <x v="6"/>
    <x v="3"/>
    <x v="3"/>
    <n v="0"/>
    <x v="0"/>
  </r>
  <r>
    <x v="1936"/>
    <x v="15"/>
    <s v="Brazil"/>
    <x v="6"/>
    <n v="33"/>
    <n v="0.25"/>
    <n v="1"/>
    <x v="1228"/>
    <x v="6"/>
    <x v="3"/>
    <x v="0"/>
    <n v="0"/>
    <x v="0"/>
  </r>
  <r>
    <x v="2718"/>
    <x v="11"/>
    <s v="United States"/>
    <x v="5"/>
    <n v="28"/>
    <s v="NULL"/>
    <n v="71"/>
    <x v="1228"/>
    <x v="6"/>
    <x v="3"/>
    <x v="3"/>
    <s v="NULL"/>
    <x v="0"/>
  </r>
  <r>
    <x v="1833"/>
    <x v="5"/>
    <s v="United States"/>
    <x v="5"/>
    <n v="23"/>
    <n v="0.09"/>
    <n v="50"/>
    <x v="1228"/>
    <x v="6"/>
    <x v="3"/>
    <x v="3"/>
    <n v="0"/>
    <x v="0"/>
  </r>
  <r>
    <x v="479"/>
    <x v="5"/>
    <s v="United States"/>
    <x v="5"/>
    <n v="10"/>
    <n v="0.03"/>
    <n v="100"/>
    <x v="1228"/>
    <x v="6"/>
    <x v="3"/>
    <x v="4"/>
    <n v="0"/>
    <x v="0"/>
  </r>
  <r>
    <x v="2719"/>
    <x v="13"/>
    <s v="United States"/>
    <x v="2"/>
    <s v="NULL"/>
    <n v="0.6"/>
    <n v="40.5"/>
    <x v="1228"/>
    <x v="6"/>
    <x v="3"/>
    <x v="3"/>
    <n v="0"/>
    <x v="0"/>
  </r>
  <r>
    <x v="2720"/>
    <x v="14"/>
    <s v="United States"/>
    <x v="11"/>
    <s v="NULL"/>
    <n v="1"/>
    <n v="126"/>
    <x v="1229"/>
    <x v="6"/>
    <x v="3"/>
    <x v="4"/>
    <n v="1"/>
    <x v="0"/>
  </r>
  <r>
    <x v="2721"/>
    <x v="23"/>
    <s v="India"/>
    <x v="7"/>
    <n v="200"/>
    <s v="NULL"/>
    <n v="293"/>
    <x v="1230"/>
    <x v="6"/>
    <x v="3"/>
    <x v="4"/>
    <s v="NULL"/>
    <x v="0"/>
  </r>
  <r>
    <x v="2722"/>
    <x v="21"/>
    <s v="Brazil"/>
    <x v="7"/>
    <n v="140"/>
    <n v="0.35"/>
    <n v="37"/>
    <x v="1230"/>
    <x v="6"/>
    <x v="3"/>
    <x v="3"/>
    <n v="0"/>
    <x v="0"/>
  </r>
  <r>
    <x v="1391"/>
    <x v="8"/>
    <s v="United States"/>
    <x v="7"/>
    <n v="120"/>
    <n v="0.28000000000000003"/>
    <n v="110"/>
    <x v="1230"/>
    <x v="6"/>
    <x v="3"/>
    <x v="4"/>
    <n v="0"/>
    <x v="0"/>
  </r>
  <r>
    <x v="2480"/>
    <x v="16"/>
    <s v="Brazil"/>
    <x v="7"/>
    <n v="88"/>
    <n v="0.08"/>
    <n v="335"/>
    <x v="1230"/>
    <x v="6"/>
    <x v="3"/>
    <x v="4"/>
    <n v="0"/>
    <x v="0"/>
  </r>
  <r>
    <x v="1511"/>
    <x v="16"/>
    <s v="Brazil"/>
    <x v="5"/>
    <n v="47"/>
    <n v="0.1"/>
    <n v="263"/>
    <x v="1230"/>
    <x v="6"/>
    <x v="3"/>
    <x v="4"/>
    <n v="0"/>
    <x v="0"/>
  </r>
  <r>
    <x v="2585"/>
    <x v="2"/>
    <s v="Singapore"/>
    <x v="7"/>
    <n v="44"/>
    <n v="0.05"/>
    <n v="307"/>
    <x v="1230"/>
    <x v="6"/>
    <x v="3"/>
    <x v="4"/>
    <n v="0"/>
    <x v="0"/>
  </r>
  <r>
    <x v="2723"/>
    <x v="21"/>
    <s v="Denmark"/>
    <x v="2"/>
    <n v="40"/>
    <s v="NULL"/>
    <n v="34"/>
    <x v="1230"/>
    <x v="6"/>
    <x v="3"/>
    <x v="3"/>
    <s v="NULL"/>
    <x v="0"/>
  </r>
  <r>
    <x v="2209"/>
    <x v="18"/>
    <s v="United States"/>
    <x v="15"/>
    <n v="35"/>
    <n v="0.1"/>
    <n v="478"/>
    <x v="1230"/>
    <x v="6"/>
    <x v="3"/>
    <x v="4"/>
    <n v="0"/>
    <x v="0"/>
  </r>
  <r>
    <x v="2264"/>
    <x v="10"/>
    <s v="United States"/>
    <x v="5"/>
    <n v="30"/>
    <n v="0.18"/>
    <n v="100"/>
    <x v="1230"/>
    <x v="6"/>
    <x v="3"/>
    <x v="4"/>
    <n v="0"/>
    <x v="0"/>
  </r>
  <r>
    <x v="2724"/>
    <x v="3"/>
    <s v="United States"/>
    <x v="3"/>
    <n v="13"/>
    <n v="0.37"/>
    <n v="1"/>
    <x v="1230"/>
    <x v="6"/>
    <x v="3"/>
    <x v="0"/>
    <n v="0"/>
    <x v="0"/>
  </r>
  <r>
    <x v="12"/>
    <x v="9"/>
    <s v="United States"/>
    <x v="2"/>
    <s v="NULL"/>
    <n v="0.12"/>
    <n v="69"/>
    <x v="1230"/>
    <x v="6"/>
    <x v="3"/>
    <x v="3"/>
    <n v="0"/>
    <x v="0"/>
  </r>
  <r>
    <x v="2725"/>
    <x v="0"/>
    <s v="United States"/>
    <x v="8"/>
    <s v="NULL"/>
    <n v="0.38"/>
    <n v="18"/>
    <x v="1230"/>
    <x v="6"/>
    <x v="3"/>
    <x v="3"/>
    <n v="0"/>
    <x v="0"/>
  </r>
  <r>
    <x v="2424"/>
    <x v="18"/>
    <s v="United States"/>
    <x v="1"/>
    <s v="NULL"/>
    <s v="NULL"/>
    <n v="96"/>
    <x v="1230"/>
    <x v="6"/>
    <x v="3"/>
    <x v="3"/>
    <s v="NULL"/>
    <x v="1"/>
  </r>
  <r>
    <x v="2726"/>
    <x v="10"/>
    <s v="Canada"/>
    <x v="3"/>
    <s v="NULL"/>
    <s v="NULL"/>
    <n v="59"/>
    <x v="1230"/>
    <x v="6"/>
    <x v="3"/>
    <x v="3"/>
    <s v="NULL"/>
    <x v="1"/>
  </r>
  <r>
    <x v="2727"/>
    <x v="11"/>
    <s v="United States"/>
    <x v="0"/>
    <n v="130"/>
    <n v="0.13"/>
    <n v="1"/>
    <x v="1231"/>
    <x v="6"/>
    <x v="3"/>
    <x v="0"/>
    <n v="0"/>
    <x v="0"/>
  </r>
  <r>
    <x v="2728"/>
    <x v="14"/>
    <s v="Singapore"/>
    <x v="2"/>
    <n v="65"/>
    <n v="0.18"/>
    <n v="42"/>
    <x v="1231"/>
    <x v="6"/>
    <x v="3"/>
    <x v="3"/>
    <n v="0"/>
    <x v="0"/>
  </r>
  <r>
    <x v="2729"/>
    <x v="10"/>
    <s v="India"/>
    <x v="5"/>
    <n v="60"/>
    <n v="0.2"/>
    <n v="76"/>
    <x v="1231"/>
    <x v="6"/>
    <x v="3"/>
    <x v="3"/>
    <n v="0"/>
    <x v="0"/>
  </r>
  <r>
    <x v="2730"/>
    <x v="10"/>
    <s v="Canada"/>
    <x v="8"/>
    <s v="NULL"/>
    <s v="NULL"/>
    <n v="11"/>
    <x v="1231"/>
    <x v="6"/>
    <x v="3"/>
    <x v="3"/>
    <s v="NULL"/>
    <x v="1"/>
  </r>
  <r>
    <x v="873"/>
    <x v="10"/>
    <s v="United States"/>
    <x v="5"/>
    <s v="NULL"/>
    <s v="NULL"/>
    <n v="59"/>
    <x v="1231"/>
    <x v="6"/>
    <x v="3"/>
    <x v="3"/>
    <s v="NULL"/>
    <x v="1"/>
  </r>
  <r>
    <x v="2731"/>
    <x v="2"/>
    <s v="United States"/>
    <x v="8"/>
    <s v="NULL"/>
    <s v="NULL"/>
    <n v="16"/>
    <x v="1231"/>
    <x v="6"/>
    <x v="3"/>
    <x v="3"/>
    <s v="NULL"/>
    <x v="1"/>
  </r>
  <r>
    <x v="2732"/>
    <x v="10"/>
    <s v="United States"/>
    <x v="3"/>
    <s v="NULL"/>
    <s v="NULL"/>
    <s v="NULL"/>
    <x v="1231"/>
    <x v="6"/>
    <x v="3"/>
    <x v="1"/>
    <s v="NULL"/>
    <x v="1"/>
  </r>
  <r>
    <x v="2733"/>
    <x v="9"/>
    <s v="United States"/>
    <x v="6"/>
    <s v="NULL"/>
    <n v="1"/>
    <n v="1"/>
    <x v="1231"/>
    <x v="6"/>
    <x v="3"/>
    <x v="0"/>
    <n v="1"/>
    <x v="0"/>
  </r>
  <r>
    <x v="2734"/>
    <x v="16"/>
    <s v="United States"/>
    <x v="8"/>
    <s v="NULL"/>
    <s v="NULL"/>
    <n v="2"/>
    <x v="1231"/>
    <x v="6"/>
    <x v="3"/>
    <x v="0"/>
    <s v="NULL"/>
    <x v="1"/>
  </r>
  <r>
    <x v="34"/>
    <x v="16"/>
    <s v="United States"/>
    <x v="11"/>
    <n v="600"/>
    <n v="0.35"/>
    <n v="1500"/>
    <x v="1232"/>
    <x v="6"/>
    <x v="3"/>
    <x v="2"/>
    <n v="0"/>
    <x v="0"/>
  </r>
  <r>
    <x v="128"/>
    <x v="1"/>
    <s v="United States"/>
    <x v="0"/>
    <n v="200"/>
    <n v="0.2"/>
    <n v="288"/>
    <x v="1232"/>
    <x v="6"/>
    <x v="3"/>
    <x v="4"/>
    <n v="0"/>
    <x v="0"/>
  </r>
  <r>
    <x v="2735"/>
    <x v="2"/>
    <s v="India"/>
    <x v="5"/>
    <n v="200"/>
    <n v="0.4"/>
    <n v="19"/>
    <x v="1232"/>
    <x v="6"/>
    <x v="3"/>
    <x v="3"/>
    <n v="0"/>
    <x v="0"/>
  </r>
  <r>
    <x v="1312"/>
    <x v="18"/>
    <s v="United States"/>
    <x v="3"/>
    <n v="200"/>
    <n v="0.67"/>
    <n v="423"/>
    <x v="1232"/>
    <x v="6"/>
    <x v="3"/>
    <x v="4"/>
    <n v="0"/>
    <x v="0"/>
  </r>
  <r>
    <x v="964"/>
    <x v="14"/>
    <s v="United States"/>
    <x v="11"/>
    <n v="161"/>
    <n v="0.16"/>
    <n v="447"/>
    <x v="1232"/>
    <x v="6"/>
    <x v="3"/>
    <x v="4"/>
    <n v="0"/>
    <x v="0"/>
  </r>
  <r>
    <x v="2736"/>
    <x v="14"/>
    <s v="Indonesia"/>
    <x v="7"/>
    <n v="100"/>
    <s v="NULL"/>
    <n v="160"/>
    <x v="1232"/>
    <x v="6"/>
    <x v="3"/>
    <x v="4"/>
    <s v="NULL"/>
    <x v="0"/>
  </r>
  <r>
    <x v="2737"/>
    <x v="7"/>
    <s v="United States"/>
    <x v="5"/>
    <n v="40"/>
    <n v="0.25"/>
    <n v="72"/>
    <x v="1232"/>
    <x v="6"/>
    <x v="3"/>
    <x v="3"/>
    <n v="0"/>
    <x v="0"/>
  </r>
  <r>
    <x v="2738"/>
    <x v="11"/>
    <s v="United States"/>
    <x v="8"/>
    <n v="15"/>
    <n v="0.2"/>
    <n v="40"/>
    <x v="1232"/>
    <x v="6"/>
    <x v="3"/>
    <x v="3"/>
    <n v="0"/>
    <x v="0"/>
  </r>
  <r>
    <x v="944"/>
    <x v="2"/>
    <s v="Canada"/>
    <x v="2"/>
    <n v="14"/>
    <s v="NULL"/>
    <n v="51"/>
    <x v="1232"/>
    <x v="6"/>
    <x v="3"/>
    <x v="3"/>
    <s v="NULL"/>
    <x v="0"/>
  </r>
  <r>
    <x v="815"/>
    <x v="2"/>
    <s v="United States"/>
    <x v="5"/>
    <n v="13"/>
    <s v="NULL"/>
    <n v="34"/>
    <x v="1232"/>
    <x v="6"/>
    <x v="3"/>
    <x v="3"/>
    <s v="NULL"/>
    <x v="0"/>
  </r>
  <r>
    <x v="2739"/>
    <x v="0"/>
    <s v="United States"/>
    <x v="1"/>
    <s v="NULL"/>
    <n v="0.2"/>
    <n v="100"/>
    <x v="1232"/>
    <x v="6"/>
    <x v="3"/>
    <x v="4"/>
    <n v="0"/>
    <x v="0"/>
  </r>
  <r>
    <x v="2740"/>
    <x v="1"/>
    <s v="Indonesia"/>
    <x v="8"/>
    <s v="NULL"/>
    <n v="0.3"/>
    <n v="7"/>
    <x v="1232"/>
    <x v="6"/>
    <x v="3"/>
    <x v="0"/>
    <n v="0"/>
    <x v="0"/>
  </r>
  <r>
    <x v="1446"/>
    <x v="26"/>
    <s v="United States"/>
    <x v="13"/>
    <s v="NULL"/>
    <s v="NULL"/>
    <n v="1800"/>
    <x v="1232"/>
    <x v="6"/>
    <x v="3"/>
    <x v="2"/>
    <s v="NULL"/>
    <x v="1"/>
  </r>
  <r>
    <x v="1563"/>
    <x v="2"/>
    <s v="United States"/>
    <x v="0"/>
    <n v="235"/>
    <n v="0.1"/>
    <n v="358"/>
    <x v="1233"/>
    <x v="6"/>
    <x v="3"/>
    <x v="4"/>
    <n v="0"/>
    <x v="0"/>
  </r>
  <r>
    <x v="2741"/>
    <x v="18"/>
    <s v="Canada"/>
    <x v="11"/>
    <n v="131"/>
    <n v="0.23"/>
    <n v="224"/>
    <x v="1233"/>
    <x v="6"/>
    <x v="3"/>
    <x v="4"/>
    <n v="0"/>
    <x v="0"/>
  </r>
  <r>
    <x v="2742"/>
    <x v="7"/>
    <s v="United States"/>
    <x v="2"/>
    <n v="58"/>
    <n v="0.3"/>
    <n v="59"/>
    <x v="1233"/>
    <x v="6"/>
    <x v="3"/>
    <x v="3"/>
    <n v="0"/>
    <x v="0"/>
  </r>
  <r>
    <x v="227"/>
    <x v="1"/>
    <s v="United States"/>
    <x v="2"/>
    <n v="45"/>
    <n v="0.35"/>
    <n v="90"/>
    <x v="1233"/>
    <x v="6"/>
    <x v="3"/>
    <x v="3"/>
    <n v="0"/>
    <x v="0"/>
  </r>
  <r>
    <x v="2162"/>
    <x v="1"/>
    <s v="United States"/>
    <x v="7"/>
    <n v="21"/>
    <s v="NULL"/>
    <n v="132"/>
    <x v="1233"/>
    <x v="6"/>
    <x v="3"/>
    <x v="4"/>
    <s v="NULL"/>
    <x v="0"/>
  </r>
  <r>
    <x v="2743"/>
    <x v="6"/>
    <s v="United States"/>
    <x v="11"/>
    <n v="15"/>
    <s v="NULL"/>
    <n v="190"/>
    <x v="1233"/>
    <x v="6"/>
    <x v="3"/>
    <x v="4"/>
    <s v="NULL"/>
    <x v="0"/>
  </r>
  <r>
    <x v="2744"/>
    <x v="7"/>
    <s v="Brazil"/>
    <x v="3"/>
    <n v="10"/>
    <s v="NULL"/>
    <n v="5"/>
    <x v="1233"/>
    <x v="6"/>
    <x v="3"/>
    <x v="0"/>
    <s v="NULL"/>
    <x v="0"/>
  </r>
  <r>
    <x v="2527"/>
    <x v="14"/>
    <s v="United States"/>
    <x v="3"/>
    <s v="NULL"/>
    <s v="NULL"/>
    <n v="584"/>
    <x v="1233"/>
    <x v="6"/>
    <x v="3"/>
    <x v="4"/>
    <s v="NULL"/>
    <x v="1"/>
  </r>
  <r>
    <x v="2745"/>
    <x v="13"/>
    <s v="Singapore"/>
    <x v="5"/>
    <s v="NULL"/>
    <s v="NULL"/>
    <n v="134"/>
    <x v="1233"/>
    <x v="6"/>
    <x v="3"/>
    <x v="4"/>
    <s v="NULL"/>
    <x v="1"/>
  </r>
  <r>
    <x v="60"/>
    <x v="2"/>
    <s v="United States"/>
    <x v="0"/>
    <n v="2800"/>
    <n v="0.44"/>
    <n v="1400"/>
    <x v="1234"/>
    <x v="6"/>
    <x v="3"/>
    <x v="2"/>
    <n v="0"/>
    <x v="0"/>
  </r>
  <r>
    <x v="2746"/>
    <x v="11"/>
    <s v="United States"/>
    <x v="2"/>
    <n v="100"/>
    <n v="0.1"/>
    <n v="955"/>
    <x v="1234"/>
    <x v="6"/>
    <x v="3"/>
    <x v="4"/>
    <n v="0"/>
    <x v="0"/>
  </r>
  <r>
    <x v="1018"/>
    <x v="14"/>
    <s v="Brazil"/>
    <x v="2"/>
    <n v="70"/>
    <n v="0.1"/>
    <n v="120"/>
    <x v="1234"/>
    <x v="6"/>
    <x v="3"/>
    <x v="4"/>
    <n v="0"/>
    <x v="0"/>
  </r>
  <r>
    <x v="2747"/>
    <x v="23"/>
    <s v="United States"/>
    <x v="8"/>
    <n v="50"/>
    <n v="0.25"/>
    <n v="12"/>
    <x v="1234"/>
    <x v="6"/>
    <x v="3"/>
    <x v="3"/>
    <n v="0"/>
    <x v="0"/>
  </r>
  <r>
    <x v="2748"/>
    <x v="14"/>
    <s v="Canada"/>
    <x v="2"/>
    <n v="17"/>
    <n v="0.08"/>
    <n v="119"/>
    <x v="1234"/>
    <x v="6"/>
    <x v="3"/>
    <x v="4"/>
    <n v="0"/>
    <x v="0"/>
  </r>
  <r>
    <x v="929"/>
    <x v="4"/>
    <s v="United States"/>
    <x v="3"/>
    <n v="201"/>
    <s v="NULL"/>
    <n v="185"/>
    <x v="1235"/>
    <x v="6"/>
    <x v="3"/>
    <x v="4"/>
    <s v="NULL"/>
    <x v="0"/>
  </r>
  <r>
    <x v="895"/>
    <x v="13"/>
    <s v="United States"/>
    <x v="3"/>
    <n v="35"/>
    <n v="0.16"/>
    <n v="3"/>
    <x v="1235"/>
    <x v="6"/>
    <x v="3"/>
    <x v="0"/>
    <n v="0"/>
    <x v="0"/>
  </r>
  <r>
    <x v="2749"/>
    <x v="14"/>
    <s v="Brazil"/>
    <x v="2"/>
    <n v="30"/>
    <s v="NULL"/>
    <n v="14"/>
    <x v="1235"/>
    <x v="6"/>
    <x v="3"/>
    <x v="3"/>
    <s v="NULL"/>
    <x v="0"/>
  </r>
  <r>
    <x v="2091"/>
    <x v="8"/>
    <s v="United States"/>
    <x v="5"/>
    <n v="28"/>
    <s v="NULL"/>
    <n v="29"/>
    <x v="1235"/>
    <x v="6"/>
    <x v="3"/>
    <x v="3"/>
    <s v="NULL"/>
    <x v="0"/>
  </r>
  <r>
    <x v="2750"/>
    <x v="6"/>
    <s v="United States"/>
    <x v="3"/>
    <n v="20"/>
    <n v="0.28999999999999998"/>
    <n v="85"/>
    <x v="1235"/>
    <x v="6"/>
    <x v="3"/>
    <x v="3"/>
    <n v="0"/>
    <x v="0"/>
  </r>
  <r>
    <x v="2751"/>
    <x v="30"/>
    <s v="United States"/>
    <x v="2"/>
    <n v="16"/>
    <n v="0.27"/>
    <n v="35"/>
    <x v="1235"/>
    <x v="6"/>
    <x v="3"/>
    <x v="3"/>
    <n v="0"/>
    <x v="0"/>
  </r>
  <r>
    <x v="2752"/>
    <x v="24"/>
    <s v="United States"/>
    <x v="3"/>
    <n v="6"/>
    <n v="1"/>
    <n v="1"/>
    <x v="1235"/>
    <x v="6"/>
    <x v="3"/>
    <x v="0"/>
    <n v="1"/>
    <x v="0"/>
  </r>
  <r>
    <x v="2753"/>
    <x v="4"/>
    <s v="United States"/>
    <x v="3"/>
    <n v="5"/>
    <n v="0.31"/>
    <s v="NULL"/>
    <x v="1235"/>
    <x v="6"/>
    <x v="3"/>
    <x v="1"/>
    <n v="0"/>
    <x v="0"/>
  </r>
  <r>
    <x v="2754"/>
    <x v="14"/>
    <s v="United States"/>
    <x v="5"/>
    <s v="NULL"/>
    <s v="NULL"/>
    <n v="119"/>
    <x v="1235"/>
    <x v="6"/>
    <x v="3"/>
    <x v="4"/>
    <s v="NULL"/>
    <x v="1"/>
  </r>
  <r>
    <x v="2584"/>
    <x v="1"/>
    <s v="United States"/>
    <x v="0"/>
    <n v="1000"/>
    <n v="0.17"/>
    <n v="56"/>
    <x v="1236"/>
    <x v="6"/>
    <x v="3"/>
    <x v="3"/>
    <n v="0"/>
    <x v="0"/>
  </r>
  <r>
    <x v="135"/>
    <x v="14"/>
    <s v="United States"/>
    <x v="4"/>
    <n v="165"/>
    <s v="NULL"/>
    <n v="324"/>
    <x v="1236"/>
    <x v="6"/>
    <x v="3"/>
    <x v="4"/>
    <s v="NULL"/>
    <x v="0"/>
  </r>
  <r>
    <x v="2407"/>
    <x v="27"/>
    <s v="United States"/>
    <x v="2"/>
    <n v="150"/>
    <n v="0.1"/>
    <n v="410"/>
    <x v="1236"/>
    <x v="6"/>
    <x v="3"/>
    <x v="4"/>
    <n v="0"/>
    <x v="0"/>
  </r>
  <r>
    <x v="2755"/>
    <x v="14"/>
    <s v="Brazil"/>
    <x v="2"/>
    <n v="136"/>
    <n v="0.31"/>
    <n v="26"/>
    <x v="1236"/>
    <x v="6"/>
    <x v="3"/>
    <x v="3"/>
    <n v="0"/>
    <x v="0"/>
  </r>
  <r>
    <x v="934"/>
    <x v="6"/>
    <s v="United States"/>
    <x v="0"/>
    <n v="90"/>
    <n v="0.1"/>
    <n v="689"/>
    <x v="1236"/>
    <x v="6"/>
    <x v="3"/>
    <x v="4"/>
    <n v="0"/>
    <x v="0"/>
  </r>
  <r>
    <x v="1220"/>
    <x v="6"/>
    <s v="United States"/>
    <x v="7"/>
    <n v="90"/>
    <n v="0.34"/>
    <n v="114"/>
    <x v="1236"/>
    <x v="6"/>
    <x v="3"/>
    <x v="4"/>
    <n v="0"/>
    <x v="0"/>
  </r>
  <r>
    <x v="2756"/>
    <x v="15"/>
    <s v="United States"/>
    <x v="2"/>
    <n v="40"/>
    <n v="0.32"/>
    <n v="59"/>
    <x v="1236"/>
    <x v="6"/>
    <x v="3"/>
    <x v="3"/>
    <n v="0"/>
    <x v="0"/>
  </r>
  <r>
    <x v="2213"/>
    <x v="2"/>
    <s v="Canada"/>
    <x v="2"/>
    <n v="36"/>
    <n v="0.15"/>
    <n v="28"/>
    <x v="1236"/>
    <x v="6"/>
    <x v="3"/>
    <x v="3"/>
    <n v="0"/>
    <x v="0"/>
  </r>
  <r>
    <x v="1203"/>
    <x v="6"/>
    <s v="United States"/>
    <x v="2"/>
    <n v="25"/>
    <n v="0.05"/>
    <n v="137.5"/>
    <x v="1236"/>
    <x v="6"/>
    <x v="3"/>
    <x v="4"/>
    <n v="0"/>
    <x v="0"/>
  </r>
  <r>
    <x v="2757"/>
    <x v="21"/>
    <s v="Canada"/>
    <x v="3"/>
    <n v="14"/>
    <n v="7.0000000000000007E-2"/>
    <s v="NULL"/>
    <x v="1236"/>
    <x v="6"/>
    <x v="3"/>
    <x v="1"/>
    <n v="0"/>
    <x v="0"/>
  </r>
  <r>
    <x v="2758"/>
    <x v="10"/>
    <s v="United Kingdom"/>
    <x v="3"/>
    <n v="8"/>
    <n v="0.04"/>
    <n v="32"/>
    <x v="1236"/>
    <x v="6"/>
    <x v="3"/>
    <x v="3"/>
    <n v="0"/>
    <x v="0"/>
  </r>
  <r>
    <x v="2759"/>
    <x v="9"/>
    <s v="United States"/>
    <x v="3"/>
    <s v="NULL"/>
    <s v="NULL"/>
    <n v="18"/>
    <x v="1236"/>
    <x v="6"/>
    <x v="3"/>
    <x v="3"/>
    <s v="NULL"/>
    <x v="1"/>
  </r>
  <r>
    <x v="2760"/>
    <x v="9"/>
    <s v="United Kingdom"/>
    <x v="2"/>
    <s v="NULL"/>
    <n v="0.3"/>
    <n v="40"/>
    <x v="1236"/>
    <x v="6"/>
    <x v="3"/>
    <x v="3"/>
    <n v="0"/>
    <x v="0"/>
  </r>
  <r>
    <x v="2761"/>
    <x v="14"/>
    <s v="United States"/>
    <x v="3"/>
    <s v="NULL"/>
    <s v="NULL"/>
    <n v="217"/>
    <x v="1236"/>
    <x v="6"/>
    <x v="3"/>
    <x v="4"/>
    <s v="NULL"/>
    <x v="1"/>
  </r>
  <r>
    <x v="120"/>
    <x v="1"/>
    <s v="United States"/>
    <x v="0"/>
    <n v="500"/>
    <n v="0.45"/>
    <n v="332"/>
    <x v="1237"/>
    <x v="6"/>
    <x v="3"/>
    <x v="4"/>
    <n v="0"/>
    <x v="0"/>
  </r>
  <r>
    <x v="1368"/>
    <x v="2"/>
    <s v="India"/>
    <x v="7"/>
    <n v="200"/>
    <n v="0.28000000000000003"/>
    <n v="215"/>
    <x v="1237"/>
    <x v="6"/>
    <x v="3"/>
    <x v="4"/>
    <n v="0"/>
    <x v="0"/>
  </r>
  <r>
    <x v="2538"/>
    <x v="11"/>
    <s v="United States"/>
    <x v="5"/>
    <n v="92"/>
    <n v="0.33"/>
    <n v="95"/>
    <x v="1237"/>
    <x v="6"/>
    <x v="3"/>
    <x v="3"/>
    <n v="0"/>
    <x v="0"/>
  </r>
  <r>
    <x v="2762"/>
    <x v="14"/>
    <s v="United States"/>
    <x v="2"/>
    <n v="89"/>
    <n v="0.45"/>
    <n v="40"/>
    <x v="1237"/>
    <x v="6"/>
    <x v="3"/>
    <x v="3"/>
    <n v="0"/>
    <x v="0"/>
  </r>
  <r>
    <x v="889"/>
    <x v="8"/>
    <s v="United States"/>
    <x v="5"/>
    <n v="86"/>
    <n v="0.4"/>
    <n v="72"/>
    <x v="1237"/>
    <x v="6"/>
    <x v="3"/>
    <x v="3"/>
    <n v="0"/>
    <x v="0"/>
  </r>
  <r>
    <x v="429"/>
    <x v="15"/>
    <s v="Portugal"/>
    <x v="5"/>
    <n v="80"/>
    <n v="0.35"/>
    <n v="91"/>
    <x v="1237"/>
    <x v="6"/>
    <x v="3"/>
    <x v="3"/>
    <n v="0"/>
    <x v="0"/>
  </r>
  <r>
    <x v="2763"/>
    <x v="10"/>
    <s v="United States"/>
    <x v="5"/>
    <n v="48"/>
    <n v="0.35"/>
    <n v="64"/>
    <x v="1237"/>
    <x v="6"/>
    <x v="3"/>
    <x v="3"/>
    <n v="0"/>
    <x v="0"/>
  </r>
  <r>
    <x v="2764"/>
    <x v="16"/>
    <s v="United States"/>
    <x v="2"/>
    <n v="40"/>
    <n v="0.4"/>
    <n v="40"/>
    <x v="1237"/>
    <x v="6"/>
    <x v="3"/>
    <x v="3"/>
    <n v="0"/>
    <x v="0"/>
  </r>
  <r>
    <x v="2240"/>
    <x v="10"/>
    <s v="United States"/>
    <x v="5"/>
    <n v="30"/>
    <n v="0.05"/>
    <n v="65"/>
    <x v="1237"/>
    <x v="6"/>
    <x v="3"/>
    <x v="3"/>
    <n v="0"/>
    <x v="0"/>
  </r>
  <r>
    <x v="2765"/>
    <x v="10"/>
    <s v="United States"/>
    <x v="3"/>
    <n v="25"/>
    <n v="0.25"/>
    <s v="NULL"/>
    <x v="1237"/>
    <x v="6"/>
    <x v="3"/>
    <x v="1"/>
    <n v="0"/>
    <x v="0"/>
  </r>
  <r>
    <x v="892"/>
    <x v="10"/>
    <s v="United States"/>
    <x v="5"/>
    <n v="21"/>
    <n v="0.1"/>
    <n v="106"/>
    <x v="1237"/>
    <x v="6"/>
    <x v="3"/>
    <x v="4"/>
    <n v="0"/>
    <x v="0"/>
  </r>
  <r>
    <x v="2766"/>
    <x v="8"/>
    <s v="Brazil"/>
    <x v="3"/>
    <n v="18"/>
    <n v="0.16"/>
    <n v="23"/>
    <x v="1237"/>
    <x v="6"/>
    <x v="3"/>
    <x v="3"/>
    <n v="0"/>
    <x v="0"/>
  </r>
  <r>
    <x v="2767"/>
    <x v="22"/>
    <s v="Canada"/>
    <x v="3"/>
    <n v="17"/>
    <n v="0.1"/>
    <s v="NULL"/>
    <x v="1237"/>
    <x v="6"/>
    <x v="3"/>
    <x v="1"/>
    <n v="0"/>
    <x v="0"/>
  </r>
  <r>
    <x v="2768"/>
    <x v="1"/>
    <s v="Brazil"/>
    <x v="2"/>
    <n v="11"/>
    <n v="0.1"/>
    <n v="16"/>
    <x v="1237"/>
    <x v="6"/>
    <x v="3"/>
    <x v="3"/>
    <n v="0"/>
    <x v="0"/>
  </r>
  <r>
    <x v="2769"/>
    <x v="18"/>
    <s v="United States"/>
    <x v="8"/>
    <n v="4"/>
    <n v="0.12"/>
    <n v="26"/>
    <x v="1237"/>
    <x v="6"/>
    <x v="3"/>
    <x v="3"/>
    <n v="0"/>
    <x v="0"/>
  </r>
  <r>
    <x v="2770"/>
    <x v="14"/>
    <s v="Brazil"/>
    <x v="7"/>
    <s v="NULL"/>
    <n v="0.06"/>
    <n v="314"/>
    <x v="1237"/>
    <x v="6"/>
    <x v="3"/>
    <x v="4"/>
    <n v="0"/>
    <x v="0"/>
  </r>
  <r>
    <x v="2771"/>
    <x v="10"/>
    <s v="United States"/>
    <x v="5"/>
    <s v="NULL"/>
    <s v="NULL"/>
    <n v="58"/>
    <x v="1237"/>
    <x v="6"/>
    <x v="3"/>
    <x v="3"/>
    <s v="NULL"/>
    <x v="1"/>
  </r>
  <r>
    <x v="2745"/>
    <x v="13"/>
    <s v="Singapore"/>
    <x v="5"/>
    <s v="NULL"/>
    <n v="0.1"/>
    <n v="134"/>
    <x v="1237"/>
    <x v="6"/>
    <x v="3"/>
    <x v="4"/>
    <n v="0"/>
    <x v="0"/>
  </r>
  <r>
    <x v="2772"/>
    <x v="14"/>
    <s v="United States"/>
    <x v="8"/>
    <s v="NULL"/>
    <s v="NULL"/>
    <n v="35"/>
    <x v="1237"/>
    <x v="6"/>
    <x v="3"/>
    <x v="3"/>
    <s v="NULL"/>
    <x v="1"/>
  </r>
  <r>
    <x v="2773"/>
    <x v="14"/>
    <s v="Nigeria"/>
    <x v="3"/>
    <s v="NULL"/>
    <s v="NULL"/>
    <n v="1"/>
    <x v="1237"/>
    <x v="6"/>
    <x v="3"/>
    <x v="0"/>
    <s v="NULL"/>
    <x v="1"/>
  </r>
  <r>
    <x v="2774"/>
    <x v="2"/>
    <s v="United States"/>
    <x v="7"/>
    <s v="NULL"/>
    <n v="0.2"/>
    <n v="140"/>
    <x v="1237"/>
    <x v="6"/>
    <x v="3"/>
    <x v="4"/>
    <n v="0"/>
    <x v="0"/>
  </r>
  <r>
    <x v="773"/>
    <x v="18"/>
    <s v="United States"/>
    <x v="4"/>
    <n v="1300"/>
    <n v="0.5"/>
    <n v="902"/>
    <x v="1238"/>
    <x v="6"/>
    <x v="3"/>
    <x v="4"/>
    <n v="0"/>
    <x v="0"/>
  </r>
  <r>
    <x v="238"/>
    <x v="18"/>
    <s v="United States"/>
    <x v="7"/>
    <n v="400"/>
    <n v="0.44"/>
    <n v="319"/>
    <x v="1238"/>
    <x v="6"/>
    <x v="3"/>
    <x v="4"/>
    <n v="0"/>
    <x v="0"/>
  </r>
  <r>
    <x v="2775"/>
    <x v="5"/>
    <s v="United States"/>
    <x v="0"/>
    <n v="340"/>
    <n v="0.53"/>
    <n v="438"/>
    <x v="1238"/>
    <x v="6"/>
    <x v="3"/>
    <x v="4"/>
    <n v="0"/>
    <x v="0"/>
  </r>
  <r>
    <x v="404"/>
    <x v="16"/>
    <s v="United States"/>
    <x v="0"/>
    <n v="236"/>
    <n v="7.0000000000000007E-2"/>
    <n v="319"/>
    <x v="1238"/>
    <x v="6"/>
    <x v="3"/>
    <x v="4"/>
    <n v="0"/>
    <x v="0"/>
  </r>
  <r>
    <x v="2776"/>
    <x v="10"/>
    <s v="United States"/>
    <x v="11"/>
    <n v="100"/>
    <n v="0.2"/>
    <n v="367"/>
    <x v="1238"/>
    <x v="6"/>
    <x v="3"/>
    <x v="4"/>
    <n v="0"/>
    <x v="0"/>
  </r>
  <r>
    <x v="2777"/>
    <x v="14"/>
    <s v="United States"/>
    <x v="3"/>
    <n v="94"/>
    <s v="NULL"/>
    <s v="NULL"/>
    <x v="1238"/>
    <x v="6"/>
    <x v="3"/>
    <x v="1"/>
    <s v="NULL"/>
    <x v="0"/>
  </r>
  <r>
    <x v="393"/>
    <x v="2"/>
    <s v="United States"/>
    <x v="7"/>
    <n v="87"/>
    <n v="0.15"/>
    <n v="85"/>
    <x v="1238"/>
    <x v="6"/>
    <x v="3"/>
    <x v="3"/>
    <n v="0"/>
    <x v="0"/>
  </r>
  <r>
    <x v="2778"/>
    <x v="5"/>
    <s v="United States"/>
    <x v="5"/>
    <n v="65"/>
    <s v="NULL"/>
    <n v="175"/>
    <x v="1238"/>
    <x v="6"/>
    <x v="3"/>
    <x v="4"/>
    <s v="NULL"/>
    <x v="0"/>
  </r>
  <r>
    <x v="779"/>
    <x v="2"/>
    <s v="United States"/>
    <x v="7"/>
    <n v="60"/>
    <n v="0.1"/>
    <n v="181"/>
    <x v="1238"/>
    <x v="6"/>
    <x v="3"/>
    <x v="4"/>
    <n v="0"/>
    <x v="0"/>
  </r>
  <r>
    <x v="1245"/>
    <x v="10"/>
    <s v="United States"/>
    <x v="9"/>
    <n v="53"/>
    <n v="0.08"/>
    <n v="607"/>
    <x v="1238"/>
    <x v="6"/>
    <x v="3"/>
    <x v="4"/>
    <n v="0"/>
    <x v="0"/>
  </r>
  <r>
    <x v="2779"/>
    <x v="4"/>
    <s v="United States"/>
    <x v="3"/>
    <n v="50"/>
    <n v="7.0000000000000007E-2"/>
    <n v="190"/>
    <x v="1238"/>
    <x v="6"/>
    <x v="3"/>
    <x v="4"/>
    <n v="0"/>
    <x v="0"/>
  </r>
  <r>
    <x v="2780"/>
    <x v="7"/>
    <s v="United States"/>
    <x v="3"/>
    <n v="46"/>
    <s v="NULL"/>
    <s v="NULL"/>
    <x v="1238"/>
    <x v="6"/>
    <x v="3"/>
    <x v="1"/>
    <s v="NULL"/>
    <x v="0"/>
  </r>
  <r>
    <x v="2781"/>
    <x v="14"/>
    <s v="United States"/>
    <x v="5"/>
    <n v="30"/>
    <s v="NULL"/>
    <n v="99"/>
    <x v="1238"/>
    <x v="6"/>
    <x v="3"/>
    <x v="3"/>
    <s v="NULL"/>
    <x v="0"/>
  </r>
  <r>
    <x v="2782"/>
    <x v="15"/>
    <s v="United States"/>
    <x v="8"/>
    <s v="NULL"/>
    <s v="NULL"/>
    <n v="15"/>
    <x v="1238"/>
    <x v="6"/>
    <x v="3"/>
    <x v="3"/>
    <s v="NULL"/>
    <x v="1"/>
  </r>
  <r>
    <x v="2783"/>
    <x v="10"/>
    <s v="United States"/>
    <x v="9"/>
    <s v="NULL"/>
    <s v="NULL"/>
    <n v="41"/>
    <x v="1238"/>
    <x v="6"/>
    <x v="3"/>
    <x v="3"/>
    <s v="NULL"/>
    <x v="1"/>
  </r>
  <r>
    <x v="2245"/>
    <x v="14"/>
    <s v="United States"/>
    <x v="11"/>
    <n v="100"/>
    <n v="0.33"/>
    <n v="293"/>
    <x v="1239"/>
    <x v="6"/>
    <x v="3"/>
    <x v="4"/>
    <n v="0"/>
    <x v="0"/>
  </r>
  <r>
    <x v="1759"/>
    <x v="10"/>
    <s v="Brazil"/>
    <x v="8"/>
    <n v="100"/>
    <n v="0.2"/>
    <n v="0.7"/>
    <x v="1239"/>
    <x v="6"/>
    <x v="3"/>
    <x v="0"/>
    <n v="0"/>
    <x v="0"/>
  </r>
  <r>
    <x v="2784"/>
    <x v="10"/>
    <s v="United States"/>
    <x v="2"/>
    <n v="77"/>
    <n v="0.2"/>
    <n v="75"/>
    <x v="1239"/>
    <x v="6"/>
    <x v="3"/>
    <x v="3"/>
    <n v="0"/>
    <x v="0"/>
  </r>
  <r>
    <x v="1611"/>
    <x v="14"/>
    <s v="Brazil"/>
    <x v="3"/>
    <n v="60"/>
    <n v="0.06"/>
    <s v="NULL"/>
    <x v="1239"/>
    <x v="6"/>
    <x v="3"/>
    <x v="1"/>
    <n v="0"/>
    <x v="0"/>
  </r>
  <r>
    <x v="2785"/>
    <x v="10"/>
    <s v="United States"/>
    <x v="1"/>
    <n v="26"/>
    <n v="0.1"/>
    <n v="28"/>
    <x v="1239"/>
    <x v="6"/>
    <x v="3"/>
    <x v="3"/>
    <n v="0"/>
    <x v="0"/>
  </r>
  <r>
    <x v="1386"/>
    <x v="15"/>
    <s v="United States"/>
    <x v="5"/>
    <n v="24"/>
    <n v="0.14000000000000001"/>
    <n v="92"/>
    <x v="1239"/>
    <x v="6"/>
    <x v="3"/>
    <x v="3"/>
    <n v="0"/>
    <x v="0"/>
  </r>
  <r>
    <x v="2786"/>
    <x v="11"/>
    <s v="Canada"/>
    <x v="2"/>
    <n v="23"/>
    <n v="0.32"/>
    <n v="21"/>
    <x v="1239"/>
    <x v="6"/>
    <x v="3"/>
    <x v="3"/>
    <n v="0"/>
    <x v="0"/>
  </r>
  <r>
    <x v="2787"/>
    <x v="14"/>
    <s v="Canada"/>
    <x v="2"/>
    <n v="15"/>
    <n v="0.2"/>
    <n v="72"/>
    <x v="1239"/>
    <x v="6"/>
    <x v="3"/>
    <x v="3"/>
    <n v="0"/>
    <x v="0"/>
  </r>
  <r>
    <x v="2788"/>
    <x v="7"/>
    <s v="United States"/>
    <x v="9"/>
    <n v="10"/>
    <n v="0.1"/>
    <n v="50"/>
    <x v="1239"/>
    <x v="6"/>
    <x v="3"/>
    <x v="3"/>
    <n v="0"/>
    <x v="0"/>
  </r>
  <r>
    <x v="2789"/>
    <x v="9"/>
    <s v="Canada"/>
    <x v="0"/>
    <s v="NULL"/>
    <s v="NULL"/>
    <n v="25"/>
    <x v="1239"/>
    <x v="6"/>
    <x v="3"/>
    <x v="3"/>
    <s v="NULL"/>
    <x v="1"/>
  </r>
  <r>
    <x v="472"/>
    <x v="13"/>
    <s v="United States"/>
    <x v="7"/>
    <s v="NULL"/>
    <s v="NULL"/>
    <n v="183"/>
    <x v="1239"/>
    <x v="6"/>
    <x v="3"/>
    <x v="4"/>
    <s v="NULL"/>
    <x v="1"/>
  </r>
  <r>
    <x v="1756"/>
    <x v="6"/>
    <s v="United States"/>
    <x v="5"/>
    <s v="NULL"/>
    <s v="NULL"/>
    <n v="227"/>
    <x v="1239"/>
    <x v="6"/>
    <x v="3"/>
    <x v="4"/>
    <s v="NULL"/>
    <x v="1"/>
  </r>
  <r>
    <x v="300"/>
    <x v="29"/>
    <s v="United States"/>
    <x v="3"/>
    <n v="40"/>
    <n v="0.25"/>
    <n v="100"/>
    <x v="1240"/>
    <x v="6"/>
    <x v="3"/>
    <x v="4"/>
    <n v="0"/>
    <x v="0"/>
  </r>
  <r>
    <x v="2790"/>
    <x v="1"/>
    <s v="Malaysia"/>
    <x v="3"/>
    <n v="50"/>
    <n v="0.12"/>
    <n v="348"/>
    <x v="1241"/>
    <x v="6"/>
    <x v="3"/>
    <x v="4"/>
    <n v="0"/>
    <x v="0"/>
  </r>
  <r>
    <x v="2791"/>
    <x v="25"/>
    <s v="Brazil"/>
    <x v="7"/>
    <n v="467"/>
    <n v="0.33"/>
    <n v="300"/>
    <x v="1242"/>
    <x v="6"/>
    <x v="3"/>
    <x v="4"/>
    <n v="0"/>
    <x v="0"/>
  </r>
  <r>
    <x v="916"/>
    <x v="10"/>
    <s v="United States"/>
    <x v="7"/>
    <n v="300"/>
    <n v="0.5"/>
    <n v="162"/>
    <x v="1242"/>
    <x v="6"/>
    <x v="3"/>
    <x v="4"/>
    <n v="0"/>
    <x v="0"/>
  </r>
  <r>
    <x v="1079"/>
    <x v="13"/>
    <s v="Brazil"/>
    <x v="3"/>
    <n v="167"/>
    <n v="0.42"/>
    <s v="NULL"/>
    <x v="1242"/>
    <x v="6"/>
    <x v="3"/>
    <x v="1"/>
    <n v="0"/>
    <x v="0"/>
  </r>
  <r>
    <x v="2792"/>
    <x v="2"/>
    <s v="United States"/>
    <x v="11"/>
    <n v="147"/>
    <n v="0.37"/>
    <n v="297"/>
    <x v="1242"/>
    <x v="6"/>
    <x v="3"/>
    <x v="4"/>
    <n v="0"/>
    <x v="0"/>
  </r>
  <r>
    <x v="1536"/>
    <x v="11"/>
    <s v="United States"/>
    <x v="3"/>
    <n v="140"/>
    <s v="NULL"/>
    <n v="225"/>
    <x v="1242"/>
    <x v="6"/>
    <x v="3"/>
    <x v="4"/>
    <s v="NULL"/>
    <x v="0"/>
  </r>
  <r>
    <x v="2746"/>
    <x v="11"/>
    <s v="United States"/>
    <x v="2"/>
    <n v="120"/>
    <s v="NULL"/>
    <n v="955"/>
    <x v="1242"/>
    <x v="6"/>
    <x v="3"/>
    <x v="4"/>
    <s v="NULL"/>
    <x v="0"/>
  </r>
  <r>
    <x v="2793"/>
    <x v="13"/>
    <s v="Indonesia"/>
    <x v="3"/>
    <n v="100"/>
    <n v="0.1"/>
    <s v="NULL"/>
    <x v="1242"/>
    <x v="6"/>
    <x v="3"/>
    <x v="1"/>
    <n v="0"/>
    <x v="0"/>
  </r>
  <r>
    <x v="2794"/>
    <x v="23"/>
    <s v="United States"/>
    <x v="2"/>
    <n v="75"/>
    <n v="7.0000000000000007E-2"/>
    <n v="35"/>
    <x v="1242"/>
    <x v="6"/>
    <x v="3"/>
    <x v="3"/>
    <n v="0"/>
    <x v="0"/>
  </r>
  <r>
    <x v="989"/>
    <x v="2"/>
    <s v="United States"/>
    <x v="7"/>
    <n v="60"/>
    <n v="0.13"/>
    <n v="97"/>
    <x v="1242"/>
    <x v="6"/>
    <x v="3"/>
    <x v="3"/>
    <n v="0"/>
    <x v="0"/>
  </r>
  <r>
    <x v="2795"/>
    <x v="14"/>
    <s v="United States"/>
    <x v="2"/>
    <n v="35"/>
    <n v="0.4"/>
    <n v="40"/>
    <x v="1242"/>
    <x v="6"/>
    <x v="3"/>
    <x v="3"/>
    <n v="0"/>
    <x v="0"/>
  </r>
  <r>
    <x v="921"/>
    <x v="24"/>
    <s v="United States"/>
    <x v="7"/>
    <n v="34"/>
    <n v="0.13"/>
    <n v="247"/>
    <x v="1242"/>
    <x v="6"/>
    <x v="3"/>
    <x v="4"/>
    <n v="0"/>
    <x v="0"/>
  </r>
  <r>
    <x v="1632"/>
    <x v="4"/>
    <s v="United States"/>
    <x v="11"/>
    <n v="24"/>
    <n v="0.08"/>
    <n v="80"/>
    <x v="1242"/>
    <x v="6"/>
    <x v="3"/>
    <x v="3"/>
    <n v="0"/>
    <x v="0"/>
  </r>
  <r>
    <x v="1632"/>
    <x v="4"/>
    <s v="United States"/>
    <x v="11"/>
    <n v="19"/>
    <s v="NULL"/>
    <n v="80"/>
    <x v="1242"/>
    <x v="6"/>
    <x v="3"/>
    <x v="3"/>
    <s v="NULL"/>
    <x v="0"/>
  </r>
  <r>
    <x v="2796"/>
    <x v="5"/>
    <s v="Canada"/>
    <x v="8"/>
    <n v="18"/>
    <n v="0.25"/>
    <n v="24"/>
    <x v="1242"/>
    <x v="6"/>
    <x v="3"/>
    <x v="3"/>
    <n v="0"/>
    <x v="0"/>
  </r>
  <r>
    <x v="2797"/>
    <x v="5"/>
    <s v="United States"/>
    <x v="8"/>
    <n v="17"/>
    <s v="NULL"/>
    <n v="14"/>
    <x v="1242"/>
    <x v="6"/>
    <x v="3"/>
    <x v="3"/>
    <s v="NULL"/>
    <x v="0"/>
  </r>
  <r>
    <x v="2798"/>
    <x v="4"/>
    <s v="United States"/>
    <x v="3"/>
    <n v="14"/>
    <n v="0.05"/>
    <s v="NULL"/>
    <x v="1242"/>
    <x v="6"/>
    <x v="3"/>
    <x v="1"/>
    <n v="0"/>
    <x v="0"/>
  </r>
  <r>
    <x v="2799"/>
    <x v="2"/>
    <s v="United States"/>
    <x v="8"/>
    <n v="12"/>
    <s v="NULL"/>
    <n v="4"/>
    <x v="1242"/>
    <x v="6"/>
    <x v="3"/>
    <x v="0"/>
    <s v="NULL"/>
    <x v="0"/>
  </r>
  <r>
    <x v="2800"/>
    <x v="13"/>
    <s v="United States"/>
    <x v="3"/>
    <n v="10"/>
    <n v="0.25"/>
    <s v="NULL"/>
    <x v="1242"/>
    <x v="6"/>
    <x v="3"/>
    <x v="1"/>
    <n v="0"/>
    <x v="0"/>
  </r>
  <r>
    <x v="2801"/>
    <x v="4"/>
    <s v="United States"/>
    <x v="3"/>
    <n v="5"/>
    <n v="0.2"/>
    <s v="NULL"/>
    <x v="1242"/>
    <x v="6"/>
    <x v="3"/>
    <x v="1"/>
    <n v="0"/>
    <x v="0"/>
  </r>
  <r>
    <x v="2802"/>
    <x v="6"/>
    <s v="United States"/>
    <x v="8"/>
    <s v="NULL"/>
    <s v="NULL"/>
    <n v="16"/>
    <x v="1242"/>
    <x v="6"/>
    <x v="3"/>
    <x v="3"/>
    <s v="NULL"/>
    <x v="1"/>
  </r>
  <r>
    <x v="2803"/>
    <x v="7"/>
    <s v="United States"/>
    <x v="2"/>
    <s v="NULL"/>
    <s v="NULL"/>
    <n v="64"/>
    <x v="1242"/>
    <x v="6"/>
    <x v="3"/>
    <x v="3"/>
    <s v="NULL"/>
    <x v="1"/>
  </r>
  <r>
    <x v="2804"/>
    <x v="13"/>
    <s v="Czech Republic"/>
    <x v="2"/>
    <s v="NULL"/>
    <s v="NULL"/>
    <n v="41"/>
    <x v="1242"/>
    <x v="6"/>
    <x v="3"/>
    <x v="3"/>
    <s v="NULL"/>
    <x v="1"/>
  </r>
  <r>
    <x v="2805"/>
    <x v="7"/>
    <s v="United States"/>
    <x v="8"/>
    <s v="NULL"/>
    <s v="NULL"/>
    <n v="7"/>
    <x v="1242"/>
    <x v="6"/>
    <x v="3"/>
    <x v="0"/>
    <s v="NULL"/>
    <x v="1"/>
  </r>
  <r>
    <x v="2806"/>
    <x v="8"/>
    <s v="United States"/>
    <x v="2"/>
    <s v="NULL"/>
    <s v="NULL"/>
    <n v="28"/>
    <x v="1242"/>
    <x v="6"/>
    <x v="3"/>
    <x v="3"/>
    <s v="NULL"/>
    <x v="1"/>
  </r>
  <r>
    <x v="2157"/>
    <x v="16"/>
    <s v="United States"/>
    <x v="5"/>
    <s v="NULL"/>
    <n v="0.5"/>
    <n v="117"/>
    <x v="1242"/>
    <x v="6"/>
    <x v="3"/>
    <x v="4"/>
    <n v="0"/>
    <x v="0"/>
  </r>
  <r>
    <x v="2046"/>
    <x v="25"/>
    <s v="United States"/>
    <x v="0"/>
    <n v="700"/>
    <n v="0.35"/>
    <n v="114"/>
    <x v="1243"/>
    <x v="6"/>
    <x v="3"/>
    <x v="4"/>
    <n v="0"/>
    <x v="0"/>
  </r>
  <r>
    <x v="2515"/>
    <x v="30"/>
    <s v="United States"/>
    <x v="7"/>
    <n v="240"/>
    <n v="0.03"/>
    <n v="1200"/>
    <x v="1243"/>
    <x v="6"/>
    <x v="3"/>
    <x v="2"/>
    <n v="0"/>
    <x v="0"/>
  </r>
  <r>
    <x v="1271"/>
    <x v="18"/>
    <s v="Canada"/>
    <x v="5"/>
    <n v="196"/>
    <n v="0.54"/>
    <n v="112"/>
    <x v="1243"/>
    <x v="6"/>
    <x v="3"/>
    <x v="4"/>
    <n v="0"/>
    <x v="0"/>
  </r>
  <r>
    <x v="2807"/>
    <x v="25"/>
    <s v="United States"/>
    <x v="11"/>
    <n v="154"/>
    <n v="0.22"/>
    <n v="549"/>
    <x v="1243"/>
    <x v="6"/>
    <x v="3"/>
    <x v="4"/>
    <n v="0"/>
    <x v="0"/>
  </r>
  <r>
    <x v="2808"/>
    <x v="25"/>
    <s v="Germany"/>
    <x v="7"/>
    <n v="100"/>
    <n v="0.25"/>
    <n v="109"/>
    <x v="1243"/>
    <x v="6"/>
    <x v="3"/>
    <x v="4"/>
    <n v="0"/>
    <x v="0"/>
  </r>
  <r>
    <x v="772"/>
    <x v="11"/>
    <s v="Sweden"/>
    <x v="2"/>
    <n v="100"/>
    <s v="NULL"/>
    <n v="167"/>
    <x v="1243"/>
    <x v="6"/>
    <x v="3"/>
    <x v="4"/>
    <s v="NULL"/>
    <x v="0"/>
  </r>
  <r>
    <x v="2809"/>
    <x v="16"/>
    <s v="United States"/>
    <x v="7"/>
    <n v="90"/>
    <n v="0.2"/>
    <n v="222"/>
    <x v="1243"/>
    <x v="6"/>
    <x v="3"/>
    <x v="4"/>
    <n v="0"/>
    <x v="0"/>
  </r>
  <r>
    <x v="2810"/>
    <x v="2"/>
    <s v="United States"/>
    <x v="7"/>
    <n v="70"/>
    <n v="0.17"/>
    <n v="253"/>
    <x v="1243"/>
    <x v="6"/>
    <x v="3"/>
    <x v="4"/>
    <n v="0"/>
    <x v="0"/>
  </r>
  <r>
    <x v="2811"/>
    <x v="2"/>
    <s v="United States"/>
    <x v="2"/>
    <n v="65"/>
    <n v="0.3"/>
    <n v="68"/>
    <x v="1243"/>
    <x v="6"/>
    <x v="3"/>
    <x v="3"/>
    <n v="0"/>
    <x v="0"/>
  </r>
  <r>
    <x v="1228"/>
    <x v="3"/>
    <s v="United States"/>
    <x v="2"/>
    <n v="60"/>
    <s v="NULL"/>
    <n v="152"/>
    <x v="1243"/>
    <x v="6"/>
    <x v="3"/>
    <x v="4"/>
    <s v="NULL"/>
    <x v="0"/>
  </r>
  <r>
    <x v="2228"/>
    <x v="7"/>
    <s v="United States"/>
    <x v="1"/>
    <n v="59"/>
    <n v="0.25"/>
    <n v="65"/>
    <x v="1243"/>
    <x v="6"/>
    <x v="3"/>
    <x v="3"/>
    <n v="0"/>
    <x v="0"/>
  </r>
  <r>
    <x v="2812"/>
    <x v="11"/>
    <s v="India"/>
    <x v="5"/>
    <n v="40"/>
    <s v="NULL"/>
    <n v="122"/>
    <x v="1243"/>
    <x v="6"/>
    <x v="3"/>
    <x v="4"/>
    <s v="NULL"/>
    <x v="0"/>
  </r>
  <r>
    <x v="2813"/>
    <x v="8"/>
    <s v="United States"/>
    <x v="9"/>
    <n v="39"/>
    <n v="0.2"/>
    <n v="118"/>
    <x v="1243"/>
    <x v="6"/>
    <x v="3"/>
    <x v="4"/>
    <n v="0"/>
    <x v="0"/>
  </r>
  <r>
    <x v="1475"/>
    <x v="10"/>
    <s v="United States"/>
    <x v="5"/>
    <n v="35"/>
    <s v="NULL"/>
    <n v="102"/>
    <x v="1243"/>
    <x v="6"/>
    <x v="3"/>
    <x v="4"/>
    <s v="NULL"/>
    <x v="0"/>
  </r>
  <r>
    <x v="2814"/>
    <x v="7"/>
    <s v="United States"/>
    <x v="11"/>
    <n v="35"/>
    <n v="0.19"/>
    <n v="114"/>
    <x v="1243"/>
    <x v="6"/>
    <x v="3"/>
    <x v="4"/>
    <n v="0"/>
    <x v="0"/>
  </r>
  <r>
    <x v="2815"/>
    <x v="4"/>
    <s v="United States"/>
    <x v="7"/>
    <n v="30"/>
    <s v="NULL"/>
    <n v="50"/>
    <x v="1243"/>
    <x v="6"/>
    <x v="3"/>
    <x v="3"/>
    <s v="NULL"/>
    <x v="0"/>
  </r>
  <r>
    <x v="2816"/>
    <x v="24"/>
    <s v="United States"/>
    <x v="3"/>
    <n v="30"/>
    <n v="0.15"/>
    <n v="151"/>
    <x v="1243"/>
    <x v="6"/>
    <x v="3"/>
    <x v="4"/>
    <n v="0"/>
    <x v="0"/>
  </r>
  <r>
    <x v="2817"/>
    <x v="7"/>
    <s v="United States"/>
    <x v="2"/>
    <n v="26"/>
    <s v="NULL"/>
    <n v="40"/>
    <x v="1243"/>
    <x v="6"/>
    <x v="3"/>
    <x v="3"/>
    <s v="NULL"/>
    <x v="0"/>
  </r>
  <r>
    <x v="315"/>
    <x v="10"/>
    <s v="United States"/>
    <x v="2"/>
    <n v="23"/>
    <n v="7.0000000000000007E-2"/>
    <n v="16"/>
    <x v="1243"/>
    <x v="6"/>
    <x v="3"/>
    <x v="3"/>
    <n v="0"/>
    <x v="0"/>
  </r>
  <r>
    <x v="2818"/>
    <x v="21"/>
    <s v="United States"/>
    <x v="3"/>
    <n v="7"/>
    <n v="7.0000000000000007E-2"/>
    <n v="2"/>
    <x v="1243"/>
    <x v="6"/>
    <x v="3"/>
    <x v="0"/>
    <n v="0"/>
    <x v="0"/>
  </r>
  <r>
    <x v="2819"/>
    <x v="14"/>
    <s v="India"/>
    <x v="3"/>
    <n v="6"/>
    <n v="0.06"/>
    <n v="8"/>
    <x v="1243"/>
    <x v="6"/>
    <x v="3"/>
    <x v="0"/>
    <n v="0"/>
    <x v="0"/>
  </r>
  <r>
    <x v="2820"/>
    <x v="18"/>
    <s v="United States"/>
    <x v="8"/>
    <n v="5"/>
    <n v="7.0000000000000007E-2"/>
    <n v="6"/>
    <x v="1243"/>
    <x v="6"/>
    <x v="3"/>
    <x v="0"/>
    <n v="0"/>
    <x v="0"/>
  </r>
  <r>
    <x v="2821"/>
    <x v="16"/>
    <s v="United States"/>
    <x v="3"/>
    <s v="NULL"/>
    <n v="0.5"/>
    <s v="NULL"/>
    <x v="1243"/>
    <x v="6"/>
    <x v="3"/>
    <x v="1"/>
    <n v="0"/>
    <x v="0"/>
  </r>
  <r>
    <x v="2822"/>
    <x v="2"/>
    <s v="India"/>
    <x v="9"/>
    <s v="NULL"/>
    <s v="NULL"/>
    <n v="102"/>
    <x v="1243"/>
    <x v="6"/>
    <x v="3"/>
    <x v="4"/>
    <s v="NULL"/>
    <x v="1"/>
  </r>
  <r>
    <x v="2343"/>
    <x v="2"/>
    <s v="United States"/>
    <x v="5"/>
    <s v="NULL"/>
    <s v="NULL"/>
    <n v="70"/>
    <x v="1243"/>
    <x v="6"/>
    <x v="3"/>
    <x v="3"/>
    <s v="NULL"/>
    <x v="1"/>
  </r>
  <r>
    <x v="2823"/>
    <x v="2"/>
    <s v="United Arab Emirates"/>
    <x v="3"/>
    <s v="NULL"/>
    <n v="1"/>
    <s v="NULL"/>
    <x v="1243"/>
    <x v="6"/>
    <x v="3"/>
    <x v="1"/>
    <n v="1"/>
    <x v="0"/>
  </r>
  <r>
    <x v="1898"/>
    <x v="0"/>
    <s v="United States"/>
    <x v="3"/>
    <s v="NULL"/>
    <s v="NULL"/>
    <s v="NULL"/>
    <x v="1243"/>
    <x v="6"/>
    <x v="3"/>
    <x v="1"/>
    <s v="NULL"/>
    <x v="1"/>
  </r>
  <r>
    <x v="2824"/>
    <x v="1"/>
    <s v="United States"/>
    <x v="2"/>
    <n v="200"/>
    <s v="NULL"/>
    <n v="48"/>
    <x v="1244"/>
    <x v="6"/>
    <x v="3"/>
    <x v="3"/>
    <s v="NULL"/>
    <x v="0"/>
  </r>
  <r>
    <x v="2825"/>
    <x v="13"/>
    <s v="Myanmar"/>
    <x v="3"/>
    <n v="200"/>
    <n v="0.33"/>
    <s v="NULL"/>
    <x v="1244"/>
    <x v="6"/>
    <x v="3"/>
    <x v="1"/>
    <n v="0"/>
    <x v="0"/>
  </r>
  <r>
    <x v="2826"/>
    <x v="5"/>
    <s v="United States"/>
    <x v="2"/>
    <n v="100"/>
    <n v="0.2"/>
    <n v="75"/>
    <x v="1244"/>
    <x v="6"/>
    <x v="3"/>
    <x v="3"/>
    <n v="0"/>
    <x v="0"/>
  </r>
  <r>
    <x v="701"/>
    <x v="10"/>
    <s v="United States"/>
    <x v="7"/>
    <n v="52"/>
    <n v="0.12"/>
    <n v="159"/>
    <x v="1244"/>
    <x v="6"/>
    <x v="3"/>
    <x v="4"/>
    <n v="0"/>
    <x v="0"/>
  </r>
  <r>
    <x v="1241"/>
    <x v="4"/>
    <s v="Germany"/>
    <x v="8"/>
    <n v="51"/>
    <n v="0.25"/>
    <n v="8.5"/>
    <x v="1244"/>
    <x v="6"/>
    <x v="3"/>
    <x v="0"/>
    <n v="0"/>
    <x v="0"/>
  </r>
  <r>
    <x v="2827"/>
    <x v="14"/>
    <s v="United States"/>
    <x v="5"/>
    <n v="50"/>
    <n v="0.2"/>
    <n v="190"/>
    <x v="1244"/>
    <x v="6"/>
    <x v="3"/>
    <x v="4"/>
    <n v="0"/>
    <x v="0"/>
  </r>
  <r>
    <x v="2828"/>
    <x v="8"/>
    <s v="United States"/>
    <x v="5"/>
    <n v="46"/>
    <n v="0.13"/>
    <n v="52"/>
    <x v="1244"/>
    <x v="6"/>
    <x v="3"/>
    <x v="3"/>
    <n v="0"/>
    <x v="0"/>
  </r>
  <r>
    <x v="109"/>
    <x v="14"/>
    <s v="India"/>
    <x v="3"/>
    <n v="45"/>
    <n v="0.09"/>
    <n v="143"/>
    <x v="1244"/>
    <x v="6"/>
    <x v="3"/>
    <x v="4"/>
    <n v="0"/>
    <x v="0"/>
  </r>
  <r>
    <x v="2829"/>
    <x v="11"/>
    <s v="United States"/>
    <x v="3"/>
    <n v="28"/>
    <n v="0.37"/>
    <s v="NULL"/>
    <x v="1244"/>
    <x v="6"/>
    <x v="3"/>
    <x v="1"/>
    <n v="0"/>
    <x v="0"/>
  </r>
  <r>
    <x v="234"/>
    <x v="3"/>
    <s v="Israel"/>
    <x v="5"/>
    <n v="24"/>
    <n v="0.09"/>
    <n v="100"/>
    <x v="1244"/>
    <x v="6"/>
    <x v="3"/>
    <x v="4"/>
    <n v="0"/>
    <x v="0"/>
  </r>
  <r>
    <x v="2830"/>
    <x v="10"/>
    <s v="United States"/>
    <x v="8"/>
    <n v="20"/>
    <n v="0.2"/>
    <n v="16"/>
    <x v="1244"/>
    <x v="6"/>
    <x v="3"/>
    <x v="3"/>
    <n v="0"/>
    <x v="0"/>
  </r>
  <r>
    <x v="2831"/>
    <x v="13"/>
    <s v="United States"/>
    <x v="8"/>
    <n v="18"/>
    <s v="NULL"/>
    <n v="11"/>
    <x v="1244"/>
    <x v="6"/>
    <x v="3"/>
    <x v="3"/>
    <s v="NULL"/>
    <x v="0"/>
  </r>
  <r>
    <x v="2832"/>
    <x v="14"/>
    <s v="Canada"/>
    <x v="2"/>
    <n v="17"/>
    <n v="0.2"/>
    <n v="50"/>
    <x v="1244"/>
    <x v="6"/>
    <x v="3"/>
    <x v="3"/>
    <n v="0"/>
    <x v="0"/>
  </r>
  <r>
    <x v="2833"/>
    <x v="10"/>
    <s v="United States"/>
    <x v="5"/>
    <n v="15"/>
    <n v="0.25"/>
    <n v="46"/>
    <x v="1244"/>
    <x v="6"/>
    <x v="3"/>
    <x v="3"/>
    <n v="0"/>
    <x v="0"/>
  </r>
  <r>
    <x v="2834"/>
    <x v="5"/>
    <s v="United States"/>
    <x v="8"/>
    <n v="9"/>
    <n v="0.4"/>
    <n v="15"/>
    <x v="1244"/>
    <x v="6"/>
    <x v="3"/>
    <x v="3"/>
    <n v="0"/>
    <x v="0"/>
  </r>
  <r>
    <x v="2835"/>
    <x v="14"/>
    <s v="United States"/>
    <x v="3"/>
    <s v="NULL"/>
    <s v="NULL"/>
    <s v="NULL"/>
    <x v="1244"/>
    <x v="6"/>
    <x v="3"/>
    <x v="1"/>
    <s v="NULL"/>
    <x v="1"/>
  </r>
  <r>
    <x v="2836"/>
    <x v="2"/>
    <s v="United States"/>
    <x v="7"/>
    <s v="NULL"/>
    <s v="NULL"/>
    <n v="197"/>
    <x v="1244"/>
    <x v="6"/>
    <x v="3"/>
    <x v="4"/>
    <s v="NULL"/>
    <x v="1"/>
  </r>
  <r>
    <x v="2837"/>
    <x v="2"/>
    <s v="United States"/>
    <x v="5"/>
    <s v="NULL"/>
    <n v="0.5"/>
    <n v="62"/>
    <x v="1244"/>
    <x v="6"/>
    <x v="3"/>
    <x v="3"/>
    <n v="0"/>
    <x v="0"/>
  </r>
  <r>
    <x v="2838"/>
    <x v="30"/>
    <s v="United States"/>
    <x v="5"/>
    <s v="NULL"/>
    <s v="NULL"/>
    <n v="46"/>
    <x v="1244"/>
    <x v="6"/>
    <x v="3"/>
    <x v="3"/>
    <s v="NULL"/>
    <x v="1"/>
  </r>
  <r>
    <x v="2839"/>
    <x v="10"/>
    <s v="United States"/>
    <x v="5"/>
    <s v="NULL"/>
    <n v="0.6"/>
    <n v="81"/>
    <x v="1244"/>
    <x v="6"/>
    <x v="3"/>
    <x v="3"/>
    <n v="0"/>
    <x v="0"/>
  </r>
  <r>
    <x v="2840"/>
    <x v="13"/>
    <s v="United States"/>
    <x v="2"/>
    <s v="NULL"/>
    <n v="0.5"/>
    <n v="33"/>
    <x v="1244"/>
    <x v="6"/>
    <x v="3"/>
    <x v="3"/>
    <n v="0"/>
    <x v="0"/>
  </r>
  <r>
    <x v="2841"/>
    <x v="23"/>
    <s v="United States"/>
    <x v="7"/>
    <n v="349"/>
    <n v="0.18"/>
    <n v="227"/>
    <x v="1245"/>
    <x v="6"/>
    <x v="4"/>
    <x v="4"/>
    <n v="0"/>
    <x v="0"/>
  </r>
  <r>
    <x v="2842"/>
    <x v="10"/>
    <s v="United States"/>
    <x v="5"/>
    <n v="210"/>
    <n v="0.3"/>
    <n v="89"/>
    <x v="1245"/>
    <x v="6"/>
    <x v="4"/>
    <x v="3"/>
    <n v="0"/>
    <x v="0"/>
  </r>
  <r>
    <x v="2843"/>
    <x v="1"/>
    <s v="United States"/>
    <x v="12"/>
    <n v="194"/>
    <n v="0.41"/>
    <n v="310"/>
    <x v="1245"/>
    <x v="6"/>
    <x v="4"/>
    <x v="4"/>
    <n v="0"/>
    <x v="0"/>
  </r>
  <r>
    <x v="357"/>
    <x v="11"/>
    <s v="United States"/>
    <x v="11"/>
    <n v="108"/>
    <n v="0.3"/>
    <n v="467"/>
    <x v="1245"/>
    <x v="6"/>
    <x v="4"/>
    <x v="4"/>
    <n v="0"/>
    <x v="0"/>
  </r>
  <r>
    <x v="2844"/>
    <x v="23"/>
    <s v="United States"/>
    <x v="7"/>
    <n v="65"/>
    <n v="0.37"/>
    <n v="69"/>
    <x v="1245"/>
    <x v="6"/>
    <x v="4"/>
    <x v="3"/>
    <n v="0"/>
    <x v="0"/>
  </r>
  <r>
    <x v="2845"/>
    <x v="16"/>
    <s v="United States"/>
    <x v="1"/>
    <n v="50"/>
    <n v="0.25"/>
    <s v="NULL"/>
    <x v="1245"/>
    <x v="6"/>
    <x v="4"/>
    <x v="1"/>
    <n v="0"/>
    <x v="0"/>
  </r>
  <r>
    <x v="2846"/>
    <x v="10"/>
    <s v="United States"/>
    <x v="3"/>
    <n v="40"/>
    <s v="NULL"/>
    <n v="55"/>
    <x v="1245"/>
    <x v="6"/>
    <x v="4"/>
    <x v="3"/>
    <s v="NULL"/>
    <x v="0"/>
  </r>
  <r>
    <x v="2847"/>
    <x v="8"/>
    <s v="United States"/>
    <x v="2"/>
    <n v="20"/>
    <s v="NULL"/>
    <n v="26"/>
    <x v="1245"/>
    <x v="6"/>
    <x v="4"/>
    <x v="3"/>
    <s v="NULL"/>
    <x v="0"/>
  </r>
  <r>
    <x v="2848"/>
    <x v="25"/>
    <s v="United States"/>
    <x v="5"/>
    <n v="17"/>
    <n v="0.04"/>
    <n v="91"/>
    <x v="1245"/>
    <x v="6"/>
    <x v="4"/>
    <x v="3"/>
    <n v="0"/>
    <x v="0"/>
  </r>
  <r>
    <x v="2849"/>
    <x v="10"/>
    <s v="United States"/>
    <x v="2"/>
    <n v="5"/>
    <n v="0.14000000000000001"/>
    <n v="26"/>
    <x v="1245"/>
    <x v="6"/>
    <x v="4"/>
    <x v="3"/>
    <n v="0"/>
    <x v="0"/>
  </r>
  <r>
    <x v="2850"/>
    <x v="13"/>
    <s v="United States"/>
    <x v="5"/>
    <s v="NULL"/>
    <s v="NULL"/>
    <n v="67"/>
    <x v="1245"/>
    <x v="6"/>
    <x v="4"/>
    <x v="3"/>
    <s v="NULL"/>
    <x v="1"/>
  </r>
  <r>
    <x v="2851"/>
    <x v="10"/>
    <s v="United States"/>
    <x v="6"/>
    <s v="NULL"/>
    <s v="NULL"/>
    <n v="4"/>
    <x v="1245"/>
    <x v="6"/>
    <x v="4"/>
    <x v="0"/>
    <s v="NULL"/>
    <x v="1"/>
  </r>
  <r>
    <x v="2534"/>
    <x v="13"/>
    <s v="United States"/>
    <x v="2"/>
    <s v="NULL"/>
    <n v="0.3"/>
    <n v="116"/>
    <x v="1245"/>
    <x v="6"/>
    <x v="4"/>
    <x v="4"/>
    <n v="0"/>
    <x v="0"/>
  </r>
  <r>
    <x v="2852"/>
    <x v="7"/>
    <s v="United States"/>
    <x v="8"/>
    <s v="NULL"/>
    <n v="0.35"/>
    <n v="8"/>
    <x v="1245"/>
    <x v="6"/>
    <x v="4"/>
    <x v="0"/>
    <n v="0"/>
    <x v="0"/>
  </r>
  <r>
    <x v="2853"/>
    <x v="14"/>
    <s v="United States"/>
    <x v="3"/>
    <s v="NULL"/>
    <s v="NULL"/>
    <s v="NULL"/>
    <x v="1245"/>
    <x v="6"/>
    <x v="4"/>
    <x v="1"/>
    <s v="NULL"/>
    <x v="1"/>
  </r>
  <r>
    <x v="2854"/>
    <x v="24"/>
    <s v="United States"/>
    <x v="11"/>
    <s v="NULL"/>
    <s v="NULL"/>
    <n v="130"/>
    <x v="1245"/>
    <x v="6"/>
    <x v="4"/>
    <x v="4"/>
    <s v="NULL"/>
    <x v="1"/>
  </r>
  <r>
    <x v="1832"/>
    <x v="1"/>
    <s v="United States"/>
    <x v="4"/>
    <n v="250"/>
    <n v="0.3"/>
    <n v="423"/>
    <x v="1246"/>
    <x v="6"/>
    <x v="4"/>
    <x v="4"/>
    <n v="0"/>
    <x v="0"/>
  </r>
  <r>
    <x v="2855"/>
    <x v="26"/>
    <s v="United States"/>
    <x v="7"/>
    <n v="120"/>
    <n v="0.25"/>
    <n v="423"/>
    <x v="1246"/>
    <x v="6"/>
    <x v="4"/>
    <x v="4"/>
    <n v="0"/>
    <x v="0"/>
  </r>
  <r>
    <x v="2856"/>
    <x v="13"/>
    <s v="India"/>
    <x v="2"/>
    <n v="80"/>
    <n v="0.2"/>
    <n v="48"/>
    <x v="1246"/>
    <x v="6"/>
    <x v="4"/>
    <x v="3"/>
    <n v="0"/>
    <x v="0"/>
  </r>
  <r>
    <x v="2857"/>
    <x v="7"/>
    <s v="Israel"/>
    <x v="8"/>
    <n v="70"/>
    <n v="0.3"/>
    <n v="45"/>
    <x v="1246"/>
    <x v="6"/>
    <x v="4"/>
    <x v="3"/>
    <n v="0"/>
    <x v="0"/>
  </r>
  <r>
    <x v="1557"/>
    <x v="14"/>
    <s v="United States"/>
    <x v="5"/>
    <n v="51"/>
    <n v="0.3"/>
    <n v="110"/>
    <x v="1246"/>
    <x v="6"/>
    <x v="4"/>
    <x v="4"/>
    <n v="0"/>
    <x v="0"/>
  </r>
  <r>
    <x v="2858"/>
    <x v="4"/>
    <s v="United States"/>
    <x v="0"/>
    <n v="31"/>
    <n v="0.09"/>
    <n v="77"/>
    <x v="1246"/>
    <x v="6"/>
    <x v="4"/>
    <x v="3"/>
    <n v="0"/>
    <x v="0"/>
  </r>
  <r>
    <x v="2859"/>
    <x v="23"/>
    <s v="United States"/>
    <x v="3"/>
    <n v="30"/>
    <n v="0.1"/>
    <s v="NULL"/>
    <x v="1246"/>
    <x v="6"/>
    <x v="4"/>
    <x v="1"/>
    <n v="0"/>
    <x v="0"/>
  </r>
  <r>
    <x v="2860"/>
    <x v="0"/>
    <s v="United States"/>
    <x v="11"/>
    <n v="30"/>
    <s v="NULL"/>
    <n v="110"/>
    <x v="1246"/>
    <x v="6"/>
    <x v="4"/>
    <x v="4"/>
    <s v="NULL"/>
    <x v="0"/>
  </r>
  <r>
    <x v="2861"/>
    <x v="11"/>
    <s v="Estonia"/>
    <x v="8"/>
    <n v="30"/>
    <s v="NULL"/>
    <n v="82"/>
    <x v="1246"/>
    <x v="6"/>
    <x v="4"/>
    <x v="3"/>
    <s v="NULL"/>
    <x v="0"/>
  </r>
  <r>
    <x v="2862"/>
    <x v="16"/>
    <s v="United States"/>
    <x v="8"/>
    <n v="25"/>
    <n v="0.75"/>
    <n v="18"/>
    <x v="1246"/>
    <x v="6"/>
    <x v="4"/>
    <x v="3"/>
    <n v="0"/>
    <x v="0"/>
  </r>
  <r>
    <x v="1146"/>
    <x v="2"/>
    <s v="United States"/>
    <x v="8"/>
    <n v="20"/>
    <s v="NULL"/>
    <n v="75"/>
    <x v="1246"/>
    <x v="6"/>
    <x v="4"/>
    <x v="3"/>
    <s v="NULL"/>
    <x v="0"/>
  </r>
  <r>
    <x v="2863"/>
    <x v="18"/>
    <s v="United States"/>
    <x v="6"/>
    <n v="9"/>
    <n v="0.5"/>
    <n v="15"/>
    <x v="1246"/>
    <x v="6"/>
    <x v="4"/>
    <x v="3"/>
    <n v="0"/>
    <x v="0"/>
  </r>
  <r>
    <x v="2864"/>
    <x v="2"/>
    <s v="United States"/>
    <x v="5"/>
    <s v="NULL"/>
    <s v="NULL"/>
    <n v="31"/>
    <x v="1246"/>
    <x v="6"/>
    <x v="4"/>
    <x v="3"/>
    <s v="NULL"/>
    <x v="1"/>
  </r>
  <r>
    <x v="270"/>
    <x v="8"/>
    <s v="United States"/>
    <x v="2"/>
    <n v="400"/>
    <n v="0.39"/>
    <n v="219"/>
    <x v="1247"/>
    <x v="6"/>
    <x v="4"/>
    <x v="4"/>
    <n v="0"/>
    <x v="0"/>
  </r>
  <r>
    <x v="2865"/>
    <x v="10"/>
    <s v="United States"/>
    <x v="2"/>
    <n v="17"/>
    <n v="1"/>
    <n v="25"/>
    <x v="1247"/>
    <x v="6"/>
    <x v="4"/>
    <x v="3"/>
    <n v="1"/>
    <x v="0"/>
  </r>
  <r>
    <x v="2866"/>
    <x v="1"/>
    <s v="United States"/>
    <x v="8"/>
    <n v="10"/>
    <s v="NULL"/>
    <n v="13"/>
    <x v="1247"/>
    <x v="6"/>
    <x v="4"/>
    <x v="3"/>
    <s v="NULL"/>
    <x v="0"/>
  </r>
  <r>
    <x v="2867"/>
    <x v="13"/>
    <s v="India"/>
    <x v="7"/>
    <n v="250"/>
    <n v="0.5"/>
    <n v="47"/>
    <x v="1248"/>
    <x v="6"/>
    <x v="4"/>
    <x v="3"/>
    <n v="0"/>
    <x v="0"/>
  </r>
  <r>
    <x v="1694"/>
    <x v="16"/>
    <s v="United States"/>
    <x v="13"/>
    <n v="250"/>
    <s v="NULL"/>
    <n v="2250"/>
    <x v="1248"/>
    <x v="6"/>
    <x v="4"/>
    <x v="2"/>
    <s v="NULL"/>
    <x v="0"/>
  </r>
  <r>
    <x v="875"/>
    <x v="2"/>
    <s v="United States"/>
    <x v="4"/>
    <s v="NULL"/>
    <s v="NULL"/>
    <n v="541"/>
    <x v="1248"/>
    <x v="6"/>
    <x v="4"/>
    <x v="4"/>
    <s v="NULL"/>
    <x v="1"/>
  </r>
  <r>
    <x v="2868"/>
    <x v="29"/>
    <s v="United Kingdom"/>
    <x v="3"/>
    <n v="451"/>
    <n v="0.85"/>
    <n v="3000"/>
    <x v="1249"/>
    <x v="6"/>
    <x v="4"/>
    <x v="2"/>
    <n v="0"/>
    <x v="0"/>
  </r>
  <r>
    <x v="1030"/>
    <x v="11"/>
    <s v="United States"/>
    <x v="7"/>
    <n v="406"/>
    <n v="0.3"/>
    <n v="623"/>
    <x v="1249"/>
    <x v="6"/>
    <x v="4"/>
    <x v="4"/>
    <n v="0"/>
    <x v="0"/>
  </r>
  <r>
    <x v="2869"/>
    <x v="1"/>
    <s v="Singapore"/>
    <x v="3"/>
    <n v="250"/>
    <n v="1"/>
    <n v="95"/>
    <x v="1249"/>
    <x v="6"/>
    <x v="4"/>
    <x v="3"/>
    <n v="1"/>
    <x v="0"/>
  </r>
  <r>
    <x v="1792"/>
    <x v="2"/>
    <s v="United States"/>
    <x v="3"/>
    <n v="227"/>
    <s v="NULL"/>
    <n v="18"/>
    <x v="1249"/>
    <x v="6"/>
    <x v="4"/>
    <x v="3"/>
    <s v="NULL"/>
    <x v="0"/>
  </r>
  <r>
    <x v="2172"/>
    <x v="6"/>
    <s v="United States"/>
    <x v="11"/>
    <n v="200"/>
    <s v="NULL"/>
    <n v="430"/>
    <x v="1249"/>
    <x v="6"/>
    <x v="4"/>
    <x v="4"/>
    <s v="NULL"/>
    <x v="0"/>
  </r>
  <r>
    <x v="289"/>
    <x v="18"/>
    <s v="United States"/>
    <x v="5"/>
    <n v="175"/>
    <s v="NULL"/>
    <n v="127"/>
    <x v="1249"/>
    <x v="6"/>
    <x v="4"/>
    <x v="4"/>
    <s v="NULL"/>
    <x v="0"/>
  </r>
  <r>
    <x v="2870"/>
    <x v="16"/>
    <s v="United States"/>
    <x v="2"/>
    <n v="130"/>
    <n v="0.25"/>
    <n v="77"/>
    <x v="1249"/>
    <x v="6"/>
    <x v="4"/>
    <x v="3"/>
    <n v="0"/>
    <x v="0"/>
  </r>
  <r>
    <x v="2543"/>
    <x v="16"/>
    <s v="United States"/>
    <x v="5"/>
    <n v="127"/>
    <n v="0.3"/>
    <n v="560"/>
    <x v="1249"/>
    <x v="6"/>
    <x v="4"/>
    <x v="4"/>
    <n v="0"/>
    <x v="0"/>
  </r>
  <r>
    <x v="406"/>
    <x v="11"/>
    <s v="United States"/>
    <x v="7"/>
    <n v="100"/>
    <n v="0.25"/>
    <n v="403"/>
    <x v="1249"/>
    <x v="6"/>
    <x v="4"/>
    <x v="4"/>
    <n v="0"/>
    <x v="0"/>
  </r>
  <r>
    <x v="189"/>
    <x v="11"/>
    <s v="United States"/>
    <x v="1"/>
    <n v="100"/>
    <n v="0.2"/>
    <n v="107"/>
    <x v="1249"/>
    <x v="6"/>
    <x v="4"/>
    <x v="4"/>
    <n v="0"/>
    <x v="0"/>
  </r>
  <r>
    <x v="2871"/>
    <x v="14"/>
    <s v="Canada"/>
    <x v="0"/>
    <n v="78"/>
    <n v="0.3"/>
    <n v="201"/>
    <x v="1249"/>
    <x v="6"/>
    <x v="4"/>
    <x v="4"/>
    <n v="0"/>
    <x v="0"/>
  </r>
  <r>
    <x v="2872"/>
    <x v="27"/>
    <s v="United States"/>
    <x v="11"/>
    <n v="75"/>
    <s v="NULL"/>
    <n v="133"/>
    <x v="1249"/>
    <x v="6"/>
    <x v="4"/>
    <x v="4"/>
    <s v="NULL"/>
    <x v="0"/>
  </r>
  <r>
    <x v="2873"/>
    <x v="30"/>
    <s v="United States"/>
    <x v="8"/>
    <n v="60"/>
    <s v="NULL"/>
    <n v="12"/>
    <x v="1249"/>
    <x v="6"/>
    <x v="4"/>
    <x v="3"/>
    <s v="NULL"/>
    <x v="0"/>
  </r>
  <r>
    <x v="349"/>
    <x v="14"/>
    <s v="Canada"/>
    <x v="2"/>
    <n v="47"/>
    <n v="0.1"/>
    <n v="49"/>
    <x v="1249"/>
    <x v="6"/>
    <x v="4"/>
    <x v="3"/>
    <n v="0"/>
    <x v="0"/>
  </r>
  <r>
    <x v="1511"/>
    <x v="16"/>
    <s v="Brazil"/>
    <x v="5"/>
    <n v="47"/>
    <s v="NULL"/>
    <n v="263"/>
    <x v="1249"/>
    <x v="6"/>
    <x v="4"/>
    <x v="4"/>
    <s v="NULL"/>
    <x v="0"/>
  </r>
  <r>
    <x v="2874"/>
    <x v="18"/>
    <s v="United States"/>
    <x v="6"/>
    <n v="40"/>
    <s v="NULL"/>
    <n v="20"/>
    <x v="1249"/>
    <x v="6"/>
    <x v="4"/>
    <x v="3"/>
    <s v="NULL"/>
    <x v="0"/>
  </r>
  <r>
    <x v="2875"/>
    <x v="18"/>
    <s v="United States"/>
    <x v="5"/>
    <n v="30"/>
    <n v="0.2"/>
    <n v="60"/>
    <x v="1249"/>
    <x v="6"/>
    <x v="4"/>
    <x v="3"/>
    <n v="0"/>
    <x v="0"/>
  </r>
  <r>
    <x v="434"/>
    <x v="8"/>
    <s v="United States"/>
    <x v="3"/>
    <n v="30"/>
    <n v="0.2"/>
    <n v="41"/>
    <x v="1249"/>
    <x v="6"/>
    <x v="4"/>
    <x v="3"/>
    <n v="0"/>
    <x v="0"/>
  </r>
  <r>
    <x v="2876"/>
    <x v="10"/>
    <s v="United States"/>
    <x v="2"/>
    <n v="20"/>
    <s v="NULL"/>
    <n v="25"/>
    <x v="1249"/>
    <x v="6"/>
    <x v="4"/>
    <x v="3"/>
    <s v="NULL"/>
    <x v="0"/>
  </r>
  <r>
    <x v="2811"/>
    <x v="2"/>
    <s v="United States"/>
    <x v="2"/>
    <n v="10"/>
    <s v="NULL"/>
    <n v="68"/>
    <x v="1249"/>
    <x v="6"/>
    <x v="4"/>
    <x v="3"/>
    <s v="NULL"/>
    <x v="0"/>
  </r>
  <r>
    <x v="2877"/>
    <x v="14"/>
    <s v="Brazil"/>
    <x v="8"/>
    <s v="NULL"/>
    <s v="NULL"/>
    <s v="NULL"/>
    <x v="1249"/>
    <x v="6"/>
    <x v="4"/>
    <x v="1"/>
    <s v="NULL"/>
    <x v="1"/>
  </r>
  <r>
    <x v="2878"/>
    <x v="21"/>
    <s v="United States"/>
    <x v="3"/>
    <s v="NULL"/>
    <s v="NULL"/>
    <s v="NULL"/>
    <x v="1249"/>
    <x v="6"/>
    <x v="4"/>
    <x v="1"/>
    <s v="NULL"/>
    <x v="1"/>
  </r>
  <r>
    <x v="2879"/>
    <x v="24"/>
    <s v="United States"/>
    <x v="13"/>
    <s v="NULL"/>
    <s v="NULL"/>
    <n v="273"/>
    <x v="1249"/>
    <x v="6"/>
    <x v="4"/>
    <x v="4"/>
    <s v="NULL"/>
    <x v="1"/>
  </r>
  <r>
    <x v="2880"/>
    <x v="2"/>
    <s v="United States"/>
    <x v="5"/>
    <n v="250"/>
    <n v="0.5"/>
    <n v="88"/>
    <x v="1250"/>
    <x v="6"/>
    <x v="4"/>
    <x v="3"/>
    <n v="0"/>
    <x v="0"/>
  </r>
  <r>
    <x v="2881"/>
    <x v="13"/>
    <s v="India"/>
    <x v="3"/>
    <n v="200"/>
    <s v="NULL"/>
    <s v="NULL"/>
    <x v="1250"/>
    <x v="6"/>
    <x v="4"/>
    <x v="1"/>
    <s v="NULL"/>
    <x v="0"/>
  </r>
  <r>
    <x v="2224"/>
    <x v="24"/>
    <s v="United States"/>
    <x v="4"/>
    <n v="50"/>
    <n v="0.1"/>
    <n v="149"/>
    <x v="1250"/>
    <x v="6"/>
    <x v="4"/>
    <x v="4"/>
    <n v="0"/>
    <x v="0"/>
  </r>
  <r>
    <x v="2882"/>
    <x v="26"/>
    <s v="Canada"/>
    <x v="5"/>
    <n v="47"/>
    <n v="0.1"/>
    <n v="149"/>
    <x v="1250"/>
    <x v="6"/>
    <x v="4"/>
    <x v="4"/>
    <n v="0"/>
    <x v="0"/>
  </r>
  <r>
    <x v="2883"/>
    <x v="11"/>
    <s v="United States"/>
    <x v="7"/>
    <n v="44"/>
    <s v="NULL"/>
    <n v="123"/>
    <x v="1250"/>
    <x v="6"/>
    <x v="4"/>
    <x v="4"/>
    <s v="NULL"/>
    <x v="0"/>
  </r>
  <r>
    <x v="2884"/>
    <x v="16"/>
    <s v="United States"/>
    <x v="2"/>
    <n v="41"/>
    <n v="0.75"/>
    <n v="34"/>
    <x v="1250"/>
    <x v="6"/>
    <x v="4"/>
    <x v="3"/>
    <n v="0"/>
    <x v="0"/>
  </r>
  <r>
    <x v="2885"/>
    <x v="2"/>
    <s v="United States"/>
    <x v="2"/>
    <n v="23"/>
    <n v="0.2"/>
    <n v="47"/>
    <x v="1250"/>
    <x v="6"/>
    <x v="4"/>
    <x v="3"/>
    <n v="0"/>
    <x v="0"/>
  </r>
  <r>
    <x v="2886"/>
    <x v="0"/>
    <s v="United States"/>
    <x v="6"/>
    <n v="13"/>
    <n v="1"/>
    <n v="5"/>
    <x v="1250"/>
    <x v="6"/>
    <x v="4"/>
    <x v="0"/>
    <n v="1"/>
    <x v="0"/>
  </r>
  <r>
    <x v="2887"/>
    <x v="10"/>
    <s v="United States"/>
    <x v="2"/>
    <s v="NULL"/>
    <n v="0.4"/>
    <n v="35"/>
    <x v="1250"/>
    <x v="6"/>
    <x v="4"/>
    <x v="3"/>
    <n v="0"/>
    <x v="0"/>
  </r>
  <r>
    <x v="2888"/>
    <x v="13"/>
    <s v="United States"/>
    <x v="7"/>
    <n v="300"/>
    <n v="0.25"/>
    <n v="981"/>
    <x v="1251"/>
    <x v="6"/>
    <x v="4"/>
    <x v="4"/>
    <n v="0"/>
    <x v="0"/>
  </r>
  <r>
    <x v="2889"/>
    <x v="16"/>
    <s v="United States"/>
    <x v="2"/>
    <n v="100"/>
    <s v="NULL"/>
    <n v="179.1"/>
    <x v="1251"/>
    <x v="6"/>
    <x v="4"/>
    <x v="4"/>
    <s v="NULL"/>
    <x v="0"/>
  </r>
  <r>
    <x v="2890"/>
    <x v="22"/>
    <s v="Canada"/>
    <x v="3"/>
    <n v="78"/>
    <n v="0.3"/>
    <s v="NULL"/>
    <x v="1251"/>
    <x v="6"/>
    <x v="4"/>
    <x v="1"/>
    <n v="0"/>
    <x v="0"/>
  </r>
  <r>
    <x v="2891"/>
    <x v="4"/>
    <s v="United States"/>
    <x v="3"/>
    <n v="75"/>
    <n v="0.15"/>
    <s v="NULL"/>
    <x v="1251"/>
    <x v="6"/>
    <x v="4"/>
    <x v="1"/>
    <n v="0"/>
    <x v="0"/>
  </r>
  <r>
    <x v="2321"/>
    <x v="13"/>
    <s v="United States"/>
    <x v="2"/>
    <n v="56"/>
    <n v="0.23"/>
    <n v="26"/>
    <x v="1251"/>
    <x v="6"/>
    <x v="4"/>
    <x v="3"/>
    <n v="0"/>
    <x v="0"/>
  </r>
  <r>
    <x v="2892"/>
    <x v="10"/>
    <s v="United States"/>
    <x v="5"/>
    <n v="52"/>
    <n v="0.28000000000000003"/>
    <n v="48"/>
    <x v="1251"/>
    <x v="6"/>
    <x v="4"/>
    <x v="3"/>
    <n v="0"/>
    <x v="0"/>
  </r>
  <r>
    <x v="1589"/>
    <x v="21"/>
    <s v="United States"/>
    <x v="8"/>
    <n v="50"/>
    <n v="0.75"/>
    <n v="24"/>
    <x v="1251"/>
    <x v="6"/>
    <x v="4"/>
    <x v="3"/>
    <n v="0"/>
    <x v="0"/>
  </r>
  <r>
    <x v="2893"/>
    <x v="4"/>
    <s v="United States"/>
    <x v="2"/>
    <n v="30"/>
    <n v="0.23"/>
    <n v="35"/>
    <x v="1251"/>
    <x v="6"/>
    <x v="4"/>
    <x v="3"/>
    <n v="0"/>
    <x v="0"/>
  </r>
  <r>
    <x v="2894"/>
    <x v="22"/>
    <s v="United States"/>
    <x v="3"/>
    <n v="12"/>
    <n v="0.05"/>
    <n v="233"/>
    <x v="1251"/>
    <x v="6"/>
    <x v="4"/>
    <x v="4"/>
    <n v="0"/>
    <x v="0"/>
  </r>
  <r>
    <x v="2895"/>
    <x v="6"/>
    <s v="United States"/>
    <x v="8"/>
    <n v="10"/>
    <s v="NULL"/>
    <n v="22"/>
    <x v="1251"/>
    <x v="6"/>
    <x v="4"/>
    <x v="3"/>
    <s v="NULL"/>
    <x v="0"/>
  </r>
  <r>
    <x v="2062"/>
    <x v="16"/>
    <s v="United States"/>
    <x v="8"/>
    <s v="NULL"/>
    <s v="NULL"/>
    <n v="5"/>
    <x v="1251"/>
    <x v="6"/>
    <x v="4"/>
    <x v="0"/>
    <s v="NULL"/>
    <x v="1"/>
  </r>
  <r>
    <x v="2896"/>
    <x v="1"/>
    <s v="United States"/>
    <x v="7"/>
    <s v="NULL"/>
    <n v="0.3"/>
    <n v="296"/>
    <x v="1251"/>
    <x v="6"/>
    <x v="4"/>
    <x v="4"/>
    <n v="0"/>
    <x v="0"/>
  </r>
  <r>
    <x v="1068"/>
    <x v="16"/>
    <s v="United States"/>
    <x v="2"/>
    <s v="NULL"/>
    <n v="0.08"/>
    <n v="180"/>
    <x v="1251"/>
    <x v="6"/>
    <x v="4"/>
    <x v="4"/>
    <n v="0"/>
    <x v="0"/>
  </r>
  <r>
    <x v="2897"/>
    <x v="2"/>
    <s v="United States"/>
    <x v="8"/>
    <s v="NULL"/>
    <s v="NULL"/>
    <n v="8"/>
    <x v="1251"/>
    <x v="6"/>
    <x v="4"/>
    <x v="0"/>
    <s v="NULL"/>
    <x v="1"/>
  </r>
  <r>
    <x v="247"/>
    <x v="13"/>
    <s v="United States"/>
    <x v="7"/>
    <n v="400"/>
    <n v="0.33"/>
    <n v="359"/>
    <x v="1252"/>
    <x v="6"/>
    <x v="4"/>
    <x v="4"/>
    <n v="0"/>
    <x v="0"/>
  </r>
  <r>
    <x v="2898"/>
    <x v="1"/>
    <s v="United States"/>
    <x v="3"/>
    <n v="130"/>
    <s v="NULL"/>
    <s v="NULL"/>
    <x v="1252"/>
    <x v="6"/>
    <x v="4"/>
    <x v="1"/>
    <s v="NULL"/>
    <x v="0"/>
  </r>
  <r>
    <x v="2899"/>
    <x v="18"/>
    <s v="United States"/>
    <x v="2"/>
    <n v="87"/>
    <n v="0.67"/>
    <n v="20"/>
    <x v="1252"/>
    <x v="6"/>
    <x v="4"/>
    <x v="3"/>
    <n v="0"/>
    <x v="0"/>
  </r>
  <r>
    <x v="969"/>
    <x v="16"/>
    <s v="United States"/>
    <x v="2"/>
    <n v="80"/>
    <n v="0.3"/>
    <n v="79"/>
    <x v="1252"/>
    <x v="6"/>
    <x v="4"/>
    <x v="3"/>
    <n v="0"/>
    <x v="0"/>
  </r>
  <r>
    <x v="2900"/>
    <x v="13"/>
    <s v="United States"/>
    <x v="2"/>
    <n v="20"/>
    <s v="NULL"/>
    <n v="35"/>
    <x v="1252"/>
    <x v="6"/>
    <x v="4"/>
    <x v="3"/>
    <s v="NULL"/>
    <x v="0"/>
  </r>
  <r>
    <x v="2901"/>
    <x v="2"/>
    <s v="Canada"/>
    <x v="3"/>
    <s v="NULL"/>
    <n v="0.25"/>
    <s v="NULL"/>
    <x v="1252"/>
    <x v="6"/>
    <x v="4"/>
    <x v="1"/>
    <n v="0"/>
    <x v="0"/>
  </r>
  <r>
    <x v="2902"/>
    <x v="7"/>
    <s v="United States"/>
    <x v="3"/>
    <s v="NULL"/>
    <n v="0.4"/>
    <n v="47"/>
    <x v="1252"/>
    <x v="6"/>
    <x v="4"/>
    <x v="3"/>
    <n v="0"/>
    <x v="0"/>
  </r>
  <r>
    <x v="2612"/>
    <x v="11"/>
    <s v="United States"/>
    <x v="7"/>
    <s v="NULL"/>
    <s v="NULL"/>
    <n v="117"/>
    <x v="1252"/>
    <x v="6"/>
    <x v="4"/>
    <x v="4"/>
    <s v="NULL"/>
    <x v="1"/>
  </r>
  <r>
    <x v="1798"/>
    <x v="16"/>
    <s v="United States"/>
    <x v="12"/>
    <n v="375"/>
    <n v="0.15"/>
    <n v="1600"/>
    <x v="1253"/>
    <x v="6"/>
    <x v="4"/>
    <x v="2"/>
    <n v="0"/>
    <x v="0"/>
  </r>
  <r>
    <x v="1841"/>
    <x v="16"/>
    <s v="United States"/>
    <x v="7"/>
    <n v="150"/>
    <n v="0.18"/>
    <n v="280"/>
    <x v="1253"/>
    <x v="6"/>
    <x v="4"/>
    <x v="4"/>
    <n v="0"/>
    <x v="0"/>
  </r>
  <r>
    <x v="1487"/>
    <x v="2"/>
    <s v="United States"/>
    <x v="1"/>
    <n v="91"/>
    <n v="0.5"/>
    <n v="2"/>
    <x v="1253"/>
    <x v="6"/>
    <x v="4"/>
    <x v="0"/>
    <n v="0"/>
    <x v="0"/>
  </r>
  <r>
    <x v="2903"/>
    <x v="13"/>
    <s v="United States"/>
    <x v="2"/>
    <n v="38"/>
    <n v="0.22"/>
    <n v="36"/>
    <x v="1253"/>
    <x v="6"/>
    <x v="4"/>
    <x v="3"/>
    <n v="0"/>
    <x v="0"/>
  </r>
  <r>
    <x v="2904"/>
    <x v="10"/>
    <s v="United States"/>
    <x v="1"/>
    <n v="20"/>
    <s v="NULL"/>
    <s v="NULL"/>
    <x v="1253"/>
    <x v="6"/>
    <x v="4"/>
    <x v="1"/>
    <s v="NULL"/>
    <x v="0"/>
  </r>
  <r>
    <x v="2905"/>
    <x v="6"/>
    <s v="United States"/>
    <x v="3"/>
    <n v="20"/>
    <n v="0.4"/>
    <n v="7"/>
    <x v="1253"/>
    <x v="6"/>
    <x v="4"/>
    <x v="0"/>
    <n v="0"/>
    <x v="0"/>
  </r>
  <r>
    <x v="2906"/>
    <x v="8"/>
    <s v="United States"/>
    <x v="2"/>
    <n v="15"/>
    <n v="0.17"/>
    <n v="48"/>
    <x v="1253"/>
    <x v="6"/>
    <x v="4"/>
    <x v="3"/>
    <n v="0"/>
    <x v="0"/>
  </r>
  <r>
    <x v="2907"/>
    <x v="14"/>
    <s v="United States"/>
    <x v="5"/>
    <n v="13"/>
    <n v="0.25"/>
    <n v="94"/>
    <x v="1253"/>
    <x v="6"/>
    <x v="4"/>
    <x v="3"/>
    <n v="0"/>
    <x v="0"/>
  </r>
  <r>
    <x v="2908"/>
    <x v="13"/>
    <s v="United States"/>
    <x v="6"/>
    <s v="NULL"/>
    <n v="0.2"/>
    <n v="3"/>
    <x v="1253"/>
    <x v="6"/>
    <x v="4"/>
    <x v="0"/>
    <n v="0"/>
    <x v="0"/>
  </r>
  <r>
    <x v="2909"/>
    <x v="2"/>
    <s v="United States"/>
    <x v="5"/>
    <s v="NULL"/>
    <n v="0.2"/>
    <n v="70"/>
    <x v="1253"/>
    <x v="6"/>
    <x v="4"/>
    <x v="3"/>
    <n v="0"/>
    <x v="0"/>
  </r>
  <r>
    <x v="806"/>
    <x v="25"/>
    <s v="United States"/>
    <x v="2"/>
    <s v="NULL"/>
    <s v="NULL"/>
    <n v="164"/>
    <x v="1253"/>
    <x v="6"/>
    <x v="4"/>
    <x v="4"/>
    <s v="NULL"/>
    <x v="1"/>
  </r>
  <r>
    <x v="2910"/>
    <x v="25"/>
    <s v="United States"/>
    <x v="1"/>
    <n v="784"/>
    <n v="0.98"/>
    <n v="120"/>
    <x v="1254"/>
    <x v="6"/>
    <x v="4"/>
    <x v="4"/>
    <n v="0"/>
    <x v="0"/>
  </r>
  <r>
    <x v="2911"/>
    <x v="13"/>
    <s v="United States"/>
    <x v="2"/>
    <n v="45"/>
    <s v="NULL"/>
    <n v="39"/>
    <x v="1254"/>
    <x v="6"/>
    <x v="4"/>
    <x v="3"/>
    <s v="NULL"/>
    <x v="0"/>
  </r>
  <r>
    <x v="2912"/>
    <x v="24"/>
    <s v="Canada"/>
    <x v="6"/>
    <n v="30"/>
    <n v="0.5"/>
    <n v="7"/>
    <x v="1254"/>
    <x v="6"/>
    <x v="4"/>
    <x v="0"/>
    <n v="0"/>
    <x v="0"/>
  </r>
  <r>
    <x v="2913"/>
    <x v="4"/>
    <s v="United States"/>
    <x v="8"/>
    <n v="18"/>
    <s v="NULL"/>
    <n v="16"/>
    <x v="1254"/>
    <x v="6"/>
    <x v="4"/>
    <x v="3"/>
    <s v="NULL"/>
    <x v="0"/>
  </r>
  <r>
    <x v="2914"/>
    <x v="13"/>
    <s v="United States"/>
    <x v="6"/>
    <s v="NULL"/>
    <n v="1"/>
    <n v="5"/>
    <x v="1254"/>
    <x v="6"/>
    <x v="4"/>
    <x v="0"/>
    <n v="1"/>
    <x v="0"/>
  </r>
  <r>
    <x v="674"/>
    <x v="13"/>
    <s v="United States"/>
    <x v="5"/>
    <s v="NULL"/>
    <s v="NULL"/>
    <n v="526"/>
    <x v="1254"/>
    <x v="6"/>
    <x v="4"/>
    <x v="4"/>
    <s v="NULL"/>
    <x v="1"/>
  </r>
  <r>
    <x v="1781"/>
    <x v="11"/>
    <s v="India"/>
    <x v="7"/>
    <n v="120"/>
    <s v="NULL"/>
    <n v="214"/>
    <x v="1255"/>
    <x v="6"/>
    <x v="4"/>
    <x v="4"/>
    <s v="NULL"/>
    <x v="0"/>
  </r>
  <r>
    <x v="2915"/>
    <x v="8"/>
    <s v="United States"/>
    <x v="3"/>
    <n v="84"/>
    <n v="1"/>
    <s v="NULL"/>
    <x v="1255"/>
    <x v="6"/>
    <x v="4"/>
    <x v="1"/>
    <n v="1"/>
    <x v="0"/>
  </r>
  <r>
    <x v="2916"/>
    <x v="13"/>
    <s v="United States"/>
    <x v="2"/>
    <n v="50"/>
    <n v="0.5"/>
    <n v="17"/>
    <x v="1255"/>
    <x v="6"/>
    <x v="4"/>
    <x v="3"/>
    <n v="0"/>
    <x v="0"/>
  </r>
  <r>
    <x v="2917"/>
    <x v="13"/>
    <s v="United States"/>
    <x v="5"/>
    <n v="34"/>
    <s v="NULL"/>
    <n v="81"/>
    <x v="1255"/>
    <x v="6"/>
    <x v="4"/>
    <x v="3"/>
    <s v="NULL"/>
    <x v="0"/>
  </r>
  <r>
    <x v="2918"/>
    <x v="3"/>
    <s v="Israel"/>
    <x v="8"/>
    <s v="NULL"/>
    <s v="NULL"/>
    <n v="74"/>
    <x v="1255"/>
    <x v="6"/>
    <x v="4"/>
    <x v="3"/>
    <s v="NULL"/>
    <x v="1"/>
  </r>
  <r>
    <x v="2919"/>
    <x v="25"/>
    <s v="United States"/>
    <x v="3"/>
    <s v="NULL"/>
    <n v="1"/>
    <n v="13"/>
    <x v="1255"/>
    <x v="6"/>
    <x v="4"/>
    <x v="3"/>
    <n v="1"/>
    <x v="0"/>
  </r>
  <r>
    <x v="2920"/>
    <x v="2"/>
    <s v="United States"/>
    <x v="1"/>
    <s v="NULL"/>
    <s v="NULL"/>
    <s v="NULL"/>
    <x v="1255"/>
    <x v="6"/>
    <x v="4"/>
    <x v="1"/>
    <s v="NULL"/>
    <x v="1"/>
  </r>
  <r>
    <x v="2921"/>
    <x v="10"/>
    <s v="United States"/>
    <x v="6"/>
    <n v="4"/>
    <n v="0.2"/>
    <n v="4"/>
    <x v="1256"/>
    <x v="6"/>
    <x v="4"/>
    <x v="0"/>
    <n v="0"/>
    <x v="0"/>
  </r>
  <r>
    <x v="1198"/>
    <x v="13"/>
    <s v="United States"/>
    <x v="5"/>
    <n v="130"/>
    <n v="0.22"/>
    <n v="79"/>
    <x v="1257"/>
    <x v="6"/>
    <x v="4"/>
    <x v="3"/>
    <n v="0"/>
    <x v="0"/>
  </r>
  <r>
    <x v="2922"/>
    <x v="15"/>
    <s v="United States"/>
    <x v="6"/>
    <n v="16"/>
    <n v="1"/>
    <n v="6"/>
    <x v="1257"/>
    <x v="6"/>
    <x v="4"/>
    <x v="0"/>
    <n v="1"/>
    <x v="0"/>
  </r>
  <r>
    <x v="2914"/>
    <x v="13"/>
    <s v="United States"/>
    <x v="6"/>
    <s v="NULL"/>
    <n v="1"/>
    <n v="5.0999999999999996"/>
    <x v="1257"/>
    <x v="6"/>
    <x v="4"/>
    <x v="0"/>
    <n v="1"/>
    <x v="0"/>
  </r>
  <r>
    <x v="2568"/>
    <x v="11"/>
    <s v="United States"/>
    <x v="3"/>
    <n v="8"/>
    <n v="0.1"/>
    <n v="45"/>
    <x v="1258"/>
    <x v="6"/>
    <x v="4"/>
    <x v="3"/>
    <n v="0"/>
    <x v="0"/>
  </r>
  <r>
    <x v="2923"/>
    <x v="1"/>
    <s v="United States"/>
    <x v="6"/>
    <n v="6"/>
    <n v="0.75"/>
    <n v="1"/>
    <x v="1258"/>
    <x v="6"/>
    <x v="4"/>
    <x v="0"/>
    <n v="0"/>
    <x v="0"/>
  </r>
  <r>
    <x v="2924"/>
    <x v="2"/>
    <s v="United States"/>
    <x v="5"/>
    <n v="20"/>
    <n v="0.4"/>
    <n v="90"/>
    <x v="1259"/>
    <x v="6"/>
    <x v="4"/>
    <x v="3"/>
    <n v="0"/>
    <x v="0"/>
  </r>
  <r>
    <x v="2747"/>
    <x v="23"/>
    <s v="United States"/>
    <x v="8"/>
    <n v="75"/>
    <s v="NULL"/>
    <n v="12"/>
    <x v="1260"/>
    <x v="6"/>
    <x v="4"/>
    <x v="3"/>
    <s v="NUL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88F89-E994-4A2B-9D15-9B740CA81CAF}" name="PivotTable1"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01" firstHeaderRow="1" firstDataRow="1" firstDataCol="1"/>
  <pivotFields count="13">
    <pivotField axis="axisRow" showAll="0">
      <items count="2926">
        <item x="2114"/>
        <item x="862"/>
        <item x="2357"/>
        <item x="849"/>
        <item x="1654"/>
        <item x="1956"/>
        <item x="99"/>
        <item x="1772"/>
        <item x="2216"/>
        <item x="1097"/>
        <item x="1441"/>
        <item x="2810"/>
        <item x="484"/>
        <item x="2150"/>
        <item x="371"/>
        <item x="2160"/>
        <item x="2425"/>
        <item x="2073"/>
        <item x="860"/>
        <item x="1714"/>
        <item x="1708"/>
        <item x="22"/>
        <item x="697"/>
        <item x="543"/>
        <item x="528"/>
        <item x="556"/>
        <item x="2330"/>
        <item x="1080"/>
        <item x="1438"/>
        <item x="2118"/>
        <item x="1516"/>
        <item x="109"/>
        <item x="2623"/>
        <item x="1017"/>
        <item x="2531"/>
        <item x="2094"/>
        <item x="379"/>
        <item x="1162"/>
        <item x="376"/>
        <item x="1631"/>
        <item x="2065"/>
        <item x="2699"/>
        <item x="2496"/>
        <item x="2850"/>
        <item x="82"/>
        <item x="1713"/>
        <item x="2397"/>
        <item x="471"/>
        <item x="1871"/>
        <item x="7"/>
        <item x="2842"/>
        <item x="2041"/>
        <item x="435"/>
        <item x="2305"/>
        <item x="1465"/>
        <item x="763"/>
        <item x="2422"/>
        <item x="1197"/>
        <item x="716"/>
        <item x="2633"/>
        <item x="2483"/>
        <item x="243"/>
        <item x="67"/>
        <item x="2552"/>
        <item x="1515"/>
        <item x="1449"/>
        <item x="2297"/>
        <item x="2684"/>
        <item x="733"/>
        <item x="1059"/>
        <item x="2388"/>
        <item x="1395"/>
        <item x="506"/>
        <item x="329"/>
        <item x="2659"/>
        <item x="1715"/>
        <item x="1916"/>
        <item x="489"/>
        <item x="2447"/>
        <item x="688"/>
        <item x="1062"/>
        <item x="1180"/>
        <item x="1053"/>
        <item x="2736"/>
        <item x="2183"/>
        <item x="2403"/>
        <item x="2802"/>
        <item x="206"/>
        <item x="50"/>
        <item x="942"/>
        <item x="848"/>
        <item x="1331"/>
        <item x="1844"/>
        <item x="2459"/>
        <item x="2246"/>
        <item x="208"/>
        <item x="2803"/>
        <item x="526"/>
        <item x="2191"/>
        <item x="468"/>
        <item x="1390"/>
        <item x="2287"/>
        <item x="259"/>
        <item x="437"/>
        <item x="161"/>
        <item x="2131"/>
        <item x="1519"/>
        <item x="478"/>
        <item x="56"/>
        <item x="1727"/>
        <item x="307"/>
        <item x="2003"/>
        <item x="1531"/>
        <item x="13"/>
        <item x="2865"/>
        <item x="1440"/>
        <item x="2797"/>
        <item x="912"/>
        <item x="1269"/>
        <item x="941"/>
        <item x="739"/>
        <item x="1493"/>
        <item x="2666"/>
        <item x="1040"/>
        <item x="2847"/>
        <item x="215"/>
        <item x="1509"/>
        <item x="2309"/>
        <item x="386"/>
        <item x="1454"/>
        <item x="2053"/>
        <item x="1462"/>
        <item x="2918"/>
        <item x="2190"/>
        <item x="2154"/>
        <item x="2300"/>
        <item x="94"/>
        <item x="1829"/>
        <item x="1972"/>
        <item x="2690"/>
        <item x="1503"/>
        <item x="1124"/>
        <item x="1629"/>
        <item x="1188"/>
        <item x="470"/>
        <item x="258"/>
        <item x="358"/>
        <item x="541"/>
        <item x="419"/>
        <item x="1047"/>
        <item x="766"/>
        <item x="2377"/>
        <item x="234"/>
        <item x="2274"/>
        <item x="1550"/>
        <item x="1168"/>
        <item x="91"/>
        <item x="2261"/>
        <item x="2032"/>
        <item x="2163"/>
        <item x="1189"/>
        <item x="677"/>
        <item x="903"/>
        <item x="1856"/>
        <item x="381"/>
        <item x="2794"/>
        <item x="2215"/>
        <item x="1622"/>
        <item x="852"/>
        <item x="27"/>
        <item x="2155"/>
        <item x="1247"/>
        <item x="420"/>
        <item x="2782"/>
        <item x="195"/>
        <item x="1467"/>
        <item x="2282"/>
        <item x="684"/>
        <item x="1931"/>
        <item x="300"/>
        <item x="802"/>
        <item x="1424"/>
        <item x="162"/>
        <item x="496"/>
        <item x="1239"/>
        <item x="2821"/>
        <item x="1106"/>
        <item x="2598"/>
        <item x="154"/>
        <item x="669"/>
        <item x="2060"/>
        <item x="2088"/>
        <item x="2752"/>
        <item x="1797"/>
        <item x="1639"/>
        <item x="768"/>
        <item x="859"/>
        <item x="1210"/>
        <item x="317"/>
        <item x="2361"/>
        <item x="2527"/>
        <item x="830"/>
        <item x="426"/>
        <item x="431"/>
        <item x="1840"/>
        <item x="200"/>
        <item x="1373"/>
        <item x="2681"/>
        <item x="2695"/>
        <item x="366"/>
        <item x="2399"/>
        <item x="970"/>
        <item x="1689"/>
        <item x="2801"/>
        <item x="1276"/>
        <item x="1994"/>
        <item x="493"/>
        <item x="1494"/>
        <item x="2474"/>
        <item x="1439"/>
        <item x="1153"/>
        <item x="779"/>
        <item x="2557"/>
        <item x="589"/>
        <item x="179"/>
        <item x="2533"/>
        <item x="1154"/>
        <item x="1310"/>
        <item x="2880"/>
        <item x="2296"/>
        <item x="1136"/>
        <item x="1811"/>
        <item x="682"/>
        <item x="1716"/>
        <item x="1836"/>
        <item x="2322"/>
        <item x="1010"/>
        <item x="2353"/>
        <item x="1600"/>
        <item x="1152"/>
        <item x="1213"/>
        <item x="1556"/>
        <item x="2339"/>
        <item x="2877"/>
        <item x="348"/>
        <item x="867"/>
        <item x="954"/>
        <item x="2008"/>
        <item x="287"/>
        <item x="2749"/>
        <item x="222"/>
        <item x="1004"/>
        <item x="349"/>
        <item x="1405"/>
        <item x="292"/>
        <item x="1709"/>
        <item x="1326"/>
        <item x="2018"/>
        <item x="624"/>
        <item x="2206"/>
        <item x="2400"/>
        <item x="2358"/>
        <item x="476"/>
        <item x="1466"/>
        <item x="1077"/>
        <item x="2650"/>
        <item x="1717"/>
        <item x="1566"/>
        <item x="1158"/>
        <item x="2875"/>
        <item x="976"/>
        <item x="2455"/>
        <item x="242"/>
        <item x="1151"/>
        <item x="2558"/>
        <item x="2139"/>
        <item x="486"/>
        <item x="61"/>
        <item x="1404"/>
        <item x="2248"/>
        <item x="1806"/>
        <item x="86"/>
        <item x="800"/>
        <item x="1206"/>
        <item x="1064"/>
        <item x="1091"/>
        <item x="2086"/>
        <item x="447"/>
        <item x="1030"/>
        <item x="1380"/>
        <item x="2789"/>
        <item x="1908"/>
        <item x="12"/>
        <item x="2030"/>
        <item x="2379"/>
        <item x="2356"/>
        <item x="2122"/>
        <item x="1533"/>
        <item x="1905"/>
        <item x="2507"/>
        <item x="1685"/>
        <item x="1620"/>
        <item x="1286"/>
        <item x="1026"/>
        <item x="2472"/>
        <item x="1888"/>
        <item x="1743"/>
        <item x="1572"/>
        <item x="2721"/>
        <item x="1108"/>
        <item x="2554"/>
        <item x="1135"/>
        <item x="339"/>
        <item x="313"/>
        <item x="788"/>
        <item x="166"/>
        <item x="1752"/>
        <item x="1918"/>
        <item x="1889"/>
        <item x="1200"/>
        <item x="1464"/>
        <item x="401"/>
        <item x="738"/>
        <item x="2870"/>
        <item x="602"/>
        <item x="1425"/>
        <item x="2270"/>
        <item x="456"/>
        <item x="2859"/>
        <item x="2622"/>
        <item x="1643"/>
        <item x="279"/>
        <item x="1842"/>
        <item x="130"/>
        <item x="715"/>
        <item x="2418"/>
        <item x="2378"/>
        <item x="1069"/>
        <item x="1488"/>
        <item x="2442"/>
        <item x="464"/>
        <item x="487"/>
        <item x="2619"/>
        <item x="2824"/>
        <item x="1679"/>
        <item x="1443"/>
        <item x="2262"/>
        <item x="438"/>
        <item x="2787"/>
        <item x="2541"/>
        <item x="1781"/>
        <item x="2784"/>
        <item x="498"/>
        <item x="1489"/>
        <item x="1019"/>
        <item x="2249"/>
        <item x="1332"/>
        <item x="871"/>
        <item x="2776"/>
        <item x="583"/>
        <item x="560"/>
        <item x="444"/>
        <item x="76"/>
        <item x="2394"/>
        <item x="2530"/>
        <item x="835"/>
        <item x="2535"/>
        <item x="1874"/>
        <item x="2349"/>
        <item x="2280"/>
        <item x="375"/>
        <item x="2130"/>
        <item x="1379"/>
        <item x="678"/>
        <item x="2714"/>
        <item x="1722"/>
        <item x="1815"/>
        <item x="262"/>
        <item x="1846"/>
        <item x="2291"/>
        <item x="2454"/>
        <item x="2610"/>
        <item x="337"/>
        <item x="949"/>
        <item x="2091"/>
        <item x="1222"/>
        <item x="1618"/>
        <item x="1138"/>
        <item x="1000"/>
        <item x="2311"/>
        <item x="323"/>
        <item x="1192"/>
        <item x="2368"/>
        <item x="11"/>
        <item x="1309"/>
        <item x="2786"/>
        <item x="1851"/>
        <item x="331"/>
        <item x="1632"/>
        <item x="2303"/>
        <item x="1800"/>
        <item x="1223"/>
        <item x="2763"/>
        <item x="1683"/>
        <item x="2573"/>
        <item x="1243"/>
        <item x="765"/>
        <item x="2765"/>
        <item x="1883"/>
        <item x="721"/>
        <item x="514"/>
        <item x="2594"/>
        <item x="631"/>
        <item x="169"/>
        <item x="1611"/>
        <item x="683"/>
        <item x="2908"/>
        <item x="2656"/>
        <item x="808"/>
        <item x="960"/>
        <item x="454"/>
        <item x="1421"/>
        <item x="1146"/>
        <item x="2052"/>
        <item x="2194"/>
        <item x="1172"/>
        <item x="1201"/>
        <item x="1682"/>
        <item x="1350"/>
        <item x="2112"/>
        <item x="1486"/>
        <item x="1248"/>
        <item x="455"/>
        <item x="367"/>
        <item x="2822"/>
        <item x="1692"/>
        <item x="2132"/>
        <item x="1946"/>
        <item x="2278"/>
        <item x="1740"/>
        <item x="1104"/>
        <item x="1971"/>
        <item x="511"/>
        <item x="2048"/>
        <item x="761"/>
        <item x="2223"/>
        <item x="1983"/>
        <item x="2683"/>
        <item x="635"/>
        <item x="100"/>
        <item x="1758"/>
        <item x="1782"/>
        <item x="517"/>
        <item x="1283"/>
        <item x="2727"/>
        <item x="1837"/>
        <item x="459"/>
        <item x="125"/>
        <item x="332"/>
        <item x="2098"/>
        <item x="1771"/>
        <item x="964"/>
        <item x="540"/>
        <item x="1745"/>
        <item x="1927"/>
        <item x="1582"/>
        <item x="1755"/>
        <item x="2511"/>
        <item x="2673"/>
        <item x="2860"/>
        <item x="2267"/>
        <item x="1504"/>
        <item x="1608"/>
        <item x="507"/>
        <item x="1718"/>
        <item x="2307"/>
        <item x="232"/>
        <item x="1110"/>
        <item x="2318"/>
        <item x="550"/>
        <item x="1211"/>
        <item x="1776"/>
        <item x="1530"/>
        <item x="1285"/>
        <item x="863"/>
        <item x="1033"/>
        <item x="1924"/>
        <item x="2250"/>
        <item x="559"/>
        <item x="1067"/>
        <item x="553"/>
        <item x="2026"/>
        <item x="902"/>
        <item x="712"/>
        <item x="2705"/>
        <item x="2544"/>
        <item x="2549"/>
        <item x="254"/>
        <item x="2315"/>
        <item x="958"/>
        <item x="1035"/>
        <item x="510"/>
        <item x="1954"/>
        <item x="2025"/>
        <item x="1105"/>
        <item x="1987"/>
        <item x="737"/>
        <item x="1814"/>
        <item x="728"/>
        <item x="430"/>
        <item x="1469"/>
        <item x="1444"/>
        <item x="451"/>
        <item x="2759"/>
        <item x="2614"/>
        <item x="461"/>
        <item x="816"/>
        <item x="1236"/>
        <item x="2293"/>
        <item x="2383"/>
        <item x="1327"/>
        <item x="72"/>
        <item x="1762"/>
        <item x="1688"/>
        <item x="865"/>
        <item x="1296"/>
        <item x="1008"/>
        <item x="2851"/>
        <item x="181"/>
        <item x="2260"/>
        <item x="2232"/>
        <item x="2807"/>
        <item x="299"/>
        <item x="1666"/>
        <item x="2748"/>
        <item x="1342"/>
        <item x="1737"/>
        <item x="1087"/>
        <item x="1262"/>
        <item x="2062"/>
        <item x="2729"/>
        <item x="64"/>
        <item x="336"/>
        <item x="2756"/>
        <item x="1099"/>
        <item x="441"/>
        <item x="2668"/>
        <item x="2004"/>
        <item x="85"/>
        <item x="1984"/>
        <item x="967"/>
        <item x="1316"/>
        <item x="1397"/>
        <item x="1712"/>
        <item x="2519"/>
        <item x="1723"/>
        <item x="2896"/>
        <item x="2477"/>
        <item x="1521"/>
        <item x="1317"/>
        <item x="1719"/>
        <item x="1203"/>
        <item x="175"/>
        <item x="1150"/>
        <item x="2545"/>
        <item x="308"/>
        <item x="776"/>
        <item x="1909"/>
        <item x="2818"/>
        <item x="1386"/>
        <item x="1884"/>
        <item x="601"/>
        <item x="1305"/>
        <item x="1298"/>
        <item x="363"/>
        <item x="97"/>
        <item x="1112"/>
        <item x="1130"/>
        <item x="2242"/>
        <item x="1907"/>
        <item x="2253"/>
        <item x="1098"/>
        <item x="1649"/>
        <item x="1413"/>
        <item x="2085"/>
        <item x="1580"/>
        <item x="2063"/>
        <item x="1526"/>
        <item x="2468"/>
        <item x="2341"/>
        <item x="1573"/>
        <item x="390"/>
        <item x="2133"/>
        <item x="2371"/>
        <item x="1420"/>
        <item x="965"/>
        <item x="9"/>
        <item x="1522"/>
        <item x="1798"/>
        <item x="2127"/>
        <item x="691"/>
        <item x="1659"/>
        <item x="2602"/>
        <item x="2767"/>
        <item x="1163"/>
        <item x="1237"/>
        <item x="704"/>
        <item x="303"/>
        <item x="2886"/>
        <item x="2722"/>
        <item x="925"/>
        <item x="2188"/>
        <item x="1841"/>
        <item x="999"/>
        <item x="1498"/>
        <item x="644"/>
        <item x="1475"/>
        <item x="2192"/>
        <item x="710"/>
        <item x="719"/>
        <item x="1675"/>
        <item x="1746"/>
        <item x="2288"/>
        <item x="2453"/>
        <item x="1323"/>
        <item x="926"/>
        <item x="504"/>
        <item x="828"/>
        <item x="1459"/>
        <item x="136"/>
        <item x="1038"/>
        <item x="2830"/>
        <item x="1783"/>
        <item x="53"/>
        <item x="2613"/>
        <item x="2770"/>
        <item x="2391"/>
        <item x="2326"/>
        <item x="706"/>
        <item x="1453"/>
        <item x="2730"/>
        <item x="2617"/>
        <item x="344"/>
        <item x="417"/>
        <item x="1238"/>
        <item x="293"/>
        <item x="148"/>
        <item x="1359"/>
        <item x="2912"/>
        <item x="1787"/>
        <item x="660"/>
        <item x="1102"/>
        <item x="829"/>
        <item x="8"/>
        <item x="2677"/>
        <item x="906"/>
        <item x="2113"/>
        <item x="907"/>
        <item x="836"/>
        <item x="2580"/>
        <item x="2491"/>
        <item x="2835"/>
        <item x="2436"/>
        <item x="423"/>
        <item x="2864"/>
        <item x="2625"/>
        <item x="177"/>
        <item x="15"/>
        <item x="2419"/>
        <item x="730"/>
        <item x="1218"/>
        <item x="613"/>
        <item x="1855"/>
        <item x="638"/>
        <item x="1625"/>
        <item x="1690"/>
        <item x="921"/>
        <item x="1959"/>
        <item x="2212"/>
        <item x="2207"/>
        <item x="2445"/>
        <item x="1960"/>
        <item x="46"/>
        <item x="2408"/>
        <item x="1215"/>
        <item x="759"/>
        <item x="1031"/>
        <item x="2597"/>
        <item x="1023"/>
        <item x="853"/>
        <item x="1113"/>
        <item x="937"/>
        <item x="1879"/>
        <item x="2172"/>
        <item x="2743"/>
        <item x="2636"/>
        <item x="1181"/>
        <item x="2654"/>
        <item x="183"/>
        <item x="1336"/>
        <item x="580"/>
        <item x="2450"/>
        <item x="1343"/>
        <item x="741"/>
        <item x="1051"/>
        <item x="1137"/>
        <item x="1655"/>
        <item x="1187"/>
        <item x="346"/>
        <item x="1016"/>
        <item x="88"/>
        <item x="1216"/>
        <item x="245"/>
        <item x="2504"/>
        <item x="1757"/>
        <item x="1182"/>
        <item x="1742"/>
        <item x="2646"/>
        <item x="170"/>
        <item x="1965"/>
        <item x="595"/>
        <item x="150"/>
        <item x="2143"/>
        <item x="2672"/>
        <item x="2615"/>
        <item x="831"/>
        <item x="1121"/>
        <item x="1942"/>
        <item x="864"/>
        <item x="1325"/>
        <item x="2849"/>
        <item x="1164"/>
        <item x="380"/>
        <item x="153"/>
        <item x="388"/>
        <item x="2029"/>
        <item x="425"/>
        <item x="1847"/>
        <item x="1565"/>
        <item x="2872"/>
        <item x="857"/>
        <item x="2725"/>
        <item x="824"/>
        <item x="2698"/>
        <item x="2632"/>
        <item x="1068"/>
        <item x="2465"/>
        <item x="2520"/>
        <item x="2011"/>
        <item x="502"/>
        <item x="2565"/>
        <item x="797"/>
        <item x="1869"/>
        <item x="1448"/>
        <item x="2012"/>
        <item x="2534"/>
        <item x="934"/>
        <item x="2205"/>
        <item x="1895"/>
        <item x="1291"/>
        <item x="2631"/>
        <item x="531"/>
        <item x="2039"/>
        <item x="2255"/>
        <item x="1145"/>
        <item x="557"/>
        <item x="173"/>
        <item x="1308"/>
        <item x="533"/>
        <item x="2134"/>
        <item x="1073"/>
        <item x="2904"/>
        <item x="1419"/>
        <item x="1661"/>
        <item x="799"/>
        <item x="1348"/>
        <item x="2033"/>
        <item x="500"/>
        <item x="1574"/>
        <item x="2799"/>
        <item x="1219"/>
        <item x="2739"/>
        <item x="1224"/>
        <item x="70"/>
        <item x="558"/>
        <item x="2420"/>
        <item x="1529"/>
        <item x="930"/>
        <item x="503"/>
        <item x="2814"/>
        <item x="1823"/>
        <item x="2827"/>
        <item x="1374"/>
        <item x="1697"/>
        <item x="1129"/>
        <item x="458"/>
        <item x="2747"/>
        <item x="1046"/>
        <item x="2569"/>
        <item x="522"/>
        <item x="2370"/>
        <item x="168"/>
        <item x="2882"/>
        <item x="2764"/>
        <item x="749"/>
        <item x="1687"/>
        <item x="1777"/>
        <item x="2186"/>
        <item x="2808"/>
        <item x="318"/>
        <item x="2909"/>
        <item x="1615"/>
        <item x="2915"/>
        <item x="16"/>
        <item x="1577"/>
        <item x="395"/>
        <item x="350"/>
        <item x="1809"/>
        <item x="2671"/>
        <item x="2895"/>
        <item x="4"/>
        <item x="1880"/>
        <item x="2054"/>
        <item x="2760"/>
        <item x="1512"/>
        <item x="1387"/>
        <item x="1122"/>
        <item x="2050"/>
        <item x="2080"/>
        <item x="628"/>
        <item x="2306"/>
        <item x="1578"/>
        <item x="1455"/>
        <item x="2593"/>
        <item x="1686"/>
        <item x="2325"/>
        <item x="681"/>
        <item x="139"/>
        <item x="483"/>
        <item x="198"/>
        <item x="160"/>
        <item x="2742"/>
        <item x="142"/>
        <item x="445"/>
        <item x="106"/>
        <item x="1540"/>
        <item x="5"/>
        <item x="1599"/>
        <item x="2038"/>
        <item x="202"/>
        <item x="1680"/>
        <item x="1174"/>
        <item x="2421"/>
        <item x="122"/>
        <item x="2432"/>
        <item x="1773"/>
        <item x="1901"/>
        <item x="19"/>
        <item x="1555"/>
        <item x="207"/>
        <item x="911"/>
        <item x="2258"/>
        <item x="1433"/>
        <item x="1066"/>
        <item x="878"/>
        <item x="120"/>
        <item x="1370"/>
        <item x="2006"/>
        <item x="605"/>
        <item x="1792"/>
        <item x="1356"/>
        <item x="1366"/>
        <item x="1231"/>
        <item x="1221"/>
        <item x="783"/>
        <item x="1544"/>
        <item x="400"/>
        <item x="1063"/>
        <item x="992"/>
        <item x="1432"/>
        <item x="2017"/>
        <item x="488"/>
        <item x="1724"/>
        <item x="190"/>
        <item x="1295"/>
        <item x="2196"/>
        <item x="1630"/>
        <item x="2072"/>
        <item x="1399"/>
        <item x="223"/>
        <item x="301"/>
        <item x="1263"/>
        <item x="238"/>
        <item x="1204"/>
        <item x="290"/>
        <item x="2856"/>
        <item x="513"/>
        <item x="707"/>
        <item x="2479"/>
        <item x="1212"/>
        <item x="981"/>
        <item x="1161"/>
        <item x="1452"/>
        <item x="1698"/>
        <item x="44"/>
        <item x="2881"/>
        <item x="1616"/>
        <item x="771"/>
        <item x="842"/>
        <item x="2486"/>
        <item x="587"/>
        <item x="1775"/>
        <item x="2426"/>
        <item x="2005"/>
        <item x="2359"/>
        <item x="1656"/>
        <item x="1337"/>
        <item x="1492"/>
        <item x="184"/>
        <item x="2040"/>
        <item x="1183"/>
        <item x="1875"/>
        <item x="932"/>
        <item x="1155"/>
        <item x="764"/>
        <item x="2380"/>
        <item x="2329"/>
        <item x="955"/>
        <item x="1560"/>
        <item x="794"/>
        <item x="180"/>
        <item x="1857"/>
        <item x="1910"/>
        <item x="2089"/>
        <item x="847"/>
        <item x="2815"/>
        <item x="1730"/>
        <item x="632"/>
        <item x="714"/>
        <item x="1043"/>
        <item x="1520"/>
        <item x="364"/>
        <item x="271"/>
        <item x="2093"/>
        <item x="1938"/>
        <item x="1302"/>
        <item x="2661"/>
        <item x="914"/>
        <item x="1126"/>
        <item x="881"/>
        <item x="527"/>
        <item x="653"/>
        <item x="1330"/>
        <item x="285"/>
        <item x="2068"/>
        <item x="156"/>
        <item x="736"/>
        <item x="2513"/>
        <item x="2754"/>
        <item x="2135"/>
        <item x="2901"/>
        <item x="2181"/>
        <item x="625"/>
        <item x="2069"/>
        <item x="554"/>
        <item x="908"/>
        <item x="2825"/>
        <item x="2682"/>
        <item x="2921"/>
        <item x="2910"/>
        <item x="389"/>
        <item x="28"/>
        <item x="2424"/>
        <item x="1049"/>
        <item x="2899"/>
        <item x="1076"/>
        <item x="2090"/>
        <item x="213"/>
        <item x="913"/>
        <item x="748"/>
        <item x="2273"/>
        <item x="211"/>
        <item x="575"/>
        <item x="1346"/>
        <item x="1103"/>
        <item x="360"/>
        <item x="479"/>
        <item x="1442"/>
        <item x="453"/>
        <item x="915"/>
        <item x="658"/>
        <item x="2105"/>
        <item x="2295"/>
        <item x="1318"/>
        <item x="149"/>
        <item x="695"/>
        <item x="2402"/>
        <item x="1217"/>
        <item x="535"/>
        <item x="1633"/>
        <item x="529"/>
        <item x="866"/>
        <item x="1835"/>
        <item x="98"/>
        <item x="1272"/>
        <item x="2103"/>
        <item x="895"/>
        <item x="1226"/>
        <item x="2373"/>
        <item x="990"/>
        <item x="2230"/>
        <item x="873"/>
        <item x="2049"/>
        <item x="656"/>
        <item x="2728"/>
        <item x="2161"/>
        <item x="2489"/>
        <item x="1919"/>
        <item x="1279"/>
        <item x="2798"/>
        <item x="2591"/>
        <item x="71"/>
        <item x="282"/>
        <item x="246"/>
        <item x="1483"/>
        <item x="1088"/>
        <item x="2430"/>
        <item x="2237"/>
        <item x="2331"/>
        <item x="2753"/>
        <item x="1159"/>
        <item x="146"/>
        <item x="345"/>
        <item x="1790"/>
        <item x="2509"/>
        <item x="2138"/>
        <item x="228"/>
        <item x="107"/>
        <item x="406"/>
        <item x="689"/>
        <item x="2768"/>
        <item x="2441"/>
        <item x="2547"/>
        <item x="717"/>
        <item x="512"/>
        <item x="626"/>
        <item x="1593"/>
        <item x="49"/>
        <item x="1672"/>
        <item x="2360"/>
        <item x="1315"/>
        <item x="1376"/>
        <item x="1473"/>
        <item x="1365"/>
        <item x="1850"/>
        <item x="1660"/>
        <item x="2627"/>
        <item x="1407"/>
        <item x="194"/>
        <item x="1943"/>
        <item x="182"/>
        <item x="657"/>
        <item x="798"/>
        <item x="2836"/>
        <item x="2559"/>
        <item x="1769"/>
        <item x="1747"/>
        <item x="119"/>
        <item x="1596"/>
        <item x="2047"/>
        <item x="2200"/>
        <item x="2595"/>
        <item x="1638"/>
        <item x="1731"/>
        <item x="1598"/>
        <item x="2044"/>
        <item x="2484"/>
        <item x="1932"/>
        <item x="2153"/>
        <item x="1456"/>
        <item x="45"/>
        <item x="551"/>
        <item x="128"/>
        <item x="666"/>
        <item x="2317"/>
        <item x="2885"/>
        <item x="837"/>
        <item x="838"/>
        <item x="1497"/>
        <item x="1805"/>
        <item x="518"/>
        <item x="1274"/>
        <item x="520"/>
        <item x="851"/>
        <item x="579"/>
        <item x="2731"/>
        <item x="793"/>
        <item x="1736"/>
        <item x="1804"/>
        <item x="988"/>
        <item x="2905"/>
        <item x="1554"/>
        <item x="1391"/>
        <item x="532"/>
        <item x="1754"/>
        <item x="694"/>
        <item x="651"/>
        <item x="341"/>
        <item x="2779"/>
        <item x="60"/>
        <item x="2490"/>
        <item x="1866"/>
        <item x="387"/>
        <item x="2081"/>
        <item x="1667"/>
        <item x="75"/>
        <item x="1447"/>
        <item x="2197"/>
        <item x="659"/>
        <item x="2716"/>
        <item x="278"/>
        <item x="1160"/>
        <item x="1597"/>
        <item x="2791"/>
        <item x="1575"/>
        <item x="1165"/>
        <item x="1101"/>
        <item x="40"/>
        <item x="2482"/>
        <item x="961"/>
        <item x="265"/>
        <item x="1353"/>
        <item x="1896"/>
        <item x="1803"/>
        <item x="2231"/>
        <item x="1303"/>
        <item x="2208"/>
        <item x="1313"/>
        <item x="2590"/>
        <item x="277"/>
        <item x="473"/>
        <item x="1819"/>
        <item x="2221"/>
        <item x="692"/>
        <item x="2350"/>
        <item x="537"/>
        <item x="2152"/>
        <item x="377"/>
        <item x="2035"/>
        <item x="2922"/>
        <item x="2606"/>
        <item x="883"/>
        <item x="392"/>
        <item x="2281"/>
        <item x="696"/>
        <item x="249"/>
        <item x="1651"/>
        <item x="1426"/>
        <item x="432"/>
        <item x="2857"/>
        <item x="2002"/>
        <item x="1241"/>
        <item x="1297"/>
        <item x="1074"/>
        <item x="273"/>
        <item x="330"/>
        <item x="708"/>
        <item x="2719"/>
        <item x="987"/>
        <item x="1915"/>
        <item x="2592"/>
        <item x="2653"/>
        <item x="1081"/>
        <item x="2179"/>
        <item x="854"/>
        <item x="1818"/>
        <item x="1886"/>
        <item x="1065"/>
        <item x="1508"/>
        <item x="2342"/>
        <item x="1952"/>
        <item x="1491"/>
        <item x="1961"/>
        <item x="699"/>
        <item x="1176"/>
        <item x="1264"/>
        <item x="2869"/>
        <item x="1056"/>
        <item x="256"/>
        <item x="680"/>
        <item x="472"/>
        <item x="2568"/>
        <item x="2701"/>
        <item x="2057"/>
        <item x="1865"/>
        <item x="1647"/>
        <item x="237"/>
        <item x="178"/>
        <item x="2523"/>
        <item x="2555"/>
        <item x="985"/>
        <item x="832"/>
        <item x="2518"/>
        <item x="416"/>
        <item x="1450"/>
        <item x="1095"/>
        <item x="877"/>
        <item x="2551"/>
        <item x="2481"/>
        <item x="600"/>
        <item x="2817"/>
        <item x="2395"/>
        <item x="1780"/>
        <item x="1485"/>
        <item x="1696"/>
        <item x="1445"/>
        <item x="1114"/>
        <item x="897"/>
        <item x="2497"/>
        <item x="127"/>
        <item x="1699"/>
        <item x="544"/>
        <item x="393"/>
        <item x="1461"/>
        <item x="654"/>
        <item x="1700"/>
        <item x="584"/>
        <item x="440"/>
        <item x="2416"/>
        <item x="725"/>
        <item x="2470"/>
        <item x="1980"/>
        <item x="2790"/>
        <item x="1525"/>
        <item x="2537"/>
        <item x="2301"/>
        <item x="1738"/>
        <item x="2712"/>
        <item x="812"/>
        <item x="2159"/>
        <item x="1551"/>
        <item x="801"/>
        <item x="2437"/>
        <item x="2238"/>
        <item x="782"/>
        <item x="1642"/>
        <item x="1824"/>
        <item x="235"/>
        <item x="2256"/>
        <item x="2834"/>
        <item x="495"/>
        <item x="1169"/>
        <item x="2254"/>
        <item x="250"/>
        <item x="316"/>
        <item x="813"/>
        <item x="1170"/>
        <item x="2809"/>
        <item x="1913"/>
        <item x="592"/>
        <item x="2726"/>
        <item x="1991"/>
        <item x="1962"/>
        <item x="204"/>
        <item x="2061"/>
        <item x="858"/>
        <item x="69"/>
        <item x="1678"/>
        <item x="421"/>
        <item x="743"/>
        <item x="1854"/>
        <item x="1408"/>
        <item x="1251"/>
        <item x="899"/>
        <item x="1920"/>
        <item x="1198"/>
        <item x="780"/>
        <item x="868"/>
        <item x="2819"/>
        <item x="2621"/>
        <item x="547"/>
        <item x="2635"/>
        <item x="1864"/>
        <item x="1779"/>
        <item x="2607"/>
        <item x="314"/>
        <item x="1227"/>
        <item x="1982"/>
        <item x="2649"/>
        <item x="55"/>
        <item x="1761"/>
        <item x="2271"/>
        <item x="66"/>
        <item x="574"/>
        <item x="155"/>
        <item x="891"/>
        <item x="910"/>
        <item x="2292"/>
        <item x="2413"/>
        <item x="1131"/>
        <item x="1409"/>
        <item x="2863"/>
        <item x="1267"/>
        <item x="491"/>
        <item x="2028"/>
        <item x="1036"/>
        <item x="1078"/>
        <item x="593"/>
        <item x="2894"/>
        <item x="311"/>
        <item x="950"/>
        <item x="1225"/>
        <item x="652"/>
        <item x="1830"/>
        <item x="1748"/>
        <item x="509"/>
        <item x="2392"/>
        <item x="2795"/>
        <item x="1968"/>
        <item x="2703"/>
        <item x="10"/>
        <item x="2813"/>
        <item x="945"/>
        <item x="1111"/>
        <item x="2381"/>
        <item x="662"/>
        <item x="1552"/>
        <item x="792"/>
        <item x="74"/>
        <item x="1760"/>
        <item x="2657"/>
        <item x="1710"/>
        <item x="917"/>
        <item x="236"/>
        <item x="1953"/>
        <item x="1988"/>
        <item x="1022"/>
        <item x="2146"/>
        <item x="1289"/>
        <item x="268"/>
        <item x="2269"/>
        <item x="409"/>
        <item x="1990"/>
        <item x="1328"/>
        <item x="566"/>
        <item x="1496"/>
        <item x="294"/>
        <item x="1523"/>
        <item x="789"/>
        <item x="2433"/>
        <item x="1175"/>
        <item x="1173"/>
        <item x="2628"/>
        <item x="1277"/>
        <item x="1256"/>
        <item x="986"/>
        <item x="2128"/>
        <item x="667"/>
        <item x="1375"/>
        <item x="1282"/>
        <item x="212"/>
        <item x="608"/>
        <item x="900"/>
        <item x="355"/>
        <item x="2515"/>
        <item x="1947"/>
        <item x="1009"/>
        <item x="2852"/>
        <item x="2404"/>
        <item x="2841"/>
        <item x="563"/>
        <item x="2766"/>
        <item x="755"/>
        <item x="1086"/>
        <item x="326"/>
        <item x="2286"/>
        <item x="2648"/>
        <item x="679"/>
        <item x="1559"/>
        <item x="312"/>
        <item x="643"/>
        <item x="1963"/>
        <item x="1941"/>
        <item x="2111"/>
        <item x="193"/>
        <item x="2417"/>
        <item x="2109"/>
        <item x="286"/>
        <item x="1185"/>
        <item x="2715"/>
        <item x="467"/>
        <item x="324"/>
        <item x="2493"/>
        <item x="2543"/>
        <item x="769"/>
        <item x="466"/>
        <item x="2738"/>
        <item x="2173"/>
        <item x="1601"/>
        <item x="1873"/>
        <item x="2016"/>
        <item x="1833"/>
        <item x="2104"/>
        <item x="2589"/>
        <item x="2452"/>
        <item x="616"/>
        <item x="68"/>
        <item x="284"/>
        <item x="2036"/>
        <item x="2148"/>
        <item x="2717"/>
        <item x="477"/>
        <item x="1416"/>
        <item x="2365"/>
        <item x="2561"/>
        <item x="1457"/>
        <item x="1613"/>
        <item x="288"/>
        <item x="1344"/>
        <item x="2211"/>
        <item x="2723"/>
        <item x="2451"/>
        <item x="2907"/>
        <item x="642"/>
        <item x="1664"/>
        <item x="2516"/>
        <item x="1205"/>
        <item x="956"/>
        <item x="1784"/>
        <item x="2609"/>
        <item x="24"/>
        <item x="1228"/>
        <item x="1753"/>
        <item x="2145"/>
        <item x="1484"/>
        <item x="20"/>
        <item x="1427"/>
        <item x="2837"/>
        <item x="1767"/>
        <item x="1827"/>
        <item x="1487"/>
        <item x="2669"/>
        <item x="1606"/>
        <item x="335"/>
        <item x="1028"/>
        <item x="884"/>
        <item x="1921"/>
        <item x="588"/>
        <item x="2487"/>
        <item x="1928"/>
        <item x="1347"/>
        <item x="1513"/>
        <item x="1014"/>
        <item x="2638"/>
        <item x="1451"/>
        <item x="885"/>
        <item x="1813"/>
        <item x="310"/>
        <item x="722"/>
        <item x="2319"/>
        <item x="1383"/>
        <item x="443"/>
        <item x="2838"/>
        <item x="889"/>
        <item x="606"/>
        <item x="787"/>
        <item x="2500"/>
        <item x="2136"/>
        <item x="123"/>
        <item x="2000"/>
        <item x="2579"/>
        <item x="2757"/>
        <item x="1614"/>
        <item x="52"/>
        <item x="465"/>
        <item x="446"/>
        <item x="2686"/>
        <item x="1763"/>
        <item x="2522"/>
        <item x="1132"/>
        <item x="73"/>
        <item x="2079"/>
        <item x="774"/>
        <item x="1307"/>
        <item x="2405"/>
        <item x="1867"/>
        <item x="2503"/>
        <item x="2117"/>
        <item x="384"/>
        <item x="2675"/>
        <item x="887"/>
        <item x="174"/>
        <item x="569"/>
        <item x="933"/>
        <item x="1553"/>
        <item x="1511"/>
        <item x="2618"/>
        <item x="2862"/>
        <item x="347"/>
        <item x="1607"/>
        <item x="399"/>
        <item x="1472"/>
        <item x="2164"/>
        <item x="1958"/>
        <item x="2917"/>
        <item x="735"/>
        <item x="2058"/>
        <item x="572"/>
        <item x="152"/>
        <item x="2758"/>
        <item x="1887"/>
        <item x="1265"/>
        <item x="93"/>
        <item x="1720"/>
        <item x="21"/>
        <item x="1045"/>
        <item x="1538"/>
        <item x="260"/>
        <item x="1255"/>
        <item x="1042"/>
        <item x="2732"/>
        <item x="2567"/>
        <item x="338"/>
        <item x="2415"/>
        <item x="2266"/>
        <item x="1089"/>
        <item x="1665"/>
        <item x="1244"/>
        <item x="224"/>
        <item x="1728"/>
        <item x="555"/>
        <item x="480"/>
        <item x="2889"/>
        <item x="1906"/>
        <item x="2771"/>
        <item x="2275"/>
        <item x="1005"/>
        <item x="2110"/>
        <item x="2517"/>
        <item x="2203"/>
        <item x="1581"/>
        <item x="603"/>
        <item x="2637"/>
        <item x="1701"/>
        <item x="2469"/>
        <item x="671"/>
        <item x="2878"/>
        <item x="2560"/>
        <item x="2616"/>
        <item x="1092"/>
        <item x="1287"/>
        <item x="51"/>
        <item x="1002"/>
        <item x="1756"/>
        <item x="2566"/>
        <item x="134"/>
        <item x="1015"/>
        <item x="361"/>
        <item x="2366"/>
        <item x="2195"/>
        <item x="158"/>
        <item x="962"/>
        <item x="1363"/>
        <item x="1478"/>
        <item x="2639"/>
        <item x="1518"/>
        <item x="343"/>
        <item x="1652"/>
        <item x="29"/>
        <item x="1220"/>
        <item x="2858"/>
        <item x="497"/>
        <item x="1721"/>
        <item x="1079"/>
        <item x="777"/>
        <item x="943"/>
        <item x="1648"/>
        <item x="770"/>
        <item x="1311"/>
        <item x="1537"/>
        <item x="1428"/>
        <item x="1245"/>
        <item x="1684"/>
        <item x="2147"/>
        <item x="1602"/>
        <item x="1230"/>
        <item x="255"/>
        <item x="2463"/>
        <item x="1368"/>
        <item x="803"/>
        <item x="1394"/>
        <item x="2213"/>
        <item x="750"/>
        <item x="2414"/>
        <item x="1322"/>
        <item x="1930"/>
        <item x="929"/>
        <item x="1252"/>
        <item x="1052"/>
        <item x="210"/>
        <item x="604"/>
        <item x="2647"/>
        <item x="886"/>
        <item x="80"/>
        <item x="1546"/>
        <item x="65"/>
        <item x="1948"/>
        <item x="2236"/>
        <item x="402"/>
        <item x="2245"/>
        <item x="2804"/>
        <item x="2456"/>
        <item x="291"/>
        <item x="0"/>
        <item x="163"/>
        <item x="2694"/>
        <item x="1177"/>
        <item x="1430"/>
        <item x="2046"/>
        <item x="2369"/>
        <item x="1619"/>
        <item x="2792"/>
        <item x="1778"/>
        <item x="1194"/>
        <item x="501"/>
        <item x="1590"/>
        <item x="2243"/>
        <item x="576"/>
        <item x="2652"/>
        <item x="460"/>
        <item x="283"/>
        <item x="229"/>
        <item x="590"/>
        <item x="2126"/>
        <item x="1662"/>
        <item x="233"/>
        <item x="1825"/>
        <item x="2343"/>
        <item x="1791"/>
        <item x="2871"/>
        <item x="935"/>
        <item x="1785"/>
        <item x="1280"/>
        <item x="1583"/>
        <item x="1070"/>
        <item x="1364"/>
        <item x="239"/>
        <item x="2680"/>
        <item x="140"/>
        <item x="135"/>
        <item x="197"/>
        <item x="648"/>
        <item x="971"/>
        <item x="534"/>
        <item x="1876"/>
        <item x="2829"/>
        <item x="629"/>
        <item x="1500"/>
        <item x="879"/>
        <item x="1340"/>
        <item x="552"/>
        <item x="2720"/>
        <item x="672"/>
        <item x="1229"/>
        <item x="1936"/>
        <item x="597"/>
        <item x="611"/>
        <item x="781"/>
        <item x="494"/>
        <item x="1083"/>
        <item x="1144"/>
        <item x="1481"/>
        <item x="2175"/>
        <item x="78"/>
        <item x="1702"/>
        <item x="216"/>
        <item x="1933"/>
        <item x="1314"/>
        <item x="1273"/>
        <item x="804"/>
        <item x="1320"/>
        <item x="827"/>
        <item x="2075"/>
        <item x="248"/>
        <item x="1558"/>
        <item x="1184"/>
        <item x="2019"/>
        <item x="1039"/>
        <item x="1848"/>
        <item x="2676"/>
        <item x="1681"/>
        <item x="411"/>
        <item x="2009"/>
        <item x="888"/>
        <item x="1324"/>
        <item x="1657"/>
        <item x="1939"/>
        <item x="1640"/>
        <item x="2887"/>
        <item x="2781"/>
        <item x="923"/>
        <item x="2599"/>
        <item x="1208"/>
        <item x="117"/>
        <item x="1134"/>
        <item x="333"/>
        <item x="1623"/>
        <item x="1922"/>
        <item x="1603"/>
        <item x="1501"/>
        <item x="1018"/>
        <item x="596"/>
        <item x="1858"/>
        <item x="1985"/>
        <item x="58"/>
        <item x="394"/>
        <item x="2121"/>
        <item x="1214"/>
        <item x="132"/>
        <item x="872"/>
        <item x="481"/>
        <item x="856"/>
        <item x="2777"/>
        <item x="1085"/>
        <item x="2304"/>
        <item x="1345"/>
        <item x="295"/>
        <item x="948"/>
        <item x="1877"/>
        <item x="2120"/>
        <item x="373"/>
        <item x="742"/>
        <item x="515"/>
        <item x="619"/>
        <item x="2521"/>
        <item x="973"/>
        <item x="1973"/>
        <item x="1510"/>
        <item x="105"/>
        <item x="1127"/>
        <item x="2218"/>
        <item x="805"/>
        <item x="342"/>
        <item x="821"/>
        <item x="1411"/>
        <item x="548"/>
        <item x="370"/>
        <item x="539"/>
        <item x="2037"/>
        <item x="2351"/>
        <item x="1055"/>
        <item x="1458"/>
        <item x="2553"/>
        <item x="2177"/>
        <item x="1339"/>
        <item x="1300"/>
        <item x="2658"/>
        <item x="2750"/>
        <item x="2067"/>
        <item x="1351"/>
        <item x="880"/>
        <item x="2201"/>
        <item x="2108"/>
        <item x="2227"/>
        <item x="2084"/>
        <item x="1974"/>
        <item x="1567"/>
        <item x="167"/>
        <item x="1993"/>
        <item x="1807"/>
        <item x="646"/>
        <item x="1398"/>
        <item x="1989"/>
        <item x="264"/>
        <item x="1673"/>
        <item x="2874"/>
        <item x="302"/>
        <item x="2499"/>
        <item x="321"/>
        <item x="418"/>
        <item x="690"/>
        <item x="385"/>
        <item x="1644"/>
        <item x="983"/>
        <item x="1591"/>
        <item x="536"/>
        <item x="1275"/>
        <item x="2548"/>
        <item x="2755"/>
        <item x="1634"/>
        <item x="1094"/>
        <item x="607"/>
        <item x="2217"/>
        <item x="2587"/>
        <item x="79"/>
        <item x="1542"/>
        <item x="1463"/>
        <item x="1878"/>
        <item x="2407"/>
        <item x="2868"/>
        <item x="1190"/>
        <item x="2233"/>
        <item x="2876"/>
        <item x="2664"/>
        <item x="1406"/>
        <item x="1587"/>
        <item x="2796"/>
        <item x="1422"/>
        <item x="34"/>
        <item x="1605"/>
        <item x="974"/>
        <item x="977"/>
        <item x="144"/>
        <item x="2389"/>
        <item x="2691"/>
        <item x="1299"/>
        <item x="968"/>
        <item x="2582"/>
        <item x="25"/>
        <item x="18"/>
        <item x="2193"/>
        <item x="732"/>
        <item x="894"/>
        <item x="598"/>
        <item x="978"/>
        <item x="2891"/>
        <item x="2670"/>
        <item x="2707"/>
        <item x="966"/>
        <item x="724"/>
        <item x="334"/>
        <item x="1852"/>
        <item x="378"/>
        <item x="791"/>
        <item x="751"/>
        <item x="2115"/>
        <item x="2892"/>
        <item x="413"/>
        <item x="2611"/>
        <item x="492"/>
        <item x="1838"/>
        <item x="1975"/>
        <item x="698"/>
        <item x="2893"/>
        <item x="2263"/>
        <item x="474"/>
        <item x="1964"/>
        <item x="2337"/>
        <item x="1882"/>
        <item x="1071"/>
        <item x="2508"/>
        <item x="2076"/>
        <item x="2168"/>
        <item x="577"/>
        <item x="2279"/>
        <item x="1764"/>
        <item x="2514"/>
        <item x="647"/>
        <item x="1735"/>
        <item x="1676"/>
        <item x="1669"/>
        <item x="2600"/>
        <item x="372"/>
        <item x="898"/>
        <item x="2831"/>
        <item x="2923"/>
        <item x="439"/>
        <item x="1278"/>
        <item x="2294"/>
        <item x="570"/>
        <item x="1338"/>
        <item x="2336"/>
        <item x="2575"/>
        <item x="997"/>
        <item x="83"/>
        <item x="1768"/>
        <item x="2737"/>
        <item x="1671"/>
        <item x="2883"/>
        <item x="2099"/>
        <item x="1191"/>
        <item x="2826"/>
        <item x="2123"/>
        <item x="1232"/>
        <item x="2083"/>
        <item x="703"/>
        <item x="639"/>
        <item x="266"/>
        <item x="2780"/>
        <item x="1527"/>
        <item x="2692"/>
        <item x="230"/>
        <item x="96"/>
        <item x="1207"/>
        <item x="2586"/>
        <item x="953"/>
        <item x="37"/>
        <item x="1808"/>
        <item x="1436"/>
        <item x="995"/>
        <item x="2839"/>
        <item x="1793"/>
        <item x="2911"/>
        <item x="2902"/>
        <item x="2884"/>
        <item x="1557"/>
        <item x="1090"/>
        <item x="192"/>
        <item x="129"/>
        <item x="102"/>
        <item x="2264"/>
        <item x="2805"/>
        <item x="126"/>
        <item x="2234"/>
        <item x="1234"/>
        <item x="1872"/>
        <item x="623"/>
        <item x="2577"/>
        <item x="2788"/>
        <item x="1431"/>
        <item x="1703"/>
        <item x="1794"/>
        <item x="253"/>
        <item x="2320"/>
        <item x="2107"/>
        <item x="1246"/>
        <item x="1579"/>
        <item x="1576"/>
        <item x="740"/>
        <item x="1384"/>
        <item x="1641"/>
        <item x="1195"/>
        <item x="947"/>
        <item x="2626"/>
        <item x="62"/>
        <item x="972"/>
        <item x="2685"/>
        <item x="2457"/>
        <item x="1341"/>
        <item x="1751"/>
        <item x="1281"/>
        <item x="963"/>
        <item x="196"/>
        <item x="241"/>
        <item x="936"/>
        <item x="2362"/>
        <item x="882"/>
        <item x="927"/>
        <item x="2879"/>
        <item x="2167"/>
        <item x="424"/>
        <item x="1861"/>
        <item x="622"/>
        <item x="2015"/>
        <item x="747"/>
        <item x="2171"/>
        <item x="3"/>
        <item x="2071"/>
        <item x="205"/>
        <item x="32"/>
        <item x="1911"/>
        <item x="1257"/>
        <item x="2184"/>
        <item x="2001"/>
        <item x="1003"/>
        <item x="325"/>
        <item x="1663"/>
        <item x="1610"/>
        <item x="92"/>
        <item x="2526"/>
        <item x="1139"/>
        <item x="1179"/>
        <item x="1012"/>
        <item x="2866"/>
        <item x="2427"/>
        <item x="2713"/>
        <item x="2198"/>
        <item x="1885"/>
        <item x="201"/>
        <item x="2137"/>
        <item x="1388"/>
        <item x="784"/>
        <item x="2919"/>
        <item x="1393"/>
        <item x="252"/>
        <item x="1541"/>
        <item x="2525"/>
        <item x="2355"/>
        <item x="2709"/>
        <item x="220"/>
        <item x="2014"/>
        <item x="1435"/>
        <item x="374"/>
        <item x="676"/>
        <item x="2411"/>
        <item x="946"/>
        <item x="620"/>
        <item x="1645"/>
        <item x="1845"/>
        <item x="1704"/>
        <item x="753"/>
        <item x="2524"/>
        <item x="822"/>
        <item x="1020"/>
        <item x="118"/>
        <item x="2466"/>
        <item x="752"/>
        <item x="1060"/>
        <item x="814"/>
        <item x="1966"/>
        <item x="758"/>
        <item x="2124"/>
        <item x="1670"/>
        <item x="1528"/>
        <item x="1693"/>
        <item x="1967"/>
        <item x="1617"/>
        <item x="1912"/>
        <item x="2506"/>
        <item x="2021"/>
        <item x="1389"/>
        <item x="523"/>
        <item x="2302"/>
        <item x="2529"/>
        <item x="2224"/>
        <item x="790"/>
        <item x="2733"/>
        <item x="2169"/>
        <item x="2070"/>
        <item x="1171"/>
        <item x="1149"/>
        <item x="108"/>
        <item x="1418"/>
        <item x="124"/>
        <item x="1029"/>
        <item x="141"/>
        <item x="1831"/>
        <item x="2240"/>
        <item x="2202"/>
        <item x="1349"/>
        <item x="1646"/>
        <item x="2640"/>
        <item x="2546"/>
        <item x="2125"/>
        <item x="1929"/>
        <item x="1594"/>
        <item x="2480"/>
        <item x="581"/>
        <item x="43"/>
        <item x="1140"/>
        <item x="2335"/>
        <item x="112"/>
        <item x="2696"/>
        <item x="1253"/>
        <item x="1061"/>
        <item x="30"/>
        <item x="594"/>
        <item x="2434"/>
        <item x="2783"/>
        <item x="2873"/>
        <item x="726"/>
        <item x="2890"/>
        <item x="1402"/>
        <item x="1143"/>
        <item x="1732"/>
        <item x="57"/>
        <item x="2488"/>
        <item x="1733"/>
        <item x="1505"/>
        <item x="1826"/>
        <item x="585"/>
        <item x="2166"/>
        <item x="621"/>
        <item x="95"/>
        <item x="448"/>
        <item x="2140"/>
        <item x="1739"/>
        <item x="1392"/>
        <item x="137"/>
        <item x="1050"/>
        <item x="564"/>
        <item x="2043"/>
        <item x="1116"/>
        <item x="1862"/>
        <item x="1403"/>
        <item x="612"/>
        <item x="1360"/>
        <item x="1306"/>
        <item x="2745"/>
        <item x="760"/>
        <item x="404"/>
        <item x="2601"/>
        <item x="1592"/>
        <item x="2464"/>
        <item x="449"/>
        <item x="1434"/>
        <item x="412"/>
        <item x="573"/>
        <item x="1863"/>
        <item x="1770"/>
        <item x="1333"/>
        <item x="1568"/>
        <item x="104"/>
        <item x="2542"/>
        <item x="2324"/>
        <item x="2308"/>
        <item x="2916"/>
        <item x="2689"/>
        <item x="1401"/>
        <item x="875"/>
        <item x="2007"/>
        <item x="2439"/>
        <item x="665"/>
        <item x="1917"/>
        <item x="1562"/>
        <item x="568"/>
        <item x="289"/>
        <item x="571"/>
        <item x="1268"/>
        <item x="320"/>
        <item x="2087"/>
        <item x="645"/>
        <item x="1822"/>
        <item x="538"/>
        <item x="2655"/>
        <item x="1476"/>
        <item x="186"/>
        <item x="1940"/>
        <item x="727"/>
        <item x="2505"/>
        <item x="2751"/>
        <item x="1981"/>
        <item x="2641"/>
        <item x="1588"/>
        <item x="2855"/>
        <item x="1729"/>
        <item x="840"/>
        <item x="1186"/>
        <item x="687"/>
        <item x="398"/>
        <item x="1271"/>
        <item x="31"/>
        <item x="1109"/>
        <item x="2367"/>
        <item x="257"/>
        <item x="26"/>
        <item x="1048"/>
        <item x="998"/>
        <item x="1759"/>
        <item x="305"/>
        <item x="1075"/>
        <item x="199"/>
        <item x="1477"/>
        <item x="1999"/>
        <item x="1881"/>
        <item x="2843"/>
        <item x="2338"/>
        <item x="1949"/>
        <item x="2540"/>
        <item x="2662"/>
        <item x="1976"/>
        <item x="2022"/>
        <item x="2634"/>
        <item x="1650"/>
        <item x="636"/>
        <item x="545"/>
        <item x="2142"/>
        <item x="1196"/>
        <item x="327"/>
        <item x="1371"/>
        <item x="2010"/>
        <item x="610"/>
        <item x="2354"/>
        <item x="2775"/>
        <item x="1057"/>
        <item x="1695"/>
        <item x="2059"/>
        <item x="38"/>
        <item x="1604"/>
        <item x="989"/>
        <item x="328"/>
        <item x="110"/>
        <item x="354"/>
        <item x="2393"/>
        <item x="578"/>
        <item x="2629"/>
        <item x="1495"/>
        <item x="1903"/>
        <item x="982"/>
        <item x="2401"/>
        <item x="2678"/>
        <item x="565"/>
        <item x="833"/>
        <item x="1535"/>
        <item x="217"/>
        <item x="959"/>
        <item x="6"/>
        <item x="637"/>
        <item x="2816"/>
        <item x="1423"/>
        <item x="309"/>
        <item x="2596"/>
        <item x="2605"/>
        <item x="711"/>
        <item x="1027"/>
        <item x="1429"/>
        <item x="640"/>
        <item x="2538"/>
        <item x="276"/>
        <item x="1677"/>
        <item x="1372"/>
        <item x="2149"/>
        <item x="1460"/>
        <item x="396"/>
        <item x="2332"/>
        <item x="2461"/>
        <item x="1128"/>
        <item x="839"/>
        <item x="2226"/>
        <item x="668"/>
        <item x="2663"/>
        <item x="1260"/>
        <item x="2276"/>
        <item x="1979"/>
        <item x="2467"/>
        <item x="1995"/>
        <item x="2316"/>
        <item x="1032"/>
        <item x="1147"/>
        <item x="1100"/>
        <item x="2832"/>
        <item x="1072"/>
        <item x="54"/>
        <item x="2914"/>
        <item x="33"/>
        <item x="1564"/>
        <item x="2495"/>
        <item x="1653"/>
        <item x="1843"/>
        <item x="433"/>
        <item x="490"/>
        <item x="1624"/>
        <item x="2588"/>
        <item x="2431"/>
        <item x="530"/>
        <item x="2239"/>
        <item x="2241"/>
        <item x="1024"/>
        <item x="1133"/>
        <item x="2165"/>
        <item x="2020"/>
        <item x="2693"/>
        <item x="996"/>
        <item x="2204"/>
        <item x="2735"/>
        <item x="731"/>
        <item x="36"/>
        <item x="101"/>
        <item x="2176"/>
        <item x="701"/>
        <item x="111"/>
        <item x="2812"/>
        <item x="2064"/>
        <item x="2347"/>
        <item x="952"/>
        <item x="994"/>
        <item x="2643"/>
        <item x="2476"/>
        <item x="675"/>
        <item x="618"/>
        <item x="2031"/>
        <item x="661"/>
        <item x="1166"/>
        <item x="1361"/>
        <item x="2708"/>
        <item x="267"/>
        <item x="2528"/>
        <item x="2141"/>
        <item x="922"/>
        <item x="2074"/>
        <item x="2710"/>
        <item x="734"/>
        <item x="670"/>
        <item x="1935"/>
        <item x="1668"/>
        <item x="786"/>
        <item x="845"/>
        <item x="861"/>
        <item x="2846"/>
        <item x="47"/>
        <item x="2170"/>
        <item x="2077"/>
        <item x="1209"/>
        <item x="2174"/>
        <item x="2162"/>
        <item x="567"/>
        <item x="2129"/>
        <item x="1750"/>
        <item x="391"/>
        <item x="1093"/>
        <item x="2583"/>
        <item x="2845"/>
        <item x="2772"/>
        <item x="1354"/>
        <item x="1471"/>
        <item x="993"/>
        <item x="809"/>
        <item x="1482"/>
        <item x="2268"/>
        <item x="1319"/>
        <item x="1749"/>
        <item x="187"/>
        <item x="359"/>
        <item x="2027"/>
        <item x="918"/>
        <item x="2156"/>
        <item x="113"/>
        <item x="2853"/>
        <item x="2023"/>
        <item x="1741"/>
        <item x="2581"/>
        <item x="147"/>
        <item x="1621"/>
        <item x="17"/>
        <item x="1789"/>
        <item x="869"/>
        <item x="1636"/>
        <item x="916"/>
        <item x="442"/>
        <item x="905"/>
        <item x="1235"/>
        <item x="2257"/>
        <item x="1362"/>
        <item x="247"/>
        <item x="846"/>
        <item x="1037"/>
        <item x="14"/>
        <item x="757"/>
        <item x="403"/>
        <item x="2578"/>
        <item x="746"/>
        <item x="272"/>
        <item x="1334"/>
        <item x="1788"/>
        <item x="1658"/>
        <item x="2372"/>
        <item x="2563"/>
        <item x="1705"/>
        <item x="1119"/>
        <item x="457"/>
        <item x="542"/>
        <item x="2097"/>
        <item x="1156"/>
        <item x="2272"/>
        <item x="980"/>
        <item x="1945"/>
        <item x="1923"/>
        <item x="979"/>
        <item x="2612"/>
        <item x="145"/>
        <item x="352"/>
        <item x="2045"/>
        <item x="2298"/>
        <item x="1890"/>
        <item x="2042"/>
        <item x="410"/>
        <item x="469"/>
        <item x="685"/>
        <item x="2769"/>
        <item x="2310"/>
        <item x="2734"/>
        <item x="1202"/>
        <item x="1891"/>
        <item x="414"/>
        <item x="157"/>
        <item x="702"/>
        <item x="1011"/>
        <item x="633"/>
        <item x="84"/>
        <item x="1258"/>
        <item x="121"/>
        <item x="1711"/>
        <item x="2412"/>
        <item x="2861"/>
        <item x="463"/>
        <item x="2327"/>
        <item x="2410"/>
        <item x="1539"/>
        <item x="2630"/>
        <item x="2229"/>
        <item x="909"/>
        <item x="1001"/>
        <item x="351"/>
        <item x="984"/>
        <item x="2277"/>
        <item x="843"/>
        <item x="482"/>
        <item x="2603"/>
        <item x="2346"/>
        <item x="151"/>
        <item x="2697"/>
        <item x="2429"/>
        <item x="209"/>
        <item x="1950"/>
        <item x="775"/>
        <item x="896"/>
        <item x="1892"/>
        <item x="2328"/>
        <item x="1125"/>
        <item x="2564"/>
        <item x="1816"/>
        <item x="427"/>
        <item x="1545"/>
        <item x="2219"/>
        <item x="2024"/>
        <item x="1899"/>
        <item x="1141"/>
        <item x="1532"/>
        <item x="586"/>
        <item x="2460"/>
        <item x="2340"/>
        <item x="319"/>
        <item x="2376"/>
        <item x="1301"/>
        <item x="2443"/>
        <item x="2333"/>
        <item x="2299"/>
        <item x="919"/>
        <item x="2423"/>
        <item x="2374"/>
        <item x="2562"/>
        <item x="159"/>
        <item x="103"/>
        <item x="904"/>
        <item x="1786"/>
        <item x="422"/>
        <item x="1569"/>
        <item x="2384"/>
        <item x="2740"/>
        <item x="2209"/>
        <item x="825"/>
        <item x="2556"/>
        <item x="485"/>
        <item x="1934"/>
        <item x="2390"/>
        <item x="116"/>
        <item x="1586"/>
        <item x="673"/>
        <item x="1548"/>
        <item x="1034"/>
        <item x="2604"/>
        <item x="2055"/>
        <item x="729"/>
        <item x="2820"/>
        <item x="1893"/>
        <item x="244"/>
        <item x="1944"/>
        <item x="2314"/>
        <item x="415"/>
        <item x="115"/>
        <item x="1570"/>
        <item x="1270"/>
        <item x="1284"/>
        <item x="767"/>
        <item x="214"/>
        <item x="1470"/>
        <item x="705"/>
        <item x="1506"/>
        <item x="2898"/>
        <item x="1082"/>
        <item x="2494"/>
        <item x="1044"/>
        <item x="2225"/>
        <item x="582"/>
        <item x="2924"/>
        <item x="2512"/>
        <item x="2251"/>
        <item x="2034"/>
        <item x="1549"/>
        <item x="1292"/>
        <item x="1321"/>
        <item x="1799"/>
        <item x="1369"/>
        <item x="231"/>
        <item x="1955"/>
        <item x="1400"/>
        <item x="2624"/>
        <item x="2773"/>
        <item x="436"/>
        <item x="1853"/>
        <item x="1157"/>
        <item x="1707"/>
        <item x="1352"/>
        <item x="2323"/>
        <item x="2095"/>
        <item x="1115"/>
        <item x="2444"/>
        <item x="1414"/>
        <item x="795"/>
        <item x="1561"/>
        <item x="225"/>
        <item x="1612"/>
        <item x="591"/>
        <item x="2448"/>
        <item x="686"/>
        <item x="1357"/>
        <item x="434"/>
        <item x="2247"/>
        <item x="2570"/>
        <item x="2608"/>
        <item x="280"/>
        <item x="700"/>
        <item x="2409"/>
        <item x="2903"/>
        <item x="1543"/>
        <item x="1468"/>
        <item x="818"/>
        <item x="2823"/>
        <item x="2284"/>
        <item x="2806"/>
        <item x="2222"/>
        <item x="2228"/>
        <item x="1563"/>
        <item x="2620"/>
        <item x="219"/>
        <item x="2157"/>
        <item x="1969"/>
        <item x="281"/>
        <item x="723"/>
        <item x="1378"/>
        <item x="2550"/>
        <item x="2313"/>
        <item x="1766"/>
        <item x="817"/>
        <item x="2811"/>
        <item x="2180"/>
        <item x="2665"/>
        <item x="1142"/>
        <item x="2473"/>
        <item x="1902"/>
        <item x="2189"/>
        <item x="450"/>
        <item x="2571"/>
        <item x="1832"/>
        <item x="263"/>
        <item x="1261"/>
        <item x="1396"/>
        <item x="87"/>
        <item x="2644"/>
        <item x="499"/>
        <item x="2536"/>
        <item x="2066"/>
        <item x="938"/>
        <item x="2396"/>
        <item x="1293"/>
        <item x="1"/>
        <item x="1585"/>
        <item x="1199"/>
        <item x="1765"/>
        <item x="1637"/>
        <item x="1120"/>
        <item x="203"/>
        <item x="1584"/>
        <item x="773"/>
        <item x="2"/>
        <item x="525"/>
        <item x="561"/>
        <item x="2440"/>
        <item x="353"/>
        <item x="322"/>
        <item x="2290"/>
        <item x="754"/>
        <item x="2387"/>
        <item x="41"/>
        <item x="1355"/>
        <item x="807"/>
        <item x="516"/>
        <item x="2334"/>
        <item x="519"/>
        <item x="2724"/>
        <item x="1250"/>
        <item x="663"/>
        <item x="745"/>
        <item x="1502"/>
        <item x="2741"/>
        <item x="365"/>
        <item x="1335"/>
        <item x="23"/>
        <item x="627"/>
        <item x="1490"/>
        <item x="2687"/>
        <item x="2312"/>
        <item x="2900"/>
        <item x="2793"/>
        <item x="2867"/>
        <item x="1937"/>
        <item x="2375"/>
        <item x="876"/>
        <item x="756"/>
        <item x="2510"/>
        <item x="2492"/>
        <item x="1233"/>
        <item x="77"/>
        <item x="713"/>
        <item x="1986"/>
        <item x="890"/>
        <item x="2888"/>
        <item x="251"/>
        <item x="2800"/>
        <item x="2906"/>
        <item x="315"/>
        <item x="2462"/>
        <item x="2674"/>
        <item x="1412"/>
        <item x="650"/>
        <item x="815"/>
        <item x="2438"/>
        <item x="1524"/>
        <item x="693"/>
        <item x="90"/>
        <item x="172"/>
        <item x="475"/>
        <item x="2100"/>
        <item x="2106"/>
        <item x="1054"/>
        <item x="2502"/>
        <item x="1294"/>
        <item x="2178"/>
        <item x="2920"/>
        <item x="1726"/>
        <item x="944"/>
        <item x="744"/>
        <item x="2252"/>
        <item x="357"/>
        <item x="428"/>
        <item x="928"/>
        <item x="2704"/>
        <item x="505"/>
        <item x="810"/>
        <item x="1118"/>
        <item x="931"/>
        <item x="1795"/>
        <item x="2092"/>
        <item x="1367"/>
        <item x="870"/>
        <item x="1534"/>
        <item x="1977"/>
        <item x="306"/>
        <item x="2574"/>
        <item x="1900"/>
        <item x="48"/>
        <item x="874"/>
        <item x="2214"/>
        <item x="901"/>
        <item x="2078"/>
        <item x="2435"/>
        <item x="546"/>
        <item x="614"/>
        <item x="114"/>
        <item x="1897"/>
        <item x="957"/>
        <item x="2352"/>
        <item x="615"/>
        <item x="429"/>
        <item x="609"/>
        <item x="2446"/>
        <item x="1951"/>
        <item x="1725"/>
        <item x="1802"/>
        <item x="2762"/>
        <item x="634"/>
        <item x="1117"/>
        <item x="407"/>
        <item x="2897"/>
        <item x="1013"/>
        <item x="2285"/>
        <item x="2187"/>
        <item x="1507"/>
        <item x="1796"/>
        <item x="2700"/>
        <item x="617"/>
        <item x="1635"/>
        <item x="89"/>
        <item x="2151"/>
        <item x="1304"/>
        <item x="2833"/>
        <item x="1514"/>
        <item x="2844"/>
        <item x="1417"/>
        <item x="674"/>
        <item x="1385"/>
        <item x="2660"/>
        <item x="1382"/>
        <item x="2082"/>
        <item x="1859"/>
        <item x="1358"/>
        <item x="2013"/>
        <item x="2199"/>
        <item x="1860"/>
        <item x="2051"/>
        <item x="850"/>
        <item x="2642"/>
        <item x="940"/>
        <item x="826"/>
        <item x="562"/>
        <item x="1058"/>
        <item x="1536"/>
        <item x="1904"/>
        <item x="1041"/>
        <item x="397"/>
        <item x="855"/>
        <item x="508"/>
        <item x="1674"/>
        <item x="275"/>
        <item x="1107"/>
        <item x="39"/>
        <item x="164"/>
        <item x="35"/>
        <item x="1148"/>
        <item x="1926"/>
        <item x="340"/>
        <item x="1627"/>
        <item x="2116"/>
        <item x="240"/>
        <item x="2572"/>
        <item x="1167"/>
        <item x="2348"/>
        <item x="1744"/>
        <item x="2158"/>
        <item x="1834"/>
        <item x="1193"/>
        <item x="975"/>
        <item x="1970"/>
        <item x="1547"/>
        <item x="1571"/>
        <item x="762"/>
        <item x="892"/>
        <item x="1446"/>
        <item x="133"/>
        <item x="1609"/>
        <item x="823"/>
        <item x="2501"/>
        <item x="991"/>
        <item x="2778"/>
        <item x="2679"/>
        <item x="2471"/>
        <item x="1240"/>
        <item x="718"/>
        <item x="939"/>
        <item x="772"/>
        <item x="2344"/>
        <item x="2056"/>
        <item x="1006"/>
        <item x="1996"/>
        <item x="2363"/>
        <item x="1254"/>
        <item x="462"/>
        <item x="2364"/>
        <item x="641"/>
        <item x="834"/>
        <item x="227"/>
        <item x="2449"/>
        <item x="1021"/>
        <item x="2475"/>
        <item x="1410"/>
        <item x="1706"/>
        <item x="655"/>
        <item x="2321"/>
        <item x="2210"/>
        <item x="2182"/>
        <item x="820"/>
        <item x="2289"/>
        <item x="1499"/>
        <item x="2398"/>
        <item x="1997"/>
        <item x="599"/>
        <item x="383"/>
        <item x="1957"/>
        <item x="1007"/>
        <item x="1266"/>
        <item x="2096"/>
        <item x="2385"/>
        <item x="59"/>
        <item x="2498"/>
        <item x="1870"/>
        <item x="2386"/>
        <item x="2651"/>
        <item x="664"/>
        <item x="1474"/>
        <item x="2702"/>
        <item x="131"/>
        <item x="1288"/>
        <item x="2101"/>
        <item x="1595"/>
        <item x="549"/>
        <item x="1694"/>
        <item x="630"/>
        <item x="226"/>
        <item x="1628"/>
        <item x="2711"/>
        <item x="2235"/>
        <item x="1978"/>
        <item x="2345"/>
        <item x="1774"/>
        <item x="368"/>
        <item x="2840"/>
        <item x="1914"/>
        <item x="1810"/>
        <item x="1329"/>
        <item x="297"/>
        <item x="362"/>
        <item x="778"/>
        <item x="408"/>
        <item x="785"/>
        <item x="171"/>
        <item x="1178"/>
        <item x="1992"/>
        <item x="63"/>
        <item x="2265"/>
        <item x="1898"/>
        <item x="1589"/>
        <item x="298"/>
        <item x="2828"/>
        <item x="2785"/>
        <item x="2667"/>
        <item x="1626"/>
        <item x="185"/>
        <item x="796"/>
        <item x="2645"/>
        <item x="1479"/>
        <item x="1437"/>
        <item x="1828"/>
        <item x="2119"/>
        <item x="2485"/>
        <item x="2539"/>
        <item x="2259"/>
        <item x="2185"/>
        <item x="1801"/>
        <item x="274"/>
        <item x="841"/>
        <item x="1839"/>
        <item x="176"/>
        <item x="893"/>
        <item x="2744"/>
        <item x="2478"/>
        <item x="1820"/>
        <item x="1249"/>
        <item x="1480"/>
        <item x="1084"/>
        <item x="1734"/>
        <item x="2144"/>
        <item x="2244"/>
        <item x="452"/>
        <item x="1894"/>
        <item x="218"/>
        <item x="2584"/>
        <item x="649"/>
        <item x="1415"/>
        <item x="2688"/>
        <item x="2428"/>
        <item x="269"/>
        <item x="2913"/>
        <item x="296"/>
        <item x="1821"/>
        <item x="844"/>
        <item x="1025"/>
        <item x="720"/>
        <item x="138"/>
        <item x="2458"/>
        <item x="1290"/>
        <item x="165"/>
        <item x="524"/>
        <item x="1259"/>
        <item x="521"/>
        <item x="1691"/>
        <item x="951"/>
        <item x="221"/>
        <item x="304"/>
        <item x="2283"/>
        <item x="2576"/>
        <item x="1998"/>
        <item x="42"/>
        <item x="143"/>
        <item x="2706"/>
        <item x="2220"/>
        <item x="2102"/>
        <item x="1849"/>
        <item x="2848"/>
        <item x="1096"/>
        <item x="261"/>
        <item x="405"/>
        <item x="2854"/>
        <item x="2761"/>
        <item x="924"/>
        <item x="969"/>
        <item x="1817"/>
        <item x="1925"/>
        <item x="2585"/>
        <item x="188"/>
        <item x="2532"/>
        <item x="1242"/>
        <item x="189"/>
        <item x="270"/>
        <item x="2406"/>
        <item x="709"/>
        <item x="2774"/>
        <item x="369"/>
        <item x="382"/>
        <item x="811"/>
        <item x="81"/>
        <item x="1381"/>
        <item x="1812"/>
        <item x="2746"/>
        <item x="356"/>
        <item x="1517"/>
        <item x="920"/>
        <item x="2718"/>
        <item x="1312"/>
        <item x="2382"/>
        <item x="819"/>
        <item x="191"/>
        <item x="806"/>
        <item x="1123"/>
        <item x="1377"/>
        <item x="1868"/>
        <item t="default"/>
      </items>
    </pivotField>
    <pivotField showAll="0">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pivotField>
    <pivotField showAll="0"/>
    <pivotField showAll="0">
      <items count="18">
        <item h="1" x="1"/>
        <item h="1" x="0"/>
        <item h="1" x="9"/>
        <item x="6"/>
        <item h="1" x="8"/>
        <item h="1" x="2"/>
        <item h="1" x="5"/>
        <item h="1" x="7"/>
        <item h="1" x="11"/>
        <item h="1" x="4"/>
        <item h="1" x="12"/>
        <item h="1" x="13"/>
        <item h="1" x="15"/>
        <item h="1" x="14"/>
        <item h="1" x="10"/>
        <item h="1" x="3"/>
        <item h="1" x="16"/>
        <item t="default"/>
      </items>
    </pivotField>
    <pivotField showAll="0"/>
    <pivotField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6">
        <item h="1" x="4"/>
        <item h="1" x="3"/>
        <item h="1" x="2"/>
        <item x="0"/>
        <item h="1" x="1"/>
        <item t="default"/>
      </items>
    </pivotField>
    <pivotField showAll="0"/>
    <pivotField showAll="0"/>
  </pivotFields>
  <rowFields count="1">
    <field x="0"/>
  </rowFields>
  <rowItems count="98">
    <i>
      <x v="3"/>
    </i>
    <i>
      <x v="82"/>
    </i>
    <i>
      <x v="95"/>
    </i>
    <i>
      <x v="103"/>
    </i>
    <i>
      <x v="110"/>
    </i>
    <i>
      <x v="119"/>
    </i>
    <i>
      <x v="153"/>
    </i>
    <i>
      <x v="178"/>
    </i>
    <i>
      <x v="225"/>
    </i>
    <i>
      <x v="239"/>
    </i>
    <i>
      <x v="273"/>
    </i>
    <i>
      <x v="324"/>
    </i>
    <i>
      <x v="357"/>
    </i>
    <i>
      <x v="391"/>
    </i>
    <i>
      <x v="416"/>
    </i>
    <i>
      <x v="429"/>
    </i>
    <i>
      <x v="505"/>
    </i>
    <i>
      <x v="527"/>
    </i>
    <i>
      <x v="530"/>
    </i>
    <i>
      <x v="544"/>
    </i>
    <i>
      <x v="574"/>
    </i>
    <i>
      <x v="583"/>
    </i>
    <i>
      <x v="600"/>
    </i>
    <i>
      <x v="604"/>
    </i>
    <i>
      <x v="608"/>
    </i>
    <i>
      <x v="637"/>
    </i>
    <i>
      <x v="648"/>
    </i>
    <i>
      <x v="656"/>
    </i>
    <i>
      <x v="687"/>
    </i>
    <i>
      <x v="759"/>
    </i>
    <i>
      <x v="787"/>
    </i>
    <i>
      <x v="798"/>
    </i>
    <i>
      <x v="881"/>
    </i>
    <i>
      <x v="967"/>
    </i>
    <i>
      <x v="968"/>
    </i>
    <i>
      <x v="994"/>
    </i>
    <i>
      <x v="1025"/>
    </i>
    <i>
      <x v="1028"/>
    </i>
    <i>
      <x v="1036"/>
    </i>
    <i>
      <x v="1077"/>
    </i>
    <i>
      <x v="1090"/>
    </i>
    <i>
      <x v="1103"/>
    </i>
    <i>
      <x v="1136"/>
    </i>
    <i>
      <x v="1149"/>
    </i>
    <i>
      <x v="1151"/>
    </i>
    <i>
      <x v="1187"/>
    </i>
    <i>
      <x v="1211"/>
    </i>
    <i>
      <x v="1333"/>
    </i>
    <i>
      <x v="1359"/>
    </i>
    <i>
      <x v="1413"/>
    </i>
    <i>
      <x v="1464"/>
    </i>
    <i>
      <x v="1481"/>
    </i>
    <i>
      <x v="1536"/>
    </i>
    <i>
      <x v="1554"/>
    </i>
    <i>
      <x v="1564"/>
    </i>
    <i>
      <x v="1629"/>
    </i>
    <i>
      <x v="1664"/>
    </i>
    <i>
      <x v="1679"/>
    </i>
    <i>
      <x v="1713"/>
    </i>
    <i>
      <x v="1718"/>
    </i>
    <i>
      <x v="1739"/>
    </i>
    <i>
      <x v="1753"/>
    </i>
    <i>
      <x v="1796"/>
    </i>
    <i>
      <x v="1815"/>
    </i>
    <i>
      <x v="1828"/>
    </i>
    <i>
      <x v="1865"/>
    </i>
    <i>
      <x v="1867"/>
    </i>
    <i>
      <x v="1899"/>
    </i>
    <i>
      <x v="1923"/>
    </i>
    <i>
      <x v="1924"/>
    </i>
    <i>
      <x v="1947"/>
    </i>
    <i>
      <x v="1955"/>
    </i>
    <i>
      <x v="2018"/>
    </i>
    <i>
      <x v="2026"/>
    </i>
    <i>
      <x v="2052"/>
    </i>
    <i>
      <x v="2060"/>
    </i>
    <i>
      <x v="2151"/>
    </i>
    <i>
      <x v="2224"/>
    </i>
    <i>
      <x v="2233"/>
    </i>
    <i>
      <x v="2251"/>
    </i>
    <i>
      <x v="2312"/>
    </i>
    <i>
      <x v="2356"/>
    </i>
    <i>
      <x v="2501"/>
    </i>
    <i>
      <x v="2507"/>
    </i>
    <i>
      <x v="2508"/>
    </i>
    <i>
      <x v="2510"/>
    </i>
    <i>
      <x v="2527"/>
    </i>
    <i>
      <x v="2528"/>
    </i>
    <i>
      <x v="2546"/>
    </i>
    <i>
      <x v="2634"/>
    </i>
    <i>
      <x v="2655"/>
    </i>
    <i>
      <x v="2690"/>
    </i>
    <i>
      <x v="2786"/>
    </i>
    <i>
      <x v="2827"/>
    </i>
    <i>
      <x v="2859"/>
    </i>
    <i>
      <x v="2872"/>
    </i>
    <i>
      <x v="28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181023-0351-4BFA-B933-612C37E5B386}" name="PivotTable5"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88:I191" firstHeaderRow="1" firstDataRow="1" firstDataCol="1"/>
  <pivotFields count="13">
    <pivotField dataField="1" showAll="0"/>
    <pivotField showAll="0">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pivotField>
    <pivotField showAll="0"/>
    <pivotField showAll="0">
      <items count="18">
        <item h="1" x="1"/>
        <item h="1" x="0"/>
        <item h="1" x="9"/>
        <item x="6"/>
        <item h="1" x="8"/>
        <item h="1" x="2"/>
        <item h="1" x="5"/>
        <item h="1" x="7"/>
        <item h="1" x="11"/>
        <item h="1" x="4"/>
        <item h="1" x="12"/>
        <item h="1" x="13"/>
        <item h="1" x="15"/>
        <item h="1" x="14"/>
        <item h="1" x="10"/>
        <item h="1" x="3"/>
        <item h="1" x="16"/>
        <item t="default"/>
      </items>
    </pivotField>
    <pivotField showAll="0"/>
    <pivotField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6">
        <item h="1" x="4"/>
        <item h="1" x="3"/>
        <item h="1" x="2"/>
        <item x="0"/>
        <item h="1" x="1"/>
        <item t="default"/>
      </items>
    </pivotField>
    <pivotField showAll="0"/>
    <pivotField axis="axisRow" showAll="0">
      <items count="3">
        <item x="1"/>
        <item x="0"/>
        <item t="default"/>
      </items>
    </pivotField>
  </pivotFields>
  <rowFields count="1">
    <field x="12"/>
  </rowFields>
  <rowItems count="3">
    <i>
      <x/>
    </i>
    <i>
      <x v="1"/>
    </i>
    <i t="grand">
      <x/>
    </i>
  </rowItems>
  <colItems count="1">
    <i/>
  </colItems>
  <dataFields count="1">
    <dataField name="Count of compan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3C8D5-3F61-4827-8C4F-8A1728873E93}" name="PivotTable3"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42:B91" firstHeaderRow="1" firstDataRow="1" firstDataCol="1"/>
  <pivotFields count="13">
    <pivotField showAll="0"/>
    <pivotField showAll="0">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pivotField>
    <pivotField showAll="0"/>
    <pivotField showAll="0">
      <items count="18">
        <item h="1" x="1"/>
        <item h="1" x="0"/>
        <item h="1" x="9"/>
        <item x="6"/>
        <item h="1" x="8"/>
        <item h="1" x="2"/>
        <item h="1" x="5"/>
        <item h="1" x="7"/>
        <item h="1" x="11"/>
        <item h="1" x="4"/>
        <item h="1" x="12"/>
        <item h="1" x="13"/>
        <item h="1" x="15"/>
        <item h="1" x="14"/>
        <item h="1" x="10"/>
        <item h="1" x="3"/>
        <item h="1" x="16"/>
        <item t="default"/>
      </items>
    </pivotField>
    <pivotField dataField="1" showAll="0"/>
    <pivotField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8">
        <item x="6"/>
        <item x="5"/>
        <item x="4"/>
        <item x="3"/>
        <item x="2"/>
        <item x="1"/>
        <item x="0"/>
        <item t="default"/>
      </items>
    </pivotField>
    <pivotField axis="axisRow" showAll="0">
      <items count="13">
        <item x="6"/>
        <item x="5"/>
        <item x="4"/>
        <item x="3"/>
        <item x="2"/>
        <item x="1"/>
        <item x="0"/>
        <item x="11"/>
        <item x="10"/>
        <item x="9"/>
        <item x="8"/>
        <item x="7"/>
        <item t="default"/>
      </items>
    </pivotField>
    <pivotField showAll="0">
      <items count="6">
        <item h="1" x="4"/>
        <item h="1" x="3"/>
        <item h="1" x="2"/>
        <item x="0"/>
        <item h="1" x="1"/>
        <item t="default"/>
      </items>
    </pivotField>
    <pivotField showAll="0"/>
    <pivotField showAll="0"/>
  </pivotFields>
  <rowFields count="2">
    <field x="8"/>
    <field x="9"/>
  </rowFields>
  <rowItems count="49">
    <i>
      <x/>
    </i>
    <i r="1">
      <x v="2"/>
    </i>
    <i r="1">
      <x v="3"/>
    </i>
    <i r="1">
      <x v="4"/>
    </i>
    <i r="1">
      <x v="5"/>
    </i>
    <i r="1">
      <x v="7"/>
    </i>
    <i r="1">
      <x v="10"/>
    </i>
    <i>
      <x v="2"/>
    </i>
    <i r="1">
      <x/>
    </i>
    <i r="1">
      <x v="4"/>
    </i>
    <i r="1">
      <x v="5"/>
    </i>
    <i r="1">
      <x v="6"/>
    </i>
    <i r="1">
      <x v="7"/>
    </i>
    <i r="1">
      <x v="8"/>
    </i>
    <i r="1">
      <x v="9"/>
    </i>
    <i r="1">
      <x v="10"/>
    </i>
    <i>
      <x v="3"/>
    </i>
    <i r="1">
      <x v="1"/>
    </i>
    <i r="1">
      <x v="2"/>
    </i>
    <i r="1">
      <x v="3"/>
    </i>
    <i r="1">
      <x v="5"/>
    </i>
    <i r="1">
      <x v="6"/>
    </i>
    <i r="1">
      <x v="7"/>
    </i>
    <i r="1">
      <x v="8"/>
    </i>
    <i r="1">
      <x v="9"/>
    </i>
    <i r="1">
      <x v="10"/>
    </i>
    <i r="1">
      <x v="11"/>
    </i>
    <i>
      <x v="4"/>
    </i>
    <i r="1">
      <x/>
    </i>
    <i r="1">
      <x v="1"/>
    </i>
    <i r="1">
      <x v="3"/>
    </i>
    <i r="1">
      <x v="6"/>
    </i>
    <i r="1">
      <x v="8"/>
    </i>
    <i r="1">
      <x v="9"/>
    </i>
    <i r="1">
      <x v="10"/>
    </i>
    <i r="1">
      <x v="11"/>
    </i>
    <i>
      <x v="5"/>
    </i>
    <i r="1">
      <x/>
    </i>
    <i r="1">
      <x v="3"/>
    </i>
    <i r="1">
      <x v="4"/>
    </i>
    <i r="1">
      <x v="6"/>
    </i>
    <i r="1">
      <x v="8"/>
    </i>
    <i r="1">
      <x v="10"/>
    </i>
    <i r="1">
      <x v="11"/>
    </i>
    <i>
      <x v="6"/>
    </i>
    <i r="1">
      <x/>
    </i>
    <i r="1">
      <x v="2"/>
    </i>
    <i r="1">
      <x v="3"/>
    </i>
    <i t="grand">
      <x/>
    </i>
  </rowItems>
  <colItems count="1">
    <i/>
  </colItems>
  <dataFields count="1">
    <dataField name="Sum of total_laid_off_num" fld="4"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F8E1A1-A91F-4A5F-B351-B15205DC7E83}" name="PivotTable8"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9:A190" firstHeaderRow="1" firstDataRow="1" firstDataCol="0"/>
  <pivotFields count="13">
    <pivotField showAll="0"/>
    <pivotField showAll="0">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pivotField>
    <pivotField showAll="0"/>
    <pivotField showAll="0">
      <items count="18">
        <item h="1" x="1"/>
        <item h="1" x="0"/>
        <item h="1" x="9"/>
        <item x="6"/>
        <item h="1" x="8"/>
        <item h="1" x="2"/>
        <item h="1" x="5"/>
        <item h="1" x="7"/>
        <item h="1" x="11"/>
        <item h="1" x="4"/>
        <item h="1" x="12"/>
        <item h="1" x="13"/>
        <item h="1" x="15"/>
        <item h="1" x="14"/>
        <item h="1" x="10"/>
        <item h="1" x="3"/>
        <item h="1" x="16"/>
        <item t="default"/>
      </items>
    </pivotField>
    <pivotField dataField="1" showAll="0"/>
    <pivotField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6">
        <item h="1" x="4"/>
        <item h="1" x="3"/>
        <item h="1" x="2"/>
        <item x="0"/>
        <item h="1" x="1"/>
        <item t="default"/>
      </items>
    </pivotField>
    <pivotField showAll="0"/>
    <pivotField showAll="0"/>
  </pivotFields>
  <rowItems count="1">
    <i/>
  </rowItems>
  <colItems count="1">
    <i/>
  </colItems>
  <dataFields count="1">
    <dataField name="Sum of total_laid_off_num"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5450A3-0737-4BB6-BF43-67D3A0E37DA1}" name="PivotTable10"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89:E190" firstHeaderRow="1" firstDataRow="1" firstDataCol="0"/>
  <pivotFields count="13">
    <pivotField showAll="0"/>
    <pivotField showAll="0">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pivotField>
    <pivotField showAll="0"/>
    <pivotField showAll="0">
      <items count="18">
        <item h="1" x="1"/>
        <item h="1" x="0"/>
        <item h="1" x="9"/>
        <item x="6"/>
        <item h="1" x="8"/>
        <item h="1" x="2"/>
        <item h="1" x="5"/>
        <item h="1" x="7"/>
        <item h="1" x="11"/>
        <item h="1" x="4"/>
        <item h="1" x="12"/>
        <item h="1" x="13"/>
        <item h="1" x="15"/>
        <item h="1" x="14"/>
        <item h="1" x="10"/>
        <item h="1" x="3"/>
        <item h="1" x="16"/>
        <item t="default"/>
      </items>
    </pivotField>
    <pivotField showAll="0"/>
    <pivotField dataField="1"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6">
        <item h="1" x="4"/>
        <item h="1" x="3"/>
        <item h="1" x="2"/>
        <item x="0"/>
        <item h="1" x="1"/>
        <item t="default"/>
      </items>
    </pivotField>
    <pivotField showAll="0"/>
    <pivotField showAll="0"/>
  </pivotFields>
  <rowItems count="1">
    <i/>
  </rowItems>
  <colItems count="1">
    <i/>
  </colItems>
  <dataFields count="1">
    <dataField name="Average of percentage_laid_off_num" fld="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866F6D-FB82-4EC9-BA9B-E50DD4C01CEC}" name="PivotTable7"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51:B153" firstHeaderRow="1" firstDataRow="1" firstDataCol="1"/>
  <pivotFields count="13">
    <pivotField showAll="0"/>
    <pivotField showAll="0">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pivotField>
    <pivotField showAll="0"/>
    <pivotField axis="axisRow" showAll="0" sortType="descending">
      <items count="18">
        <item h="1" x="1"/>
        <item h="1" x="0"/>
        <item h="1" x="9"/>
        <item x="6"/>
        <item h="1" x="8"/>
        <item h="1" x="2"/>
        <item h="1" x="5"/>
        <item h="1" x="7"/>
        <item h="1" x="11"/>
        <item h="1" x="4"/>
        <item h="1" x="12"/>
        <item h="1" x="13"/>
        <item h="1" x="15"/>
        <item h="1" x="14"/>
        <item h="1" x="10"/>
        <item h="1" x="3"/>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6">
        <item h="1" x="4"/>
        <item h="1" x="3"/>
        <item h="1" x="2"/>
        <item x="0"/>
        <item h="1" x="1"/>
        <item t="default"/>
      </items>
    </pivotField>
    <pivotField dataField="1" showAll="0"/>
    <pivotField showAll="0"/>
  </pivotFields>
  <rowFields count="1">
    <field x="3"/>
  </rowFields>
  <rowItems count="2">
    <i>
      <x v="3"/>
    </i>
    <i t="grand">
      <x/>
    </i>
  </rowItems>
  <colItems count="1">
    <i/>
  </colItems>
  <dataFields count="1">
    <dataField name="Average of is_full_shutdown2" fld="11" subtotal="average" baseField="3"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61ABA8-A4B9-42ED-A57E-80D1E9F55CC8}" name="PivotTable2"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3:B28" firstHeaderRow="1" firstDataRow="1" firstDataCol="1"/>
  <pivotFields count="13">
    <pivotField showAll="0"/>
    <pivotField axis="axisRow" showAll="0" sortType="descending">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autoSortScope>
        <pivotArea dataOnly="0" outline="0" fieldPosition="0">
          <references count="1">
            <reference field="4294967294" count="1" selected="0">
              <x v="0"/>
            </reference>
          </references>
        </pivotArea>
      </autoSortScope>
    </pivotField>
    <pivotField showAll="0"/>
    <pivotField showAll="0">
      <items count="18">
        <item h="1" x="1"/>
        <item h="1" x="0"/>
        <item h="1" x="9"/>
        <item x="6"/>
        <item h="1" x="8"/>
        <item h="1" x="2"/>
        <item h="1" x="5"/>
        <item h="1" x="7"/>
        <item h="1" x="11"/>
        <item h="1" x="4"/>
        <item h="1" x="12"/>
        <item h="1" x="13"/>
        <item h="1" x="15"/>
        <item h="1" x="14"/>
        <item h="1" x="10"/>
        <item h="1" x="3"/>
        <item h="1" x="16"/>
        <item t="default"/>
      </items>
    </pivotField>
    <pivotField dataField="1" showAll="0"/>
    <pivotField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6">
        <item h="1" x="4"/>
        <item h="1" x="3"/>
        <item h="1" x="2"/>
        <item x="0"/>
        <item h="1" x="1"/>
        <item t="default"/>
      </items>
    </pivotField>
    <pivotField showAll="0"/>
    <pivotField showAll="0"/>
  </pivotFields>
  <rowFields count="1">
    <field x="1"/>
  </rowFields>
  <rowItems count="25">
    <i>
      <x v="3"/>
    </i>
    <i>
      <x v="6"/>
    </i>
    <i>
      <x v="10"/>
    </i>
    <i>
      <x v="2"/>
    </i>
    <i>
      <x v="12"/>
    </i>
    <i>
      <x v="26"/>
    </i>
    <i>
      <x v="13"/>
    </i>
    <i>
      <x v="27"/>
    </i>
    <i>
      <x v="21"/>
    </i>
    <i>
      <x v="18"/>
    </i>
    <i>
      <x v="8"/>
    </i>
    <i>
      <x v="4"/>
    </i>
    <i>
      <x v="14"/>
    </i>
    <i>
      <x v="20"/>
    </i>
    <i>
      <x v="24"/>
    </i>
    <i>
      <x v="29"/>
    </i>
    <i>
      <x v="19"/>
    </i>
    <i>
      <x v="25"/>
    </i>
    <i>
      <x v="28"/>
    </i>
    <i>
      <x v="9"/>
    </i>
    <i>
      <x v="22"/>
    </i>
    <i>
      <x v="23"/>
    </i>
    <i>
      <x/>
    </i>
    <i>
      <x v="15"/>
    </i>
    <i t="grand">
      <x/>
    </i>
  </rowItems>
  <colItems count="1">
    <i/>
  </colItems>
  <dataFields count="1">
    <dataField name="Sum of total_laid_off_num" fld="4" baseField="1"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BC2535-24D8-45F1-8CB0-0AAD5E797F89}" name="PivotTable4" cacheId="3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36:B138" firstHeaderRow="1" firstDataRow="1" firstDataCol="1"/>
  <pivotFields count="13">
    <pivotField showAll="0"/>
    <pivotField showAll="0">
      <items count="32">
        <item x="29"/>
        <item x="17"/>
        <item x="30"/>
        <item x="1"/>
        <item x="9"/>
        <item x="6"/>
        <item x="21"/>
        <item x="26"/>
        <item x="14"/>
        <item x="25"/>
        <item x="18"/>
        <item x="12"/>
        <item x="5"/>
        <item x="7"/>
        <item x="24"/>
        <item x="27"/>
        <item x="23"/>
        <item x="20"/>
        <item x="10"/>
        <item x="4"/>
        <item x="0"/>
        <item x="22"/>
        <item x="16"/>
        <item x="8"/>
        <item x="2"/>
        <item x="19"/>
        <item x="3"/>
        <item x="15"/>
        <item x="11"/>
        <item x="13"/>
        <item x="28"/>
        <item t="default"/>
      </items>
    </pivotField>
    <pivotField showAll="0"/>
    <pivotField showAll="0">
      <items count="18">
        <item h="1" x="1"/>
        <item h="1" x="0"/>
        <item h="1" x="9"/>
        <item x="6"/>
        <item h="1" x="8"/>
        <item h="1" x="2"/>
        <item h="1" x="5"/>
        <item h="1" x="7"/>
        <item h="1" x="11"/>
        <item h="1" x="4"/>
        <item h="1" x="12"/>
        <item h="1" x="13"/>
        <item h="1" x="15"/>
        <item h="1" x="14"/>
        <item h="1" x="10"/>
        <item h="1" x="3"/>
        <item h="1" x="16"/>
        <item t="default"/>
      </items>
    </pivotField>
    <pivotField showAll="0"/>
    <pivotField dataField="1" showAll="0"/>
    <pivotField showAll="0"/>
    <pivotField numFmtId="14" showAll="0">
      <items count="1262">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sortType="descending">
      <items count="6">
        <item h="1" x="4"/>
        <item h="1" x="3"/>
        <item h="1" x="2"/>
        <item x="0"/>
        <item h="1"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2">
    <i>
      <x v="3"/>
    </i>
    <i t="grand">
      <x/>
    </i>
  </rowItems>
  <colItems count="1">
    <i/>
  </colItems>
  <dataFields count="1">
    <dataField name="Average of percentage_laid_off_num" fld="5" subtotal="average" baseField="10" baseItem="0"/>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51CC70D6-FD95-4E81-8495-61F9C13D8324}" sourceName="industry">
  <pivotTables>
    <pivotTable tabId="4" name="PivotTable3"/>
    <pivotTable tabId="4" name="PivotTable2"/>
    <pivotTable tabId="4" name="PivotTable4"/>
    <pivotTable tabId="4" name="PivotTable7"/>
    <pivotTable tabId="4" name="PivotTable10"/>
    <pivotTable tabId="4" name="PivotTable8"/>
    <pivotTable tabId="6" name="PivotTable1"/>
    <pivotTable tabId="4" name="PivotTable5"/>
  </pivotTables>
  <data>
    <tabular pivotCacheId="1104314466">
      <items count="31">
        <i x="29" s="1"/>
        <i x="30" s="1"/>
        <i x="1" s="1"/>
        <i x="9" s="1"/>
        <i x="21" s="1"/>
        <i x="14" s="1"/>
        <i x="25" s="1"/>
        <i x="18" s="1"/>
        <i x="5" s="1"/>
        <i x="7" s="1"/>
        <i x="24" s="1"/>
        <i x="27" s="1"/>
        <i x="10" s="1"/>
        <i x="4" s="1"/>
        <i x="0" s="1"/>
        <i x="22" s="1"/>
        <i x="16" s="1"/>
        <i x="8" s="1"/>
        <i x="2" s="1"/>
        <i x="19" s="1"/>
        <i x="3" s="1"/>
        <i x="15" s="1"/>
        <i x="11" s="1"/>
        <i x="13" s="1"/>
        <i x="17" s="1" nd="1"/>
        <i x="6" s="1" nd="1"/>
        <i x="26" s="1" nd="1"/>
        <i x="12" s="1" nd="1"/>
        <i x="23" s="1" nd="1"/>
        <i x="20" s="1" nd="1"/>
        <i x="2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1468C8BF-8704-4045-9E12-033034741A3E}" sourceName="stage">
  <pivotTables>
    <pivotTable tabId="4" name="PivotTable3"/>
    <pivotTable tabId="4" name="PivotTable2"/>
    <pivotTable tabId="4" name="PivotTable4"/>
    <pivotTable tabId="4" name="PivotTable7"/>
    <pivotTable tabId="4" name="PivotTable10"/>
    <pivotTable tabId="4" name="PivotTable8"/>
    <pivotTable tabId="6" name="PivotTable1"/>
    <pivotTable tabId="4" name="PivotTable5"/>
  </pivotTables>
  <data>
    <tabular pivotCacheId="1104314466">
      <items count="17">
        <i x="1"/>
        <i x="0"/>
        <i x="9"/>
        <i x="6" s="1"/>
        <i x="8"/>
        <i x="2"/>
        <i x="10"/>
        <i x="3"/>
        <i x="5" nd="1"/>
        <i x="7" nd="1"/>
        <i x="11" nd="1"/>
        <i x="4" nd="1"/>
        <i x="12" nd="1"/>
        <i x="13" nd="1"/>
        <i x="15" nd="1"/>
        <i x="14" nd="1"/>
        <i x="1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ing_tier" xr10:uid="{2BFD5930-324B-4D71-8E4D-8DB7F35307CE}" sourceName="funding_tier">
  <pivotTables>
    <pivotTable tabId="4" name="PivotTable3"/>
    <pivotTable tabId="4" name="PivotTable2"/>
    <pivotTable tabId="4" name="PivotTable4"/>
    <pivotTable tabId="4" name="PivotTable7"/>
    <pivotTable tabId="4" name="PivotTable10"/>
    <pivotTable tabId="4" name="PivotTable8"/>
    <pivotTable tabId="6" name="PivotTable1"/>
    <pivotTable tabId="4" name="PivotTable5"/>
  </pivotTables>
  <data>
    <tabular pivotCacheId="1104314466">
      <items count="5">
        <i x="3"/>
        <i x="0" s="1"/>
        <i x="1"/>
        <i x="4"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2D174C5F-D2AB-4C50-8FA9-7D5B5EC25DF9}" cache="Slicer_industry" caption="Industry" rowHeight="257175"/>
  <slicer name="Company Stage" xr10:uid="{3D250EC5-341E-473B-A2BF-07DE651242D0}" cache="Slicer_stage" caption="Company Stage" rowHeight="257175"/>
  <slicer name="Funding Tier" xr10:uid="{E1C57BB7-80DF-4530-B4B0-A52959EDC10C}" cache="Slicer_funding_tier" caption="Funding Tier"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clean" xr10:uid="{2D09DC94-0861-4A9F-9970-3F22E69E1B66}" sourceName="date_clean">
  <pivotTables>
    <pivotTable tabId="4" name="PivotTable3"/>
    <pivotTable tabId="4" name="PivotTable2"/>
    <pivotTable tabId="4" name="PivotTable4"/>
    <pivotTable tabId="4" name="PivotTable7"/>
    <pivotTable tabId="4" name="PivotTable10"/>
    <pivotTable tabId="4" name="PivotTable8"/>
    <pivotTable tabId="6" name="PivotTable1"/>
    <pivotTable tabId="4" name="PivotTable5"/>
  </pivotTables>
  <state minimalRefreshVersion="6" lastRefreshVersion="6" pivotCacheId="1104314466" filterType="unknown">
    <bounds startDate="2020-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clean" xr10:uid="{6AD45C51-DFF6-4F3C-AD86-0B019799708E}" cache="NativeTimeline_date_clean" caption="Years" level="0" selectionLevel="0" scrollPosition="2020-01-01T00:00:00"/>
  <timeline name="date_clean 1" xr10:uid="{F102430F-1FF0-4EF9-92B8-2CDAF39B8668}" cache="NativeTimeline_date_clean" caption="Quarters" level="1" selectionLevel="1" scrollPosition="2020-01-01T00:00:00"/>
  <timeline name="date_clean 2" xr10:uid="{BFC7DD28-FE2C-461D-AA38-E61A50E070CC}" cache="NativeTimeline_date_clean" caption="Months" level="2" selectionLevel="2" scrollPosition="2021-03-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50BB-F7F4-48C3-BF65-3DB9C663D2DB}">
  <dimension ref="A2:C101"/>
  <sheetViews>
    <sheetView workbookViewId="0">
      <selection activeCell="A3" sqref="A3"/>
    </sheetView>
  </sheetViews>
  <sheetFormatPr defaultRowHeight="15" x14ac:dyDescent="0.25"/>
  <cols>
    <col min="1" max="1" width="18" bestFit="1" customWidth="1"/>
  </cols>
  <sheetData>
    <row r="2" spans="1:3" x14ac:dyDescent="0.25">
      <c r="C2">
        <f>SUBTOTAL(103, A4:A3000)</f>
        <v>98</v>
      </c>
    </row>
    <row r="3" spans="1:3" x14ac:dyDescent="0.25">
      <c r="A3" s="2" t="s">
        <v>3061</v>
      </c>
    </row>
    <row r="4" spans="1:3" x14ac:dyDescent="0.25">
      <c r="A4" s="3" t="s">
        <v>954</v>
      </c>
    </row>
    <row r="5" spans="1:3" x14ac:dyDescent="0.25">
      <c r="A5" s="3" t="s">
        <v>1158</v>
      </c>
    </row>
    <row r="6" spans="1:3" x14ac:dyDescent="0.25">
      <c r="A6" s="3" t="s">
        <v>291</v>
      </c>
    </row>
    <row r="7" spans="1:3" x14ac:dyDescent="0.25">
      <c r="A7" s="3" t="s">
        <v>529</v>
      </c>
    </row>
    <row r="8" spans="1:3" x14ac:dyDescent="0.25">
      <c r="A8" s="3" t="s">
        <v>395</v>
      </c>
    </row>
    <row r="9" spans="1:3" x14ac:dyDescent="0.25">
      <c r="A9" s="3" t="s">
        <v>1045</v>
      </c>
    </row>
    <row r="10" spans="1:3" x14ac:dyDescent="0.25">
      <c r="A10" s="3" t="s">
        <v>2400</v>
      </c>
    </row>
    <row r="11" spans="1:3" x14ac:dyDescent="0.25">
      <c r="A11" s="3" t="s">
        <v>2050</v>
      </c>
    </row>
    <row r="12" spans="1:3" x14ac:dyDescent="0.25">
      <c r="A12" s="3" t="s">
        <v>2663</v>
      </c>
    </row>
    <row r="13" spans="1:3" x14ac:dyDescent="0.25">
      <c r="A13" s="3" t="s">
        <v>1260</v>
      </c>
    </row>
    <row r="14" spans="1:3" x14ac:dyDescent="0.25">
      <c r="A14" s="3" t="s">
        <v>1259</v>
      </c>
    </row>
    <row r="15" spans="1:3" x14ac:dyDescent="0.25">
      <c r="A15" s="3" t="s">
        <v>699</v>
      </c>
    </row>
    <row r="16" spans="1:3" x14ac:dyDescent="0.25">
      <c r="A16" s="3" t="s">
        <v>975</v>
      </c>
    </row>
    <row r="17" spans="1:1" x14ac:dyDescent="0.25">
      <c r="A17" s="3" t="s">
        <v>1301</v>
      </c>
    </row>
    <row r="18" spans="1:1" x14ac:dyDescent="0.25">
      <c r="A18" s="3" t="s">
        <v>3043</v>
      </c>
    </row>
    <row r="19" spans="1:1" x14ac:dyDescent="0.25">
      <c r="A19" s="3" t="s">
        <v>2234</v>
      </c>
    </row>
    <row r="20" spans="1:1" x14ac:dyDescent="0.25">
      <c r="A20" s="3" t="s">
        <v>2107</v>
      </c>
    </row>
    <row r="21" spans="1:1" x14ac:dyDescent="0.25">
      <c r="A21" s="3" t="s">
        <v>2986</v>
      </c>
    </row>
    <row r="22" spans="1:1" x14ac:dyDescent="0.25">
      <c r="A22" s="3" t="s">
        <v>2356</v>
      </c>
    </row>
    <row r="23" spans="1:1" x14ac:dyDescent="0.25">
      <c r="A23" s="3" t="s">
        <v>1206</v>
      </c>
    </row>
    <row r="24" spans="1:1" x14ac:dyDescent="0.25">
      <c r="A24" s="3" t="s">
        <v>452</v>
      </c>
    </row>
    <row r="25" spans="1:1" x14ac:dyDescent="0.25">
      <c r="A25" s="3" t="s">
        <v>1526</v>
      </c>
    </row>
    <row r="26" spans="1:1" x14ac:dyDescent="0.25">
      <c r="A26" s="3" t="s">
        <v>791</v>
      </c>
    </row>
    <row r="27" spans="1:1" x14ac:dyDescent="0.25">
      <c r="A27" s="3" t="s">
        <v>1271</v>
      </c>
    </row>
    <row r="28" spans="1:1" x14ac:dyDescent="0.25">
      <c r="A28" s="3" t="s">
        <v>3021</v>
      </c>
    </row>
    <row r="29" spans="1:1" x14ac:dyDescent="0.25">
      <c r="A29" s="3" t="s">
        <v>2453</v>
      </c>
    </row>
    <row r="30" spans="1:1" x14ac:dyDescent="0.25">
      <c r="A30" s="3" t="s">
        <v>3047</v>
      </c>
    </row>
    <row r="31" spans="1:1" x14ac:dyDescent="0.25">
      <c r="A31" s="3" t="s">
        <v>2235</v>
      </c>
    </row>
    <row r="32" spans="1:1" x14ac:dyDescent="0.25">
      <c r="A32" s="3" t="s">
        <v>2727</v>
      </c>
    </row>
    <row r="33" spans="1:1" x14ac:dyDescent="0.25">
      <c r="A33" s="3" t="s">
        <v>1402</v>
      </c>
    </row>
    <row r="34" spans="1:1" x14ac:dyDescent="0.25">
      <c r="A34" s="3" t="s">
        <v>1034</v>
      </c>
    </row>
    <row r="35" spans="1:1" x14ac:dyDescent="0.25">
      <c r="A35" s="3" t="s">
        <v>2699</v>
      </c>
    </row>
    <row r="36" spans="1:1" x14ac:dyDescent="0.25">
      <c r="A36" s="3" t="s">
        <v>582</v>
      </c>
    </row>
    <row r="37" spans="1:1" x14ac:dyDescent="0.25">
      <c r="A37" s="3" t="s">
        <v>2814</v>
      </c>
    </row>
    <row r="38" spans="1:1" x14ac:dyDescent="0.25">
      <c r="A38" s="3" t="s">
        <v>3056</v>
      </c>
    </row>
    <row r="39" spans="1:1" x14ac:dyDescent="0.25">
      <c r="A39" s="3" t="s">
        <v>227</v>
      </c>
    </row>
    <row r="40" spans="1:1" x14ac:dyDescent="0.25">
      <c r="A40" s="3" t="s">
        <v>1195</v>
      </c>
    </row>
    <row r="41" spans="1:1" x14ac:dyDescent="0.25">
      <c r="A41" s="3" t="s">
        <v>2458</v>
      </c>
    </row>
    <row r="42" spans="1:1" x14ac:dyDescent="0.25">
      <c r="A42" s="3" t="s">
        <v>311</v>
      </c>
    </row>
    <row r="43" spans="1:1" x14ac:dyDescent="0.25">
      <c r="A43" s="3" t="s">
        <v>2051</v>
      </c>
    </row>
    <row r="44" spans="1:1" x14ac:dyDescent="0.25">
      <c r="A44" s="3" t="s">
        <v>613</v>
      </c>
    </row>
    <row r="45" spans="1:1" x14ac:dyDescent="0.25">
      <c r="A45" s="3" t="s">
        <v>628</v>
      </c>
    </row>
    <row r="46" spans="1:1" x14ac:dyDescent="0.25">
      <c r="A46" s="3" t="s">
        <v>2332</v>
      </c>
    </row>
    <row r="47" spans="1:1" x14ac:dyDescent="0.25">
      <c r="A47" s="3" t="s">
        <v>3057</v>
      </c>
    </row>
    <row r="48" spans="1:1" x14ac:dyDescent="0.25">
      <c r="A48" s="3" t="s">
        <v>987</v>
      </c>
    </row>
    <row r="49" spans="1:1" x14ac:dyDescent="0.25">
      <c r="A49" s="3" t="s">
        <v>1161</v>
      </c>
    </row>
    <row r="50" spans="1:1" x14ac:dyDescent="0.25">
      <c r="A50" s="3" t="s">
        <v>2523</v>
      </c>
    </row>
    <row r="51" spans="1:1" x14ac:dyDescent="0.25">
      <c r="A51" s="3" t="s">
        <v>319</v>
      </c>
    </row>
    <row r="52" spans="1:1" x14ac:dyDescent="0.25">
      <c r="A52" s="3" t="s">
        <v>1392</v>
      </c>
    </row>
    <row r="53" spans="1:1" x14ac:dyDescent="0.25">
      <c r="A53" s="3" t="s">
        <v>2492</v>
      </c>
    </row>
    <row r="54" spans="1:1" x14ac:dyDescent="0.25">
      <c r="A54" s="3" t="s">
        <v>703</v>
      </c>
    </row>
    <row r="55" spans="1:1" x14ac:dyDescent="0.25">
      <c r="A55" s="3" t="s">
        <v>2200</v>
      </c>
    </row>
    <row r="56" spans="1:1" x14ac:dyDescent="0.25">
      <c r="A56" s="3" t="s">
        <v>1110</v>
      </c>
    </row>
    <row r="57" spans="1:1" x14ac:dyDescent="0.25">
      <c r="A57" s="3" t="s">
        <v>2696</v>
      </c>
    </row>
    <row r="58" spans="1:1" x14ac:dyDescent="0.25">
      <c r="A58" s="3" t="s">
        <v>2770</v>
      </c>
    </row>
    <row r="59" spans="1:1" x14ac:dyDescent="0.25">
      <c r="A59" s="3" t="s">
        <v>554</v>
      </c>
    </row>
    <row r="60" spans="1:1" x14ac:dyDescent="0.25">
      <c r="A60" s="3" t="s">
        <v>2055</v>
      </c>
    </row>
    <row r="61" spans="1:1" x14ac:dyDescent="0.25">
      <c r="A61" s="3" t="s">
        <v>909</v>
      </c>
    </row>
    <row r="62" spans="1:1" x14ac:dyDescent="0.25">
      <c r="A62" s="3" t="s">
        <v>2105</v>
      </c>
    </row>
    <row r="63" spans="1:1" x14ac:dyDescent="0.25">
      <c r="A63" s="3" t="s">
        <v>209</v>
      </c>
    </row>
    <row r="64" spans="1:1" x14ac:dyDescent="0.25">
      <c r="A64" s="3" t="s">
        <v>1235</v>
      </c>
    </row>
    <row r="65" spans="1:1" x14ac:dyDescent="0.25">
      <c r="A65" s="3" t="s">
        <v>2301</v>
      </c>
    </row>
    <row r="66" spans="1:1" x14ac:dyDescent="0.25">
      <c r="A66" s="3" t="s">
        <v>1577</v>
      </c>
    </row>
    <row r="67" spans="1:1" x14ac:dyDescent="0.25">
      <c r="A67" s="3" t="s">
        <v>1410</v>
      </c>
    </row>
    <row r="68" spans="1:1" x14ac:dyDescent="0.25">
      <c r="A68" s="3" t="s">
        <v>1071</v>
      </c>
    </row>
    <row r="69" spans="1:1" x14ac:dyDescent="0.25">
      <c r="A69" s="3" t="s">
        <v>3058</v>
      </c>
    </row>
    <row r="70" spans="1:1" x14ac:dyDescent="0.25">
      <c r="A70" s="3" t="s">
        <v>1388</v>
      </c>
    </row>
    <row r="71" spans="1:1" x14ac:dyDescent="0.25">
      <c r="A71" s="3" t="s">
        <v>1100</v>
      </c>
    </row>
    <row r="72" spans="1:1" x14ac:dyDescent="0.25">
      <c r="A72" s="3" t="s">
        <v>2447</v>
      </c>
    </row>
    <row r="73" spans="1:1" x14ac:dyDescent="0.25">
      <c r="A73" s="3" t="s">
        <v>2229</v>
      </c>
    </row>
    <row r="74" spans="1:1" x14ac:dyDescent="0.25">
      <c r="A74" s="3" t="s">
        <v>1031</v>
      </c>
    </row>
    <row r="75" spans="1:1" x14ac:dyDescent="0.25">
      <c r="A75" s="3" t="s">
        <v>2295</v>
      </c>
    </row>
    <row r="76" spans="1:1" x14ac:dyDescent="0.25">
      <c r="A76" s="3" t="s">
        <v>2636</v>
      </c>
    </row>
    <row r="77" spans="1:1" x14ac:dyDescent="0.25">
      <c r="A77" s="3" t="s">
        <v>2867</v>
      </c>
    </row>
    <row r="78" spans="1:1" x14ac:dyDescent="0.25">
      <c r="A78" s="3" t="s">
        <v>2829</v>
      </c>
    </row>
    <row r="79" spans="1:1" x14ac:dyDescent="0.25">
      <c r="A79" s="3" t="s">
        <v>828</v>
      </c>
    </row>
    <row r="80" spans="1:1" x14ac:dyDescent="0.25">
      <c r="A80" s="3" t="s">
        <v>280</v>
      </c>
    </row>
    <row r="81" spans="1:1" x14ac:dyDescent="0.25">
      <c r="A81" s="3" t="s">
        <v>2597</v>
      </c>
    </row>
    <row r="82" spans="1:1" x14ac:dyDescent="0.25">
      <c r="A82" s="3" t="s">
        <v>3049</v>
      </c>
    </row>
    <row r="83" spans="1:1" x14ac:dyDescent="0.25">
      <c r="A83" s="3" t="s">
        <v>2826</v>
      </c>
    </row>
    <row r="84" spans="1:1" x14ac:dyDescent="0.25">
      <c r="A84" s="3" t="s">
        <v>448</v>
      </c>
    </row>
    <row r="85" spans="1:1" x14ac:dyDescent="0.25">
      <c r="A85" s="3" t="s">
        <v>2042</v>
      </c>
    </row>
    <row r="86" spans="1:1" x14ac:dyDescent="0.25">
      <c r="A86" s="3" t="s">
        <v>1728</v>
      </c>
    </row>
    <row r="87" spans="1:1" x14ac:dyDescent="0.25">
      <c r="A87" s="3" t="s">
        <v>2372</v>
      </c>
    </row>
    <row r="88" spans="1:1" x14ac:dyDescent="0.25">
      <c r="A88" s="3" t="s">
        <v>2700</v>
      </c>
    </row>
    <row r="89" spans="1:1" x14ac:dyDescent="0.25">
      <c r="A89" s="3" t="s">
        <v>367</v>
      </c>
    </row>
    <row r="90" spans="1:1" x14ac:dyDescent="0.25">
      <c r="A90" s="3" t="s">
        <v>368</v>
      </c>
    </row>
    <row r="91" spans="1:1" x14ac:dyDescent="0.25">
      <c r="A91" s="3" t="s">
        <v>825</v>
      </c>
    </row>
    <row r="92" spans="1:1" x14ac:dyDescent="0.25">
      <c r="A92" s="3" t="s">
        <v>1508</v>
      </c>
    </row>
    <row r="93" spans="1:1" x14ac:dyDescent="0.25">
      <c r="A93" s="3" t="s">
        <v>519</v>
      </c>
    </row>
    <row r="94" spans="1:1" x14ac:dyDescent="0.25">
      <c r="A94" s="3" t="s">
        <v>2564</v>
      </c>
    </row>
    <row r="95" spans="1:1" x14ac:dyDescent="0.25">
      <c r="A95" s="3" t="s">
        <v>1497</v>
      </c>
    </row>
    <row r="96" spans="1:1" x14ac:dyDescent="0.25">
      <c r="A96" s="3" t="s">
        <v>2782</v>
      </c>
    </row>
    <row r="97" spans="1:1" x14ac:dyDescent="0.25">
      <c r="A97" s="3" t="s">
        <v>900</v>
      </c>
    </row>
    <row r="98" spans="1:1" x14ac:dyDescent="0.25">
      <c r="A98" s="3" t="s">
        <v>2556</v>
      </c>
    </row>
    <row r="99" spans="1:1" x14ac:dyDescent="0.25">
      <c r="A99" s="3" t="s">
        <v>1369</v>
      </c>
    </row>
    <row r="100" spans="1:1" x14ac:dyDescent="0.25">
      <c r="A100" s="3" t="s">
        <v>1203</v>
      </c>
    </row>
    <row r="101" spans="1:1" x14ac:dyDescent="0.25">
      <c r="A101" s="3" t="s">
        <v>3062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2B90-3DD0-4082-AB1D-0B9332CA57E9}">
  <dimension ref="A1:M4495"/>
  <sheetViews>
    <sheetView topLeftCell="B4443" workbookViewId="0">
      <selection activeCell="A2" sqref="A2"/>
    </sheetView>
  </sheetViews>
  <sheetFormatPr defaultRowHeight="15" x14ac:dyDescent="0.25"/>
  <cols>
    <col min="1" max="1" width="28.85546875" bestFit="1" customWidth="1"/>
    <col min="2" max="2" width="14.28515625" bestFit="1" customWidth="1"/>
    <col min="3" max="3" width="19.7109375" bestFit="1" customWidth="1"/>
    <col min="4" max="4" width="12.7109375" bestFit="1" customWidth="1"/>
    <col min="5" max="5" width="17.5703125" bestFit="1" customWidth="1"/>
    <col min="6" max="6" width="23.42578125" bestFit="1" customWidth="1"/>
    <col min="7" max="7" width="17.5703125" bestFit="1" customWidth="1"/>
    <col min="8" max="8" width="10.5703125" bestFit="1" customWidth="1"/>
    <col min="9" max="9" width="10.42578125" bestFit="1" customWidth="1"/>
    <col min="10" max="10" width="12.42578125" bestFit="1" customWidth="1"/>
    <col min="13" max="13" width="18.7109375" bestFit="1" customWidth="1"/>
  </cols>
  <sheetData>
    <row r="1" spans="1:13" x14ac:dyDescent="0.25">
      <c r="A1" t="s">
        <v>0</v>
      </c>
      <c r="B1" t="s">
        <v>1</v>
      </c>
      <c r="C1" t="s">
        <v>2</v>
      </c>
      <c r="D1" t="s">
        <v>3</v>
      </c>
      <c r="E1" t="s">
        <v>4</v>
      </c>
      <c r="F1" t="s">
        <v>5</v>
      </c>
      <c r="G1" t="s">
        <v>6</v>
      </c>
      <c r="H1" t="s">
        <v>7</v>
      </c>
      <c r="I1" t="s">
        <v>8</v>
      </c>
      <c r="J1" t="s">
        <v>9</v>
      </c>
      <c r="K1" t="s">
        <v>10</v>
      </c>
      <c r="L1" t="s">
        <v>3067</v>
      </c>
      <c r="M1" t="s">
        <v>11</v>
      </c>
    </row>
    <row r="2" spans="1:13" x14ac:dyDescent="0.25">
      <c r="A2" t="s">
        <v>12</v>
      </c>
      <c r="B2" t="s">
        <v>13</v>
      </c>
      <c r="C2" t="s">
        <v>14</v>
      </c>
      <c r="D2" t="s">
        <v>15</v>
      </c>
      <c r="E2">
        <v>5500</v>
      </c>
      <c r="F2">
        <v>0.03</v>
      </c>
      <c r="G2">
        <v>1</v>
      </c>
      <c r="H2" s="1">
        <v>46204</v>
      </c>
      <c r="I2">
        <v>2026</v>
      </c>
      <c r="J2">
        <v>7</v>
      </c>
      <c r="K2" t="s">
        <v>16</v>
      </c>
      <c r="L2">
        <v>0</v>
      </c>
      <c r="M2">
        <v>1</v>
      </c>
    </row>
    <row r="3" spans="1:13" x14ac:dyDescent="0.25">
      <c r="A3" t="s">
        <v>17</v>
      </c>
      <c r="B3" t="s">
        <v>18</v>
      </c>
      <c r="C3" t="s">
        <v>19</v>
      </c>
      <c r="D3" t="s">
        <v>20</v>
      </c>
      <c r="E3">
        <v>300</v>
      </c>
      <c r="F3" t="s">
        <v>21</v>
      </c>
      <c r="G3" t="s">
        <v>21</v>
      </c>
      <c r="H3" s="1">
        <v>46204</v>
      </c>
      <c r="I3">
        <v>2026</v>
      </c>
      <c r="J3">
        <v>7</v>
      </c>
      <c r="K3" t="s">
        <v>22</v>
      </c>
      <c r="L3" t="s">
        <v>21</v>
      </c>
      <c r="M3">
        <v>1</v>
      </c>
    </row>
    <row r="4" spans="1:13" x14ac:dyDescent="0.25">
      <c r="A4" t="s">
        <v>23</v>
      </c>
      <c r="B4" t="s">
        <v>24</v>
      </c>
      <c r="C4" t="s">
        <v>25</v>
      </c>
      <c r="D4" t="s">
        <v>20</v>
      </c>
      <c r="E4" t="s">
        <v>21</v>
      </c>
      <c r="F4">
        <v>0.9</v>
      </c>
      <c r="G4">
        <v>2800</v>
      </c>
      <c r="H4" s="1">
        <v>46204</v>
      </c>
      <c r="I4">
        <v>2026</v>
      </c>
      <c r="J4">
        <v>7</v>
      </c>
      <c r="K4" t="s">
        <v>26</v>
      </c>
      <c r="L4">
        <v>0</v>
      </c>
      <c r="M4">
        <v>1</v>
      </c>
    </row>
    <row r="5" spans="1:13" x14ac:dyDescent="0.25">
      <c r="A5" t="s">
        <v>27</v>
      </c>
      <c r="B5" t="s">
        <v>28</v>
      </c>
      <c r="C5" t="s">
        <v>29</v>
      </c>
      <c r="D5" t="s">
        <v>20</v>
      </c>
      <c r="E5">
        <v>80</v>
      </c>
      <c r="F5" t="s">
        <v>21</v>
      </c>
      <c r="G5">
        <v>25</v>
      </c>
      <c r="H5" s="1">
        <v>46203</v>
      </c>
      <c r="I5">
        <v>2026</v>
      </c>
      <c r="J5">
        <v>6</v>
      </c>
      <c r="K5" t="s">
        <v>30</v>
      </c>
      <c r="L5" t="s">
        <v>21</v>
      </c>
      <c r="M5">
        <v>1</v>
      </c>
    </row>
    <row r="6" spans="1:13" x14ac:dyDescent="0.25">
      <c r="A6" t="s">
        <v>31</v>
      </c>
      <c r="B6" t="s">
        <v>32</v>
      </c>
      <c r="C6" t="s">
        <v>29</v>
      </c>
      <c r="D6" t="s">
        <v>33</v>
      </c>
      <c r="E6">
        <v>100</v>
      </c>
      <c r="F6">
        <v>0.3</v>
      </c>
      <c r="G6">
        <v>65</v>
      </c>
      <c r="H6" s="1">
        <v>46202</v>
      </c>
      <c r="I6">
        <v>2026</v>
      </c>
      <c r="J6">
        <v>6</v>
      </c>
      <c r="K6" t="s">
        <v>30</v>
      </c>
      <c r="L6">
        <v>0</v>
      </c>
      <c r="M6">
        <v>1</v>
      </c>
    </row>
    <row r="7" spans="1:13" x14ac:dyDescent="0.25">
      <c r="A7" t="s">
        <v>34</v>
      </c>
      <c r="B7" t="s">
        <v>35</v>
      </c>
      <c r="C7" t="s">
        <v>14</v>
      </c>
      <c r="D7" t="s">
        <v>22</v>
      </c>
      <c r="E7" t="s">
        <v>21</v>
      </c>
      <c r="F7">
        <v>0.04</v>
      </c>
      <c r="G7">
        <v>164</v>
      </c>
      <c r="H7" s="1">
        <v>46202</v>
      </c>
      <c r="I7">
        <v>2026</v>
      </c>
      <c r="J7">
        <v>6</v>
      </c>
      <c r="K7" t="s">
        <v>36</v>
      </c>
      <c r="L7">
        <v>0</v>
      </c>
      <c r="M7">
        <v>1</v>
      </c>
    </row>
    <row r="8" spans="1:13" x14ac:dyDescent="0.25">
      <c r="A8" t="s">
        <v>37</v>
      </c>
      <c r="B8" t="s">
        <v>38</v>
      </c>
      <c r="C8" t="s">
        <v>14</v>
      </c>
      <c r="D8" t="s">
        <v>22</v>
      </c>
      <c r="E8">
        <v>300</v>
      </c>
      <c r="F8" t="s">
        <v>21</v>
      </c>
      <c r="G8" t="s">
        <v>21</v>
      </c>
      <c r="H8" s="1">
        <v>46199</v>
      </c>
      <c r="I8">
        <v>2026</v>
      </c>
      <c r="J8">
        <v>6</v>
      </c>
      <c r="K8" t="s">
        <v>22</v>
      </c>
      <c r="L8" t="s">
        <v>21</v>
      </c>
      <c r="M8">
        <v>1</v>
      </c>
    </row>
    <row r="9" spans="1:13" x14ac:dyDescent="0.25">
      <c r="A9" t="s">
        <v>39</v>
      </c>
      <c r="B9" t="s">
        <v>40</v>
      </c>
      <c r="C9" t="s">
        <v>14</v>
      </c>
      <c r="D9" t="s">
        <v>15</v>
      </c>
      <c r="E9">
        <v>76</v>
      </c>
      <c r="F9" t="s">
        <v>21</v>
      </c>
      <c r="G9" t="s">
        <v>21</v>
      </c>
      <c r="H9" s="1">
        <v>46199</v>
      </c>
      <c r="I9">
        <v>2026</v>
      </c>
      <c r="J9">
        <v>6</v>
      </c>
      <c r="K9" t="s">
        <v>22</v>
      </c>
      <c r="L9" t="s">
        <v>21</v>
      </c>
      <c r="M9">
        <v>1</v>
      </c>
    </row>
    <row r="10" spans="1:13" x14ac:dyDescent="0.25">
      <c r="A10" t="s">
        <v>41</v>
      </c>
      <c r="B10" t="s">
        <v>40</v>
      </c>
      <c r="C10" t="s">
        <v>42</v>
      </c>
      <c r="D10" t="s">
        <v>43</v>
      </c>
      <c r="E10">
        <v>70</v>
      </c>
      <c r="F10">
        <v>0.09</v>
      </c>
      <c r="G10">
        <v>257</v>
      </c>
      <c r="H10" s="1">
        <v>46199</v>
      </c>
      <c r="I10">
        <v>2026</v>
      </c>
      <c r="J10">
        <v>6</v>
      </c>
      <c r="K10" t="s">
        <v>36</v>
      </c>
      <c r="L10">
        <v>0</v>
      </c>
      <c r="M10">
        <v>1</v>
      </c>
    </row>
    <row r="11" spans="1:13" x14ac:dyDescent="0.25">
      <c r="A11" t="s">
        <v>44</v>
      </c>
      <c r="B11" t="s">
        <v>45</v>
      </c>
      <c r="C11" t="s">
        <v>14</v>
      </c>
      <c r="D11" t="s">
        <v>46</v>
      </c>
      <c r="E11" t="s">
        <v>21</v>
      </c>
      <c r="F11" t="s">
        <v>21</v>
      </c>
      <c r="G11">
        <v>38</v>
      </c>
      <c r="H11" s="1">
        <v>46199</v>
      </c>
      <c r="I11">
        <v>2026</v>
      </c>
      <c r="J11">
        <v>6</v>
      </c>
      <c r="K11" t="s">
        <v>30</v>
      </c>
      <c r="L11" t="s">
        <v>21</v>
      </c>
      <c r="M11">
        <v>0</v>
      </c>
    </row>
    <row r="12" spans="1:13" x14ac:dyDescent="0.25">
      <c r="A12" t="s">
        <v>47</v>
      </c>
      <c r="B12" t="s">
        <v>35</v>
      </c>
      <c r="C12" t="s">
        <v>48</v>
      </c>
      <c r="D12" t="s">
        <v>49</v>
      </c>
      <c r="E12" t="s">
        <v>21</v>
      </c>
      <c r="F12">
        <v>1</v>
      </c>
      <c r="G12" t="s">
        <v>21</v>
      </c>
      <c r="H12" s="1">
        <v>46199</v>
      </c>
      <c r="I12">
        <v>2026</v>
      </c>
      <c r="J12">
        <v>6</v>
      </c>
      <c r="K12" t="s">
        <v>22</v>
      </c>
      <c r="L12">
        <v>1</v>
      </c>
      <c r="M12">
        <v>1</v>
      </c>
    </row>
    <row r="13" spans="1:13" x14ac:dyDescent="0.25">
      <c r="A13" t="s">
        <v>50</v>
      </c>
      <c r="B13" t="s">
        <v>18</v>
      </c>
      <c r="C13" t="s">
        <v>14</v>
      </c>
      <c r="D13" t="s">
        <v>20</v>
      </c>
      <c r="E13">
        <v>292</v>
      </c>
      <c r="F13" t="s">
        <v>21</v>
      </c>
      <c r="G13">
        <v>100</v>
      </c>
      <c r="H13" s="1">
        <v>46198</v>
      </c>
      <c r="I13">
        <v>2026</v>
      </c>
      <c r="J13">
        <v>6</v>
      </c>
      <c r="K13" t="s">
        <v>36</v>
      </c>
      <c r="L13" t="s">
        <v>21</v>
      </c>
      <c r="M13">
        <v>1</v>
      </c>
    </row>
    <row r="14" spans="1:13" x14ac:dyDescent="0.25">
      <c r="A14" t="s">
        <v>51</v>
      </c>
      <c r="B14" t="s">
        <v>52</v>
      </c>
      <c r="C14" t="s">
        <v>14</v>
      </c>
      <c r="D14" t="s">
        <v>22</v>
      </c>
      <c r="E14">
        <v>90</v>
      </c>
      <c r="F14">
        <v>0.15</v>
      </c>
      <c r="G14">
        <v>171</v>
      </c>
      <c r="H14" s="1">
        <v>46198</v>
      </c>
      <c r="I14">
        <v>2026</v>
      </c>
      <c r="J14">
        <v>6</v>
      </c>
      <c r="K14" t="s">
        <v>36</v>
      </c>
      <c r="L14">
        <v>0</v>
      </c>
      <c r="M14">
        <v>1</v>
      </c>
    </row>
    <row r="15" spans="1:13" x14ac:dyDescent="0.25">
      <c r="A15" t="s">
        <v>53</v>
      </c>
      <c r="B15" t="s">
        <v>54</v>
      </c>
      <c r="C15" t="s">
        <v>14</v>
      </c>
      <c r="D15" t="s">
        <v>55</v>
      </c>
      <c r="E15" t="s">
        <v>21</v>
      </c>
      <c r="F15" t="s">
        <v>21</v>
      </c>
      <c r="G15">
        <v>187</v>
      </c>
      <c r="H15" s="1">
        <v>46198</v>
      </c>
      <c r="I15">
        <v>2026</v>
      </c>
      <c r="J15">
        <v>6</v>
      </c>
      <c r="K15" t="s">
        <v>36</v>
      </c>
      <c r="L15" t="s">
        <v>21</v>
      </c>
      <c r="M15">
        <v>0</v>
      </c>
    </row>
    <row r="16" spans="1:13" x14ac:dyDescent="0.25">
      <c r="A16" t="s">
        <v>56</v>
      </c>
      <c r="B16" t="s">
        <v>18</v>
      </c>
      <c r="C16" t="s">
        <v>14</v>
      </c>
      <c r="D16" t="s">
        <v>15</v>
      </c>
      <c r="E16" t="s">
        <v>21</v>
      </c>
      <c r="F16">
        <v>0.03</v>
      </c>
      <c r="G16">
        <v>455.2</v>
      </c>
      <c r="H16" s="1">
        <v>46198</v>
      </c>
      <c r="I16">
        <v>2026</v>
      </c>
      <c r="J16">
        <v>6</v>
      </c>
      <c r="K16" t="s">
        <v>36</v>
      </c>
      <c r="L16">
        <v>0</v>
      </c>
      <c r="M16">
        <v>1</v>
      </c>
    </row>
    <row r="17" spans="1:13" x14ac:dyDescent="0.25">
      <c r="A17" t="s">
        <v>57</v>
      </c>
      <c r="B17" t="s">
        <v>28</v>
      </c>
      <c r="C17" t="s">
        <v>29</v>
      </c>
      <c r="D17" t="s">
        <v>22</v>
      </c>
      <c r="E17" t="s">
        <v>21</v>
      </c>
      <c r="F17" t="s">
        <v>21</v>
      </c>
      <c r="G17" t="s">
        <v>21</v>
      </c>
      <c r="H17" s="1">
        <v>46197</v>
      </c>
      <c r="I17">
        <v>2026</v>
      </c>
      <c r="J17">
        <v>6</v>
      </c>
      <c r="K17" t="s">
        <v>22</v>
      </c>
      <c r="L17" t="s">
        <v>21</v>
      </c>
      <c r="M17">
        <v>0</v>
      </c>
    </row>
    <row r="18" spans="1:13" x14ac:dyDescent="0.25">
      <c r="A18" t="s">
        <v>58</v>
      </c>
      <c r="B18" t="s">
        <v>38</v>
      </c>
      <c r="C18" t="s">
        <v>14</v>
      </c>
      <c r="D18" t="s">
        <v>15</v>
      </c>
      <c r="E18" t="s">
        <v>21</v>
      </c>
      <c r="F18">
        <v>7.0000000000000007E-2</v>
      </c>
      <c r="G18">
        <v>162</v>
      </c>
      <c r="H18" s="1">
        <v>46197</v>
      </c>
      <c r="I18">
        <v>2026</v>
      </c>
      <c r="J18">
        <v>6</v>
      </c>
      <c r="K18" t="s">
        <v>36</v>
      </c>
      <c r="L18">
        <v>0</v>
      </c>
      <c r="M18">
        <v>1</v>
      </c>
    </row>
    <row r="19" spans="1:13" x14ac:dyDescent="0.25">
      <c r="A19" t="s">
        <v>59</v>
      </c>
      <c r="B19" t="s">
        <v>28</v>
      </c>
      <c r="C19" t="s">
        <v>14</v>
      </c>
      <c r="D19" t="s">
        <v>43</v>
      </c>
      <c r="E19" t="s">
        <v>21</v>
      </c>
      <c r="F19" t="s">
        <v>21</v>
      </c>
      <c r="G19">
        <v>849</v>
      </c>
      <c r="H19" s="1">
        <v>46197</v>
      </c>
      <c r="I19">
        <v>2026</v>
      </c>
      <c r="J19">
        <v>6</v>
      </c>
      <c r="K19" t="s">
        <v>36</v>
      </c>
      <c r="L19" t="s">
        <v>21</v>
      </c>
      <c r="M19">
        <v>0</v>
      </c>
    </row>
    <row r="20" spans="1:13" x14ac:dyDescent="0.25">
      <c r="A20" t="s">
        <v>60</v>
      </c>
      <c r="B20" t="s">
        <v>13</v>
      </c>
      <c r="C20" t="s">
        <v>14</v>
      </c>
      <c r="D20" t="s">
        <v>15</v>
      </c>
      <c r="E20">
        <v>21000</v>
      </c>
      <c r="F20">
        <v>0.13</v>
      </c>
      <c r="G20" t="s">
        <v>21</v>
      </c>
      <c r="H20" s="1">
        <v>46196</v>
      </c>
      <c r="I20">
        <v>2026</v>
      </c>
      <c r="J20">
        <v>6</v>
      </c>
      <c r="K20" t="s">
        <v>22</v>
      </c>
      <c r="L20">
        <v>0</v>
      </c>
      <c r="M20">
        <v>1</v>
      </c>
    </row>
    <row r="21" spans="1:13" x14ac:dyDescent="0.25">
      <c r="A21" t="s">
        <v>61</v>
      </c>
      <c r="B21" t="s">
        <v>52</v>
      </c>
      <c r="C21" t="s">
        <v>62</v>
      </c>
      <c r="D21" t="s">
        <v>22</v>
      </c>
      <c r="E21">
        <v>54</v>
      </c>
      <c r="F21">
        <v>0.2</v>
      </c>
      <c r="G21">
        <v>18</v>
      </c>
      <c r="H21" s="1">
        <v>46196</v>
      </c>
      <c r="I21">
        <v>2026</v>
      </c>
      <c r="J21">
        <v>6</v>
      </c>
      <c r="K21" t="s">
        <v>30</v>
      </c>
      <c r="L21">
        <v>0</v>
      </c>
      <c r="M21">
        <v>1</v>
      </c>
    </row>
    <row r="22" spans="1:13" x14ac:dyDescent="0.25">
      <c r="A22" t="s">
        <v>63</v>
      </c>
      <c r="B22" t="s">
        <v>24</v>
      </c>
      <c r="C22" t="s">
        <v>64</v>
      </c>
      <c r="D22" t="s">
        <v>20</v>
      </c>
      <c r="E22" t="s">
        <v>21</v>
      </c>
      <c r="F22">
        <v>0.05</v>
      </c>
      <c r="G22">
        <v>7200</v>
      </c>
      <c r="H22" s="1">
        <v>46196</v>
      </c>
      <c r="I22">
        <v>2026</v>
      </c>
      <c r="J22">
        <v>6</v>
      </c>
      <c r="K22" t="s">
        <v>26</v>
      </c>
      <c r="L22">
        <v>0</v>
      </c>
      <c r="M22">
        <v>1</v>
      </c>
    </row>
    <row r="23" spans="1:13" x14ac:dyDescent="0.25">
      <c r="A23" t="s">
        <v>65</v>
      </c>
      <c r="B23" t="s">
        <v>66</v>
      </c>
      <c r="C23" t="s">
        <v>14</v>
      </c>
      <c r="D23" t="s">
        <v>15</v>
      </c>
      <c r="E23">
        <v>1500</v>
      </c>
      <c r="F23">
        <v>0.18</v>
      </c>
      <c r="G23">
        <v>8300</v>
      </c>
      <c r="H23" s="1">
        <v>46195</v>
      </c>
      <c r="I23">
        <v>2026</v>
      </c>
      <c r="J23">
        <v>6</v>
      </c>
      <c r="K23" t="s">
        <v>26</v>
      </c>
      <c r="L23">
        <v>0</v>
      </c>
      <c r="M23">
        <v>1</v>
      </c>
    </row>
    <row r="24" spans="1:13" x14ac:dyDescent="0.25">
      <c r="A24" t="s">
        <v>67</v>
      </c>
      <c r="B24" t="s">
        <v>66</v>
      </c>
      <c r="C24" t="s">
        <v>48</v>
      </c>
      <c r="D24" t="s">
        <v>68</v>
      </c>
      <c r="E24">
        <v>100</v>
      </c>
      <c r="F24">
        <v>0.7</v>
      </c>
      <c r="G24">
        <v>5</v>
      </c>
      <c r="H24" s="1">
        <v>46195</v>
      </c>
      <c r="I24">
        <v>2026</v>
      </c>
      <c r="J24">
        <v>6</v>
      </c>
      <c r="K24" t="s">
        <v>16</v>
      </c>
      <c r="L24">
        <v>0</v>
      </c>
      <c r="M24">
        <v>1</v>
      </c>
    </row>
    <row r="25" spans="1:13" x14ac:dyDescent="0.25">
      <c r="A25" t="s">
        <v>69</v>
      </c>
      <c r="B25" t="s">
        <v>70</v>
      </c>
      <c r="C25" t="s">
        <v>71</v>
      </c>
      <c r="D25" t="s">
        <v>20</v>
      </c>
      <c r="E25" t="s">
        <v>21</v>
      </c>
      <c r="F25" t="s">
        <v>21</v>
      </c>
      <c r="G25">
        <v>38</v>
      </c>
      <c r="H25" s="1">
        <v>46195</v>
      </c>
      <c r="I25">
        <v>2026</v>
      </c>
      <c r="J25">
        <v>6</v>
      </c>
      <c r="K25" t="s">
        <v>30</v>
      </c>
      <c r="L25" t="s">
        <v>21</v>
      </c>
      <c r="M25">
        <v>0</v>
      </c>
    </row>
    <row r="26" spans="1:13" x14ac:dyDescent="0.25">
      <c r="A26" t="s">
        <v>72</v>
      </c>
      <c r="B26" t="s">
        <v>73</v>
      </c>
      <c r="C26" t="s">
        <v>74</v>
      </c>
      <c r="D26" t="s">
        <v>15</v>
      </c>
      <c r="E26">
        <v>400</v>
      </c>
      <c r="F26">
        <v>0.25</v>
      </c>
      <c r="G26" t="s">
        <v>21</v>
      </c>
      <c r="H26" s="1">
        <v>46190</v>
      </c>
      <c r="I26">
        <v>2026</v>
      </c>
      <c r="J26">
        <v>6</v>
      </c>
      <c r="K26" t="s">
        <v>22</v>
      </c>
      <c r="L26">
        <v>0</v>
      </c>
      <c r="M26">
        <v>1</v>
      </c>
    </row>
    <row r="27" spans="1:13" x14ac:dyDescent="0.25">
      <c r="A27" t="s">
        <v>75</v>
      </c>
      <c r="B27" t="s">
        <v>54</v>
      </c>
      <c r="C27" t="s">
        <v>29</v>
      </c>
      <c r="D27" t="s">
        <v>68</v>
      </c>
      <c r="E27" t="s">
        <v>21</v>
      </c>
      <c r="F27">
        <v>0.1</v>
      </c>
      <c r="G27">
        <v>20</v>
      </c>
      <c r="H27" s="1">
        <v>46190</v>
      </c>
      <c r="I27">
        <v>2026</v>
      </c>
      <c r="J27">
        <v>6</v>
      </c>
      <c r="K27" t="s">
        <v>30</v>
      </c>
      <c r="L27">
        <v>0</v>
      </c>
      <c r="M27">
        <v>1</v>
      </c>
    </row>
    <row r="28" spans="1:13" x14ac:dyDescent="0.25">
      <c r="A28" t="s">
        <v>76</v>
      </c>
      <c r="B28" t="s">
        <v>77</v>
      </c>
      <c r="C28" t="s">
        <v>14</v>
      </c>
      <c r="D28" t="s">
        <v>15</v>
      </c>
      <c r="E28">
        <v>290</v>
      </c>
      <c r="F28">
        <v>0.1</v>
      </c>
      <c r="G28">
        <v>6200</v>
      </c>
      <c r="H28" s="1">
        <v>46189</v>
      </c>
      <c r="I28">
        <v>2026</v>
      </c>
      <c r="J28">
        <v>6</v>
      </c>
      <c r="K28" t="s">
        <v>26</v>
      </c>
      <c r="L28">
        <v>0</v>
      </c>
      <c r="M28">
        <v>1</v>
      </c>
    </row>
    <row r="29" spans="1:13" x14ac:dyDescent="0.25">
      <c r="A29" t="s">
        <v>78</v>
      </c>
      <c r="B29" t="s">
        <v>32</v>
      </c>
      <c r="C29" t="s">
        <v>29</v>
      </c>
      <c r="D29" t="s">
        <v>22</v>
      </c>
      <c r="E29">
        <v>200</v>
      </c>
      <c r="F29">
        <v>0.4</v>
      </c>
      <c r="G29">
        <v>48</v>
      </c>
      <c r="H29" s="1">
        <v>46189</v>
      </c>
      <c r="I29">
        <v>2026</v>
      </c>
      <c r="J29">
        <v>6</v>
      </c>
      <c r="K29" t="s">
        <v>30</v>
      </c>
      <c r="L29">
        <v>0</v>
      </c>
      <c r="M29">
        <v>1</v>
      </c>
    </row>
    <row r="30" spans="1:13" x14ac:dyDescent="0.25">
      <c r="A30" t="s">
        <v>79</v>
      </c>
      <c r="B30" t="s">
        <v>77</v>
      </c>
      <c r="C30" t="s">
        <v>80</v>
      </c>
      <c r="D30" t="s">
        <v>81</v>
      </c>
      <c r="E30" t="s">
        <v>21</v>
      </c>
      <c r="F30" t="s">
        <v>21</v>
      </c>
      <c r="G30">
        <v>3500</v>
      </c>
      <c r="H30" s="1">
        <v>46189</v>
      </c>
      <c r="I30">
        <v>2026</v>
      </c>
      <c r="J30">
        <v>6</v>
      </c>
      <c r="K30" t="s">
        <v>26</v>
      </c>
      <c r="L30" t="s">
        <v>21</v>
      </c>
      <c r="M30">
        <v>0</v>
      </c>
    </row>
    <row r="31" spans="1:13" x14ac:dyDescent="0.25">
      <c r="A31" t="s">
        <v>82</v>
      </c>
      <c r="B31" t="s">
        <v>52</v>
      </c>
      <c r="C31" t="s">
        <v>83</v>
      </c>
      <c r="D31" t="s">
        <v>22</v>
      </c>
      <c r="E31" t="s">
        <v>21</v>
      </c>
      <c r="F31" t="s">
        <v>21</v>
      </c>
      <c r="G31">
        <v>308</v>
      </c>
      <c r="H31" s="1">
        <v>46189</v>
      </c>
      <c r="I31">
        <v>2026</v>
      </c>
      <c r="J31">
        <v>6</v>
      </c>
      <c r="K31" t="s">
        <v>36</v>
      </c>
      <c r="L31" t="s">
        <v>21</v>
      </c>
      <c r="M31">
        <v>0</v>
      </c>
    </row>
    <row r="32" spans="1:13" x14ac:dyDescent="0.25">
      <c r="A32" t="s">
        <v>84</v>
      </c>
      <c r="B32" t="s">
        <v>38</v>
      </c>
      <c r="C32" t="s">
        <v>14</v>
      </c>
      <c r="D32" t="s">
        <v>20</v>
      </c>
      <c r="E32" t="s">
        <v>21</v>
      </c>
      <c r="F32">
        <v>0.15</v>
      </c>
      <c r="G32">
        <v>17</v>
      </c>
      <c r="H32" s="1">
        <v>46189</v>
      </c>
      <c r="I32">
        <v>2026</v>
      </c>
      <c r="J32">
        <v>6</v>
      </c>
      <c r="K32" t="s">
        <v>30</v>
      </c>
      <c r="L32">
        <v>0</v>
      </c>
      <c r="M32">
        <v>1</v>
      </c>
    </row>
    <row r="33" spans="1:13" x14ac:dyDescent="0.25">
      <c r="A33" t="s">
        <v>85</v>
      </c>
      <c r="B33" t="s">
        <v>66</v>
      </c>
      <c r="C33" t="s">
        <v>14</v>
      </c>
      <c r="D33" t="s">
        <v>15</v>
      </c>
      <c r="E33" t="s">
        <v>21</v>
      </c>
      <c r="F33">
        <v>0.02</v>
      </c>
      <c r="G33">
        <v>10700</v>
      </c>
      <c r="H33" s="1">
        <v>46189</v>
      </c>
      <c r="I33">
        <v>2026</v>
      </c>
      <c r="J33">
        <v>6</v>
      </c>
      <c r="K33" t="s">
        <v>26</v>
      </c>
      <c r="L33">
        <v>0</v>
      </c>
      <c r="M33">
        <v>1</v>
      </c>
    </row>
    <row r="34" spans="1:13" x14ac:dyDescent="0.25">
      <c r="A34" t="s">
        <v>86</v>
      </c>
      <c r="B34" t="s">
        <v>77</v>
      </c>
      <c r="C34" t="s">
        <v>87</v>
      </c>
      <c r="D34" t="s">
        <v>46</v>
      </c>
      <c r="E34">
        <v>50</v>
      </c>
      <c r="F34" t="s">
        <v>21</v>
      </c>
      <c r="G34">
        <v>428</v>
      </c>
      <c r="H34" s="1">
        <v>46185</v>
      </c>
      <c r="I34">
        <v>2026</v>
      </c>
      <c r="J34">
        <v>6</v>
      </c>
      <c r="K34" t="s">
        <v>36</v>
      </c>
      <c r="L34" t="s">
        <v>21</v>
      </c>
      <c r="M34">
        <v>1</v>
      </c>
    </row>
    <row r="35" spans="1:13" x14ac:dyDescent="0.25">
      <c r="A35" t="s">
        <v>88</v>
      </c>
      <c r="B35" t="s">
        <v>89</v>
      </c>
      <c r="C35" t="s">
        <v>14</v>
      </c>
      <c r="D35" t="s">
        <v>15</v>
      </c>
      <c r="E35">
        <v>54</v>
      </c>
      <c r="F35" t="s">
        <v>21</v>
      </c>
      <c r="G35">
        <v>84</v>
      </c>
      <c r="H35" s="1">
        <v>46184</v>
      </c>
      <c r="I35">
        <v>2026</v>
      </c>
      <c r="J35">
        <v>6</v>
      </c>
      <c r="K35" t="s">
        <v>30</v>
      </c>
      <c r="L35" t="s">
        <v>21</v>
      </c>
      <c r="M35">
        <v>1</v>
      </c>
    </row>
    <row r="36" spans="1:13" x14ac:dyDescent="0.25">
      <c r="A36" t="s">
        <v>90</v>
      </c>
      <c r="B36" t="s">
        <v>91</v>
      </c>
      <c r="C36" t="s">
        <v>48</v>
      </c>
      <c r="D36" t="s">
        <v>15</v>
      </c>
      <c r="E36">
        <v>250</v>
      </c>
      <c r="F36" t="s">
        <v>21</v>
      </c>
      <c r="G36">
        <v>1900</v>
      </c>
      <c r="H36" s="1">
        <v>46183</v>
      </c>
      <c r="I36">
        <v>2026</v>
      </c>
      <c r="J36">
        <v>6</v>
      </c>
      <c r="K36" t="s">
        <v>26</v>
      </c>
      <c r="L36" t="s">
        <v>21</v>
      </c>
      <c r="M36">
        <v>1</v>
      </c>
    </row>
    <row r="37" spans="1:13" x14ac:dyDescent="0.25">
      <c r="A37" t="s">
        <v>92</v>
      </c>
      <c r="B37" t="s">
        <v>93</v>
      </c>
      <c r="C37" t="s">
        <v>14</v>
      </c>
      <c r="D37" t="s">
        <v>15</v>
      </c>
      <c r="E37">
        <v>111</v>
      </c>
      <c r="F37">
        <v>0.25</v>
      </c>
      <c r="G37">
        <v>514</v>
      </c>
      <c r="H37" s="1">
        <v>46183</v>
      </c>
      <c r="I37">
        <v>2026</v>
      </c>
      <c r="J37">
        <v>6</v>
      </c>
      <c r="K37" t="s">
        <v>36</v>
      </c>
      <c r="L37">
        <v>0</v>
      </c>
      <c r="M37">
        <v>1</v>
      </c>
    </row>
    <row r="38" spans="1:13" x14ac:dyDescent="0.25">
      <c r="A38" t="s">
        <v>94</v>
      </c>
      <c r="B38" t="s">
        <v>95</v>
      </c>
      <c r="C38" t="s">
        <v>64</v>
      </c>
      <c r="D38" t="s">
        <v>22</v>
      </c>
      <c r="E38" t="s">
        <v>21</v>
      </c>
      <c r="F38">
        <v>0.08</v>
      </c>
      <c r="G38" t="s">
        <v>21</v>
      </c>
      <c r="H38" s="1">
        <v>46183</v>
      </c>
      <c r="I38">
        <v>2026</v>
      </c>
      <c r="J38">
        <v>6</v>
      </c>
      <c r="K38" t="s">
        <v>22</v>
      </c>
      <c r="L38">
        <v>0</v>
      </c>
      <c r="M38">
        <v>1</v>
      </c>
    </row>
    <row r="39" spans="1:13" x14ac:dyDescent="0.25">
      <c r="A39" t="s">
        <v>96</v>
      </c>
      <c r="B39" t="s">
        <v>77</v>
      </c>
      <c r="C39" t="s">
        <v>48</v>
      </c>
      <c r="D39" t="s">
        <v>97</v>
      </c>
      <c r="E39">
        <v>400</v>
      </c>
      <c r="F39">
        <v>0.01</v>
      </c>
      <c r="G39" t="s">
        <v>21</v>
      </c>
      <c r="H39" s="1">
        <v>46182</v>
      </c>
      <c r="I39">
        <v>2026</v>
      </c>
      <c r="J39">
        <v>6</v>
      </c>
      <c r="K39" t="s">
        <v>22</v>
      </c>
      <c r="L39">
        <v>0</v>
      </c>
      <c r="M39">
        <v>1</v>
      </c>
    </row>
    <row r="40" spans="1:13" x14ac:dyDescent="0.25">
      <c r="A40" t="s">
        <v>98</v>
      </c>
      <c r="B40" t="s">
        <v>99</v>
      </c>
      <c r="C40" t="s">
        <v>14</v>
      </c>
      <c r="D40" t="s">
        <v>15</v>
      </c>
      <c r="E40">
        <v>86</v>
      </c>
      <c r="F40" t="s">
        <v>21</v>
      </c>
      <c r="G40">
        <v>65</v>
      </c>
      <c r="H40" s="1">
        <v>46182</v>
      </c>
      <c r="I40">
        <v>2026</v>
      </c>
      <c r="J40">
        <v>6</v>
      </c>
      <c r="K40" t="s">
        <v>30</v>
      </c>
      <c r="L40" t="s">
        <v>21</v>
      </c>
      <c r="M40">
        <v>1</v>
      </c>
    </row>
    <row r="41" spans="1:13" x14ac:dyDescent="0.25">
      <c r="A41" t="s">
        <v>100</v>
      </c>
      <c r="B41" t="s">
        <v>35</v>
      </c>
      <c r="C41" t="s">
        <v>14</v>
      </c>
      <c r="D41" t="s">
        <v>97</v>
      </c>
      <c r="E41">
        <v>58</v>
      </c>
      <c r="F41" t="s">
        <v>21</v>
      </c>
      <c r="G41">
        <v>3500</v>
      </c>
      <c r="H41" s="1">
        <v>46182</v>
      </c>
      <c r="I41">
        <v>2026</v>
      </c>
      <c r="J41">
        <v>6</v>
      </c>
      <c r="K41" t="s">
        <v>26</v>
      </c>
      <c r="L41" t="s">
        <v>21</v>
      </c>
      <c r="M41">
        <v>1</v>
      </c>
    </row>
    <row r="42" spans="1:13" x14ac:dyDescent="0.25">
      <c r="A42" t="s">
        <v>101</v>
      </c>
      <c r="B42" t="s">
        <v>102</v>
      </c>
      <c r="C42" t="s">
        <v>29</v>
      </c>
      <c r="D42" t="s">
        <v>46</v>
      </c>
      <c r="E42">
        <v>110</v>
      </c>
      <c r="F42">
        <v>0.5</v>
      </c>
      <c r="G42">
        <v>344</v>
      </c>
      <c r="H42" s="1">
        <v>46181</v>
      </c>
      <c r="I42">
        <v>2026</v>
      </c>
      <c r="J42">
        <v>6</v>
      </c>
      <c r="K42" t="s">
        <v>36</v>
      </c>
      <c r="L42">
        <v>0</v>
      </c>
      <c r="M42">
        <v>1</v>
      </c>
    </row>
    <row r="43" spans="1:13" x14ac:dyDescent="0.25">
      <c r="A43" t="s">
        <v>103</v>
      </c>
      <c r="B43" t="s">
        <v>93</v>
      </c>
      <c r="C43" t="s">
        <v>14</v>
      </c>
      <c r="D43" t="s">
        <v>46</v>
      </c>
      <c r="E43" t="s">
        <v>21</v>
      </c>
      <c r="F43" t="s">
        <v>21</v>
      </c>
      <c r="G43">
        <v>244</v>
      </c>
      <c r="H43" s="1">
        <v>46181</v>
      </c>
      <c r="I43">
        <v>2026</v>
      </c>
      <c r="J43">
        <v>6</v>
      </c>
      <c r="K43" t="s">
        <v>36</v>
      </c>
      <c r="L43" t="s">
        <v>21</v>
      </c>
      <c r="M43">
        <v>0</v>
      </c>
    </row>
    <row r="44" spans="1:13" x14ac:dyDescent="0.25">
      <c r="A44" t="s">
        <v>104</v>
      </c>
      <c r="B44" t="s">
        <v>13</v>
      </c>
      <c r="C44" t="s">
        <v>29</v>
      </c>
      <c r="D44" t="s">
        <v>22</v>
      </c>
      <c r="E44">
        <v>15</v>
      </c>
      <c r="F44" t="s">
        <v>21</v>
      </c>
      <c r="G44">
        <v>51</v>
      </c>
      <c r="H44" s="1">
        <v>46180</v>
      </c>
      <c r="I44">
        <v>2026</v>
      </c>
      <c r="J44">
        <v>6</v>
      </c>
      <c r="K44" t="s">
        <v>30</v>
      </c>
      <c r="L44" t="s">
        <v>21</v>
      </c>
      <c r="M44">
        <v>1</v>
      </c>
    </row>
    <row r="45" spans="1:13" x14ac:dyDescent="0.25">
      <c r="A45" t="s">
        <v>105</v>
      </c>
      <c r="B45" t="s">
        <v>106</v>
      </c>
      <c r="C45" t="s">
        <v>14</v>
      </c>
      <c r="D45" t="s">
        <v>46</v>
      </c>
      <c r="E45">
        <v>79</v>
      </c>
      <c r="F45" t="s">
        <v>21</v>
      </c>
      <c r="G45">
        <v>62</v>
      </c>
      <c r="H45" s="1">
        <v>46178</v>
      </c>
      <c r="I45">
        <v>2026</v>
      </c>
      <c r="J45">
        <v>6</v>
      </c>
      <c r="K45" t="s">
        <v>30</v>
      </c>
      <c r="L45" t="s">
        <v>21</v>
      </c>
      <c r="M45">
        <v>1</v>
      </c>
    </row>
    <row r="46" spans="1:13" x14ac:dyDescent="0.25">
      <c r="A46" t="s">
        <v>107</v>
      </c>
      <c r="B46" t="s">
        <v>18</v>
      </c>
      <c r="C46" t="s">
        <v>14</v>
      </c>
      <c r="D46" t="s">
        <v>20</v>
      </c>
      <c r="E46" t="s">
        <v>21</v>
      </c>
      <c r="F46" t="s">
        <v>21</v>
      </c>
      <c r="G46">
        <v>416</v>
      </c>
      <c r="H46" s="1">
        <v>46178</v>
      </c>
      <c r="I46">
        <v>2026</v>
      </c>
      <c r="J46">
        <v>6</v>
      </c>
      <c r="K46" t="s">
        <v>36</v>
      </c>
      <c r="L46" t="s">
        <v>21</v>
      </c>
      <c r="M46">
        <v>0</v>
      </c>
    </row>
    <row r="47" spans="1:13" x14ac:dyDescent="0.25">
      <c r="A47" t="s">
        <v>108</v>
      </c>
      <c r="B47" t="s">
        <v>18</v>
      </c>
      <c r="C47" t="s">
        <v>14</v>
      </c>
      <c r="D47" t="s">
        <v>15</v>
      </c>
      <c r="E47" t="s">
        <v>21</v>
      </c>
      <c r="F47" t="s">
        <v>21</v>
      </c>
      <c r="G47">
        <v>26</v>
      </c>
      <c r="H47" s="1">
        <v>46177</v>
      </c>
      <c r="I47">
        <v>2026</v>
      </c>
      <c r="J47">
        <v>6</v>
      </c>
      <c r="K47" t="s">
        <v>30</v>
      </c>
      <c r="L47" t="s">
        <v>21</v>
      </c>
      <c r="M47">
        <v>0</v>
      </c>
    </row>
    <row r="48" spans="1:13" x14ac:dyDescent="0.25">
      <c r="A48" t="s">
        <v>109</v>
      </c>
      <c r="B48" t="s">
        <v>35</v>
      </c>
      <c r="C48" t="s">
        <v>14</v>
      </c>
      <c r="D48" t="s">
        <v>55</v>
      </c>
      <c r="E48">
        <v>160</v>
      </c>
      <c r="F48" t="s">
        <v>21</v>
      </c>
      <c r="G48">
        <v>172</v>
      </c>
      <c r="H48" s="1">
        <v>46176</v>
      </c>
      <c r="I48">
        <v>2026</v>
      </c>
      <c r="J48">
        <v>6</v>
      </c>
      <c r="K48" t="s">
        <v>36</v>
      </c>
      <c r="L48" t="s">
        <v>21</v>
      </c>
      <c r="M48">
        <v>1</v>
      </c>
    </row>
    <row r="49" spans="1:13" x14ac:dyDescent="0.25">
      <c r="A49" t="s">
        <v>110</v>
      </c>
      <c r="B49" t="s">
        <v>54</v>
      </c>
      <c r="C49" t="s">
        <v>29</v>
      </c>
      <c r="D49" t="s">
        <v>111</v>
      </c>
      <c r="E49">
        <v>100</v>
      </c>
      <c r="F49">
        <v>0.2</v>
      </c>
      <c r="G49">
        <v>60</v>
      </c>
      <c r="H49" s="1">
        <v>46176</v>
      </c>
      <c r="I49">
        <v>2026</v>
      </c>
      <c r="J49">
        <v>6</v>
      </c>
      <c r="K49" t="s">
        <v>30</v>
      </c>
      <c r="L49">
        <v>0</v>
      </c>
      <c r="M49">
        <v>1</v>
      </c>
    </row>
    <row r="50" spans="1:13" x14ac:dyDescent="0.25">
      <c r="A50" t="s">
        <v>112</v>
      </c>
      <c r="B50" t="s">
        <v>66</v>
      </c>
      <c r="C50" t="s">
        <v>14</v>
      </c>
      <c r="D50" t="s">
        <v>15</v>
      </c>
      <c r="E50" t="s">
        <v>21</v>
      </c>
      <c r="F50">
        <v>0.01</v>
      </c>
      <c r="G50">
        <v>25200</v>
      </c>
      <c r="H50" s="1">
        <v>46176</v>
      </c>
      <c r="I50">
        <v>2026</v>
      </c>
      <c r="J50">
        <v>6</v>
      </c>
      <c r="K50" t="s">
        <v>26</v>
      </c>
      <c r="L50">
        <v>0</v>
      </c>
      <c r="M50">
        <v>1</v>
      </c>
    </row>
    <row r="51" spans="1:13" x14ac:dyDescent="0.25">
      <c r="A51" t="s">
        <v>113</v>
      </c>
      <c r="B51" t="s">
        <v>114</v>
      </c>
      <c r="C51" t="s">
        <v>14</v>
      </c>
      <c r="D51" t="s">
        <v>15</v>
      </c>
      <c r="E51">
        <v>350</v>
      </c>
      <c r="F51">
        <v>0.14000000000000001</v>
      </c>
      <c r="G51">
        <v>413</v>
      </c>
      <c r="H51" s="1">
        <v>46175</v>
      </c>
      <c r="I51">
        <v>2026</v>
      </c>
      <c r="J51">
        <v>6</v>
      </c>
      <c r="K51" t="s">
        <v>36</v>
      </c>
      <c r="L51">
        <v>0</v>
      </c>
      <c r="M51">
        <v>1</v>
      </c>
    </row>
    <row r="52" spans="1:13" x14ac:dyDescent="0.25">
      <c r="A52" t="s">
        <v>115</v>
      </c>
      <c r="B52" t="s">
        <v>95</v>
      </c>
      <c r="C52" t="s">
        <v>29</v>
      </c>
      <c r="D52" t="s">
        <v>22</v>
      </c>
      <c r="E52">
        <v>10</v>
      </c>
      <c r="F52" t="s">
        <v>21</v>
      </c>
      <c r="G52">
        <v>119</v>
      </c>
      <c r="H52" s="1">
        <v>46175</v>
      </c>
      <c r="I52">
        <v>2026</v>
      </c>
      <c r="J52">
        <v>6</v>
      </c>
      <c r="K52" t="s">
        <v>36</v>
      </c>
      <c r="L52" t="s">
        <v>21</v>
      </c>
      <c r="M52">
        <v>1</v>
      </c>
    </row>
    <row r="53" spans="1:13" x14ac:dyDescent="0.25">
      <c r="A53" t="s">
        <v>116</v>
      </c>
      <c r="B53" t="s">
        <v>117</v>
      </c>
      <c r="C53" t="s">
        <v>14</v>
      </c>
      <c r="D53" t="s">
        <v>15</v>
      </c>
      <c r="E53" t="s">
        <v>21</v>
      </c>
      <c r="F53">
        <v>0.06</v>
      </c>
      <c r="G53" t="s">
        <v>21</v>
      </c>
      <c r="H53" s="1">
        <v>46175</v>
      </c>
      <c r="I53">
        <v>2026</v>
      </c>
      <c r="J53">
        <v>6</v>
      </c>
      <c r="K53" t="s">
        <v>22</v>
      </c>
      <c r="L53">
        <v>0</v>
      </c>
      <c r="M53">
        <v>1</v>
      </c>
    </row>
    <row r="54" spans="1:13" x14ac:dyDescent="0.25">
      <c r="A54" t="s">
        <v>118</v>
      </c>
      <c r="B54" t="s">
        <v>18</v>
      </c>
      <c r="C54" t="s">
        <v>29</v>
      </c>
      <c r="D54" t="s">
        <v>55</v>
      </c>
      <c r="E54">
        <v>75</v>
      </c>
      <c r="F54">
        <v>0.17</v>
      </c>
      <c r="G54">
        <v>335</v>
      </c>
      <c r="H54" s="1">
        <v>46174</v>
      </c>
      <c r="I54">
        <v>2026</v>
      </c>
      <c r="J54">
        <v>6</v>
      </c>
      <c r="K54" t="s">
        <v>36</v>
      </c>
      <c r="L54">
        <v>0</v>
      </c>
      <c r="M54">
        <v>1</v>
      </c>
    </row>
    <row r="55" spans="1:13" x14ac:dyDescent="0.25">
      <c r="A55" t="s">
        <v>119</v>
      </c>
      <c r="B55" t="s">
        <v>77</v>
      </c>
      <c r="C55" t="s">
        <v>14</v>
      </c>
      <c r="D55" t="s">
        <v>20</v>
      </c>
      <c r="E55">
        <v>117</v>
      </c>
      <c r="F55" t="s">
        <v>21</v>
      </c>
      <c r="G55">
        <v>868</v>
      </c>
      <c r="H55" s="1">
        <v>46172</v>
      </c>
      <c r="I55">
        <v>2026</v>
      </c>
      <c r="J55">
        <v>5</v>
      </c>
      <c r="K55" t="s">
        <v>36</v>
      </c>
      <c r="L55" t="s">
        <v>21</v>
      </c>
      <c r="M55">
        <v>1</v>
      </c>
    </row>
    <row r="56" spans="1:13" x14ac:dyDescent="0.25">
      <c r="A56" t="s">
        <v>120</v>
      </c>
      <c r="B56" t="s">
        <v>28</v>
      </c>
      <c r="C56" t="s">
        <v>14</v>
      </c>
      <c r="D56" t="s">
        <v>15</v>
      </c>
      <c r="E56">
        <v>230</v>
      </c>
      <c r="F56">
        <v>0.08</v>
      </c>
      <c r="G56">
        <v>696</v>
      </c>
      <c r="H56" s="1">
        <v>46171</v>
      </c>
      <c r="I56">
        <v>2026</v>
      </c>
      <c r="J56">
        <v>5</v>
      </c>
      <c r="K56" t="s">
        <v>36</v>
      </c>
      <c r="L56">
        <v>0</v>
      </c>
      <c r="M56">
        <v>1</v>
      </c>
    </row>
    <row r="57" spans="1:13" x14ac:dyDescent="0.25">
      <c r="A57" t="s">
        <v>121</v>
      </c>
      <c r="B57" t="s">
        <v>106</v>
      </c>
      <c r="C57" t="s">
        <v>14</v>
      </c>
      <c r="D57" t="s">
        <v>22</v>
      </c>
      <c r="E57">
        <v>50</v>
      </c>
      <c r="F57" t="s">
        <v>21</v>
      </c>
      <c r="G57">
        <v>10</v>
      </c>
      <c r="H57" s="1">
        <v>46171</v>
      </c>
      <c r="I57">
        <v>2026</v>
      </c>
      <c r="J57">
        <v>5</v>
      </c>
      <c r="K57" t="s">
        <v>30</v>
      </c>
      <c r="L57" t="s">
        <v>21</v>
      </c>
      <c r="M57">
        <v>1</v>
      </c>
    </row>
    <row r="58" spans="1:13" x14ac:dyDescent="0.25">
      <c r="A58" t="s">
        <v>122</v>
      </c>
      <c r="B58" t="s">
        <v>89</v>
      </c>
      <c r="C58" t="s">
        <v>14</v>
      </c>
      <c r="D58" t="s">
        <v>15</v>
      </c>
      <c r="E58" t="s">
        <v>21</v>
      </c>
      <c r="F58">
        <v>7.0000000000000007E-2</v>
      </c>
      <c r="G58" t="s">
        <v>21</v>
      </c>
      <c r="H58" s="1">
        <v>46170</v>
      </c>
      <c r="I58">
        <v>2026</v>
      </c>
      <c r="J58">
        <v>5</v>
      </c>
      <c r="K58" t="s">
        <v>22</v>
      </c>
      <c r="L58">
        <v>0</v>
      </c>
      <c r="M58">
        <v>1</v>
      </c>
    </row>
    <row r="59" spans="1:13" x14ac:dyDescent="0.25">
      <c r="A59" t="s">
        <v>123</v>
      </c>
      <c r="B59" t="s">
        <v>77</v>
      </c>
      <c r="C59" t="s">
        <v>29</v>
      </c>
      <c r="D59" t="s">
        <v>22</v>
      </c>
      <c r="E59" t="s">
        <v>21</v>
      </c>
      <c r="F59" t="s">
        <v>21</v>
      </c>
      <c r="G59">
        <v>770</v>
      </c>
      <c r="H59" s="1">
        <v>46170</v>
      </c>
      <c r="I59">
        <v>2026</v>
      </c>
      <c r="J59">
        <v>5</v>
      </c>
      <c r="K59" t="s">
        <v>36</v>
      </c>
      <c r="L59" t="s">
        <v>21</v>
      </c>
      <c r="M59">
        <v>0</v>
      </c>
    </row>
    <row r="60" spans="1:13" x14ac:dyDescent="0.25">
      <c r="A60" t="s">
        <v>124</v>
      </c>
      <c r="B60" t="s">
        <v>38</v>
      </c>
      <c r="C60" t="s">
        <v>14</v>
      </c>
      <c r="D60" t="s">
        <v>15</v>
      </c>
      <c r="E60">
        <v>77</v>
      </c>
      <c r="F60" t="s">
        <v>21</v>
      </c>
      <c r="G60" t="s">
        <v>21</v>
      </c>
      <c r="H60" s="1">
        <v>46169</v>
      </c>
      <c r="I60">
        <v>2026</v>
      </c>
      <c r="J60">
        <v>5</v>
      </c>
      <c r="K60" t="s">
        <v>22</v>
      </c>
      <c r="L60" t="s">
        <v>21</v>
      </c>
      <c r="M60">
        <v>1</v>
      </c>
    </row>
    <row r="61" spans="1:13" x14ac:dyDescent="0.25">
      <c r="A61" t="s">
        <v>125</v>
      </c>
      <c r="B61" t="s">
        <v>54</v>
      </c>
      <c r="C61" t="s">
        <v>14</v>
      </c>
      <c r="D61" t="s">
        <v>46</v>
      </c>
      <c r="E61" t="s">
        <v>21</v>
      </c>
      <c r="F61" t="s">
        <v>21</v>
      </c>
      <c r="G61">
        <v>335</v>
      </c>
      <c r="H61" s="1">
        <v>46169</v>
      </c>
      <c r="I61">
        <v>2026</v>
      </c>
      <c r="J61">
        <v>5</v>
      </c>
      <c r="K61" t="s">
        <v>36</v>
      </c>
      <c r="L61" t="s">
        <v>21</v>
      </c>
      <c r="M61">
        <v>0</v>
      </c>
    </row>
    <row r="62" spans="1:13" x14ac:dyDescent="0.25">
      <c r="A62" t="s">
        <v>126</v>
      </c>
      <c r="B62" t="s">
        <v>24</v>
      </c>
      <c r="C62" t="s">
        <v>14</v>
      </c>
      <c r="D62" t="s">
        <v>15</v>
      </c>
      <c r="E62">
        <v>400</v>
      </c>
      <c r="F62">
        <v>0.25</v>
      </c>
      <c r="G62">
        <v>1400</v>
      </c>
      <c r="H62" s="1">
        <v>46168</v>
      </c>
      <c r="I62">
        <v>2026</v>
      </c>
      <c r="J62">
        <v>5</v>
      </c>
      <c r="K62" t="s">
        <v>26</v>
      </c>
      <c r="L62">
        <v>0</v>
      </c>
      <c r="M62">
        <v>1</v>
      </c>
    </row>
    <row r="63" spans="1:13" x14ac:dyDescent="0.25">
      <c r="A63" t="s">
        <v>127</v>
      </c>
      <c r="B63" t="s">
        <v>28</v>
      </c>
      <c r="C63" t="s">
        <v>14</v>
      </c>
      <c r="D63" t="s">
        <v>111</v>
      </c>
      <c r="E63" t="s">
        <v>21</v>
      </c>
      <c r="F63">
        <v>0.2</v>
      </c>
      <c r="G63">
        <v>306</v>
      </c>
      <c r="H63" s="1">
        <v>46168</v>
      </c>
      <c r="I63">
        <v>2026</v>
      </c>
      <c r="J63">
        <v>5</v>
      </c>
      <c r="K63" t="s">
        <v>36</v>
      </c>
      <c r="L63">
        <v>0</v>
      </c>
      <c r="M63">
        <v>1</v>
      </c>
    </row>
    <row r="64" spans="1:13" x14ac:dyDescent="0.25">
      <c r="A64" t="s">
        <v>128</v>
      </c>
      <c r="B64" t="s">
        <v>95</v>
      </c>
      <c r="C64" t="s">
        <v>14</v>
      </c>
      <c r="D64" t="s">
        <v>22</v>
      </c>
      <c r="E64" t="s">
        <v>21</v>
      </c>
      <c r="F64">
        <v>1</v>
      </c>
      <c r="G64">
        <v>52</v>
      </c>
      <c r="H64" s="1">
        <v>46168</v>
      </c>
      <c r="I64">
        <v>2026</v>
      </c>
      <c r="J64">
        <v>5</v>
      </c>
      <c r="K64" t="s">
        <v>30</v>
      </c>
      <c r="L64">
        <v>1</v>
      </c>
      <c r="M64">
        <v>1</v>
      </c>
    </row>
    <row r="65" spans="1:13" x14ac:dyDescent="0.25">
      <c r="A65" t="s">
        <v>129</v>
      </c>
      <c r="B65" t="s">
        <v>54</v>
      </c>
      <c r="C65" t="s">
        <v>29</v>
      </c>
      <c r="D65" t="s">
        <v>15</v>
      </c>
      <c r="E65">
        <v>1000</v>
      </c>
      <c r="F65">
        <v>0.2</v>
      </c>
      <c r="G65">
        <v>58</v>
      </c>
      <c r="H65" s="1">
        <v>46167</v>
      </c>
      <c r="I65">
        <v>2026</v>
      </c>
      <c r="J65">
        <v>5</v>
      </c>
      <c r="K65" t="s">
        <v>30</v>
      </c>
      <c r="L65">
        <v>0</v>
      </c>
      <c r="M65">
        <v>1</v>
      </c>
    </row>
    <row r="66" spans="1:13" x14ac:dyDescent="0.25">
      <c r="A66" t="s">
        <v>130</v>
      </c>
      <c r="B66" t="s">
        <v>13</v>
      </c>
      <c r="C66" t="s">
        <v>14</v>
      </c>
      <c r="D66" t="s">
        <v>46</v>
      </c>
      <c r="E66" t="s">
        <v>21</v>
      </c>
      <c r="F66">
        <v>0.22</v>
      </c>
      <c r="G66">
        <v>537</v>
      </c>
      <c r="H66" s="1">
        <v>46163</v>
      </c>
      <c r="I66">
        <v>2026</v>
      </c>
      <c r="J66">
        <v>5</v>
      </c>
      <c r="K66" t="s">
        <v>36</v>
      </c>
      <c r="L66">
        <v>0</v>
      </c>
      <c r="M66">
        <v>1</v>
      </c>
    </row>
    <row r="67" spans="1:13" x14ac:dyDescent="0.25">
      <c r="A67" t="s">
        <v>131</v>
      </c>
      <c r="B67" t="s">
        <v>18</v>
      </c>
      <c r="C67" t="s">
        <v>14</v>
      </c>
      <c r="D67" t="s">
        <v>15</v>
      </c>
      <c r="E67">
        <v>8000</v>
      </c>
      <c r="F67">
        <v>0.1</v>
      </c>
      <c r="G67">
        <v>26000</v>
      </c>
      <c r="H67" s="1">
        <v>46162</v>
      </c>
      <c r="I67">
        <v>2026</v>
      </c>
      <c r="J67">
        <v>5</v>
      </c>
      <c r="K67" t="s">
        <v>26</v>
      </c>
      <c r="L67">
        <v>0</v>
      </c>
      <c r="M67">
        <v>1</v>
      </c>
    </row>
    <row r="68" spans="1:13" x14ac:dyDescent="0.25">
      <c r="A68" t="s">
        <v>132</v>
      </c>
      <c r="B68" t="s">
        <v>77</v>
      </c>
      <c r="C68" t="s">
        <v>14</v>
      </c>
      <c r="D68" t="s">
        <v>15</v>
      </c>
      <c r="E68">
        <v>3000</v>
      </c>
      <c r="F68">
        <v>0.17</v>
      </c>
      <c r="G68">
        <v>18</v>
      </c>
      <c r="H68" s="1">
        <v>46162</v>
      </c>
      <c r="I68">
        <v>2026</v>
      </c>
      <c r="J68">
        <v>5</v>
      </c>
      <c r="K68" t="s">
        <v>30</v>
      </c>
      <c r="L68">
        <v>0</v>
      </c>
      <c r="M68">
        <v>1</v>
      </c>
    </row>
    <row r="69" spans="1:13" x14ac:dyDescent="0.25">
      <c r="A69" t="s">
        <v>133</v>
      </c>
      <c r="B69" t="s">
        <v>93</v>
      </c>
      <c r="C69" t="s">
        <v>29</v>
      </c>
      <c r="D69" t="s">
        <v>55</v>
      </c>
      <c r="E69">
        <v>110</v>
      </c>
      <c r="F69">
        <v>0.61</v>
      </c>
      <c r="G69">
        <v>626</v>
      </c>
      <c r="H69" s="1">
        <v>46160</v>
      </c>
      <c r="I69">
        <v>2026</v>
      </c>
      <c r="J69">
        <v>5</v>
      </c>
      <c r="K69" t="s">
        <v>36</v>
      </c>
      <c r="L69">
        <v>0</v>
      </c>
      <c r="M69">
        <v>1</v>
      </c>
    </row>
    <row r="70" spans="1:13" x14ac:dyDescent="0.25">
      <c r="A70" t="s">
        <v>134</v>
      </c>
      <c r="B70" t="s">
        <v>52</v>
      </c>
      <c r="C70" t="s">
        <v>14</v>
      </c>
      <c r="D70" t="s">
        <v>22</v>
      </c>
      <c r="E70">
        <v>150</v>
      </c>
      <c r="F70" t="s">
        <v>21</v>
      </c>
      <c r="G70">
        <v>134</v>
      </c>
      <c r="H70" s="1">
        <v>46157</v>
      </c>
      <c r="I70">
        <v>2026</v>
      </c>
      <c r="J70">
        <v>5</v>
      </c>
      <c r="K70" t="s">
        <v>36</v>
      </c>
      <c r="L70" t="s">
        <v>21</v>
      </c>
      <c r="M70">
        <v>1</v>
      </c>
    </row>
    <row r="71" spans="1:13" x14ac:dyDescent="0.25">
      <c r="A71" t="s">
        <v>135</v>
      </c>
      <c r="B71" t="s">
        <v>35</v>
      </c>
      <c r="C71" t="s">
        <v>14</v>
      </c>
      <c r="D71" t="s">
        <v>111</v>
      </c>
      <c r="E71">
        <v>340</v>
      </c>
      <c r="F71" t="s">
        <v>21</v>
      </c>
      <c r="G71">
        <v>379</v>
      </c>
      <c r="H71" s="1">
        <v>46156</v>
      </c>
      <c r="I71">
        <v>2026</v>
      </c>
      <c r="J71">
        <v>5</v>
      </c>
      <c r="K71" t="s">
        <v>36</v>
      </c>
      <c r="L71" t="s">
        <v>21</v>
      </c>
      <c r="M71">
        <v>1</v>
      </c>
    </row>
    <row r="72" spans="1:13" x14ac:dyDescent="0.25">
      <c r="A72" t="s">
        <v>136</v>
      </c>
      <c r="B72" t="s">
        <v>52</v>
      </c>
      <c r="C72" t="s">
        <v>137</v>
      </c>
      <c r="D72" t="s">
        <v>33</v>
      </c>
      <c r="E72" t="s">
        <v>21</v>
      </c>
      <c r="F72">
        <v>0.25</v>
      </c>
      <c r="G72">
        <v>79</v>
      </c>
      <c r="H72" s="1">
        <v>46156</v>
      </c>
      <c r="I72">
        <v>2026</v>
      </c>
      <c r="J72">
        <v>5</v>
      </c>
      <c r="K72" t="s">
        <v>30</v>
      </c>
      <c r="L72">
        <v>0</v>
      </c>
      <c r="M72">
        <v>1</v>
      </c>
    </row>
    <row r="73" spans="1:13" x14ac:dyDescent="0.25">
      <c r="A73" t="s">
        <v>138</v>
      </c>
      <c r="B73" t="s">
        <v>13</v>
      </c>
      <c r="C73" t="s">
        <v>19</v>
      </c>
      <c r="D73" t="s">
        <v>15</v>
      </c>
      <c r="E73" t="s">
        <v>21</v>
      </c>
      <c r="F73" t="s">
        <v>21</v>
      </c>
      <c r="G73">
        <v>276</v>
      </c>
      <c r="H73" s="1">
        <v>46156</v>
      </c>
      <c r="I73">
        <v>2026</v>
      </c>
      <c r="J73">
        <v>5</v>
      </c>
      <c r="K73" t="s">
        <v>36</v>
      </c>
      <c r="L73" t="s">
        <v>21</v>
      </c>
      <c r="M73">
        <v>0</v>
      </c>
    </row>
    <row r="74" spans="1:13" x14ac:dyDescent="0.25">
      <c r="A74" t="s">
        <v>139</v>
      </c>
      <c r="B74" t="s">
        <v>140</v>
      </c>
      <c r="C74" t="s">
        <v>14</v>
      </c>
      <c r="D74" t="s">
        <v>15</v>
      </c>
      <c r="E74">
        <v>4000</v>
      </c>
      <c r="F74">
        <v>0.05</v>
      </c>
      <c r="G74">
        <v>2</v>
      </c>
      <c r="H74" s="1">
        <v>46155</v>
      </c>
      <c r="I74">
        <v>2026</v>
      </c>
      <c r="J74">
        <v>5</v>
      </c>
      <c r="K74" t="s">
        <v>16</v>
      </c>
      <c r="L74">
        <v>0</v>
      </c>
      <c r="M74">
        <v>1</v>
      </c>
    </row>
    <row r="75" spans="1:13" x14ac:dyDescent="0.25">
      <c r="A75" t="s">
        <v>141</v>
      </c>
      <c r="B75" t="s">
        <v>45</v>
      </c>
      <c r="C75" t="s">
        <v>14</v>
      </c>
      <c r="D75" t="s">
        <v>20</v>
      </c>
      <c r="E75">
        <v>875</v>
      </c>
      <c r="F75">
        <v>0.05</v>
      </c>
      <c r="G75">
        <v>154</v>
      </c>
      <c r="H75" s="1">
        <v>46155</v>
      </c>
      <c r="I75">
        <v>2026</v>
      </c>
      <c r="J75">
        <v>5</v>
      </c>
      <c r="K75" t="s">
        <v>36</v>
      </c>
      <c r="L75">
        <v>0</v>
      </c>
      <c r="M75">
        <v>1</v>
      </c>
    </row>
    <row r="76" spans="1:13" x14ac:dyDescent="0.25">
      <c r="A76" t="s">
        <v>142</v>
      </c>
      <c r="B76" t="s">
        <v>24</v>
      </c>
      <c r="C76" t="s">
        <v>143</v>
      </c>
      <c r="D76" t="s">
        <v>15</v>
      </c>
      <c r="E76">
        <v>200</v>
      </c>
      <c r="F76" t="s">
        <v>21</v>
      </c>
      <c r="G76">
        <v>1200</v>
      </c>
      <c r="H76" s="1">
        <v>46155</v>
      </c>
      <c r="I76">
        <v>2026</v>
      </c>
      <c r="J76">
        <v>5</v>
      </c>
      <c r="K76" t="s">
        <v>26</v>
      </c>
      <c r="L76" t="s">
        <v>21</v>
      </c>
      <c r="M76">
        <v>1</v>
      </c>
    </row>
    <row r="77" spans="1:13" x14ac:dyDescent="0.25">
      <c r="A77" t="s">
        <v>144</v>
      </c>
      <c r="B77" t="s">
        <v>73</v>
      </c>
      <c r="C77" t="s">
        <v>29</v>
      </c>
      <c r="D77" t="s">
        <v>43</v>
      </c>
      <c r="E77">
        <v>20</v>
      </c>
      <c r="F77">
        <v>0.02</v>
      </c>
      <c r="G77">
        <v>411</v>
      </c>
      <c r="H77" s="1">
        <v>46155</v>
      </c>
      <c r="I77">
        <v>2026</v>
      </c>
      <c r="J77">
        <v>5</v>
      </c>
      <c r="K77" t="s">
        <v>36</v>
      </c>
      <c r="L77">
        <v>0</v>
      </c>
      <c r="M77">
        <v>1</v>
      </c>
    </row>
    <row r="78" spans="1:13" x14ac:dyDescent="0.25">
      <c r="A78" t="s">
        <v>145</v>
      </c>
      <c r="B78" t="s">
        <v>95</v>
      </c>
      <c r="C78" t="s">
        <v>146</v>
      </c>
      <c r="D78" t="s">
        <v>46</v>
      </c>
      <c r="E78">
        <v>58</v>
      </c>
      <c r="F78" t="s">
        <v>21</v>
      </c>
      <c r="G78">
        <v>89</v>
      </c>
      <c r="H78" s="1">
        <v>46154</v>
      </c>
      <c r="I78">
        <v>2026</v>
      </c>
      <c r="J78">
        <v>5</v>
      </c>
      <c r="K78" t="s">
        <v>30</v>
      </c>
      <c r="L78" t="s">
        <v>21</v>
      </c>
      <c r="M78">
        <v>1</v>
      </c>
    </row>
    <row r="79" spans="1:13" x14ac:dyDescent="0.25">
      <c r="A79" t="s">
        <v>147</v>
      </c>
      <c r="B79" t="s">
        <v>28</v>
      </c>
      <c r="C79" t="s">
        <v>42</v>
      </c>
      <c r="D79" t="s">
        <v>15</v>
      </c>
      <c r="E79">
        <v>45</v>
      </c>
      <c r="F79" t="s">
        <v>21</v>
      </c>
      <c r="G79" t="s">
        <v>21</v>
      </c>
      <c r="H79" s="1">
        <v>46154</v>
      </c>
      <c r="I79">
        <v>2026</v>
      </c>
      <c r="J79">
        <v>5</v>
      </c>
      <c r="K79" t="s">
        <v>22</v>
      </c>
      <c r="L79" t="s">
        <v>21</v>
      </c>
      <c r="M79">
        <v>1</v>
      </c>
    </row>
    <row r="80" spans="1:13" x14ac:dyDescent="0.25">
      <c r="A80" t="s">
        <v>148</v>
      </c>
      <c r="B80" t="s">
        <v>91</v>
      </c>
      <c r="C80" t="s">
        <v>14</v>
      </c>
      <c r="D80" t="s">
        <v>20</v>
      </c>
      <c r="E80">
        <v>200</v>
      </c>
      <c r="F80" t="s">
        <v>21</v>
      </c>
      <c r="G80">
        <v>16</v>
      </c>
      <c r="H80" s="1">
        <v>46153</v>
      </c>
      <c r="I80">
        <v>2026</v>
      </c>
      <c r="J80">
        <v>5</v>
      </c>
      <c r="K80" t="s">
        <v>30</v>
      </c>
      <c r="L80" t="s">
        <v>21</v>
      </c>
      <c r="M80">
        <v>1</v>
      </c>
    </row>
    <row r="81" spans="1:13" x14ac:dyDescent="0.25">
      <c r="A81" t="s">
        <v>149</v>
      </c>
      <c r="B81" t="s">
        <v>28</v>
      </c>
      <c r="C81" t="s">
        <v>83</v>
      </c>
      <c r="D81" t="s">
        <v>22</v>
      </c>
      <c r="E81">
        <v>41</v>
      </c>
      <c r="F81" t="s">
        <v>21</v>
      </c>
      <c r="G81" t="s">
        <v>21</v>
      </c>
      <c r="H81" s="1">
        <v>46153</v>
      </c>
      <c r="I81">
        <v>2026</v>
      </c>
      <c r="J81">
        <v>5</v>
      </c>
      <c r="K81" t="s">
        <v>22</v>
      </c>
      <c r="L81" t="s">
        <v>21</v>
      </c>
      <c r="M81">
        <v>1</v>
      </c>
    </row>
    <row r="82" spans="1:13" x14ac:dyDescent="0.25">
      <c r="A82" t="s">
        <v>150</v>
      </c>
      <c r="B82" t="s">
        <v>13</v>
      </c>
      <c r="C82" t="s">
        <v>74</v>
      </c>
      <c r="D82" t="s">
        <v>46</v>
      </c>
      <c r="E82" t="s">
        <v>21</v>
      </c>
      <c r="F82">
        <v>0.2</v>
      </c>
      <c r="G82">
        <v>1100</v>
      </c>
      <c r="H82" s="1">
        <v>46153</v>
      </c>
      <c r="I82">
        <v>2026</v>
      </c>
      <c r="J82">
        <v>5</v>
      </c>
      <c r="K82" t="s">
        <v>26</v>
      </c>
      <c r="L82">
        <v>0</v>
      </c>
      <c r="M82">
        <v>1</v>
      </c>
    </row>
    <row r="83" spans="1:13" x14ac:dyDescent="0.25">
      <c r="A83" t="s">
        <v>151</v>
      </c>
      <c r="B83" t="s">
        <v>99</v>
      </c>
      <c r="C83" t="s">
        <v>14</v>
      </c>
      <c r="D83" t="s">
        <v>15</v>
      </c>
      <c r="E83">
        <v>600</v>
      </c>
      <c r="F83">
        <v>0.2</v>
      </c>
      <c r="G83">
        <v>7</v>
      </c>
      <c r="H83" s="1">
        <v>46152</v>
      </c>
      <c r="I83">
        <v>2026</v>
      </c>
      <c r="J83">
        <v>5</v>
      </c>
      <c r="K83" t="s">
        <v>16</v>
      </c>
      <c r="L83">
        <v>0</v>
      </c>
      <c r="M83">
        <v>1</v>
      </c>
    </row>
    <row r="84" spans="1:13" x14ac:dyDescent="0.25">
      <c r="A84" t="s">
        <v>152</v>
      </c>
      <c r="B84" t="s">
        <v>106</v>
      </c>
      <c r="C84" t="s">
        <v>48</v>
      </c>
      <c r="D84" t="s">
        <v>33</v>
      </c>
      <c r="E84">
        <v>200</v>
      </c>
      <c r="F84">
        <v>0.2</v>
      </c>
      <c r="G84">
        <v>61</v>
      </c>
      <c r="H84" s="1">
        <v>46152</v>
      </c>
      <c r="I84">
        <v>2026</v>
      </c>
      <c r="J84">
        <v>5</v>
      </c>
      <c r="K84" t="s">
        <v>30</v>
      </c>
      <c r="L84">
        <v>0</v>
      </c>
      <c r="M84">
        <v>1</v>
      </c>
    </row>
    <row r="85" spans="1:13" x14ac:dyDescent="0.25">
      <c r="A85" t="s">
        <v>153</v>
      </c>
      <c r="B85" t="s">
        <v>77</v>
      </c>
      <c r="C85" t="s">
        <v>14</v>
      </c>
      <c r="D85" t="s">
        <v>33</v>
      </c>
      <c r="E85" t="s">
        <v>21</v>
      </c>
      <c r="F85">
        <v>1</v>
      </c>
      <c r="G85">
        <v>57</v>
      </c>
      <c r="H85" s="1">
        <v>46151</v>
      </c>
      <c r="I85">
        <v>2026</v>
      </c>
      <c r="J85">
        <v>5</v>
      </c>
      <c r="K85" t="s">
        <v>30</v>
      </c>
      <c r="L85">
        <v>1</v>
      </c>
      <c r="M85">
        <v>1</v>
      </c>
    </row>
    <row r="86" spans="1:13" x14ac:dyDescent="0.25">
      <c r="A86" t="s">
        <v>154</v>
      </c>
      <c r="B86" t="s">
        <v>13</v>
      </c>
      <c r="C86" t="s">
        <v>83</v>
      </c>
      <c r="D86" t="s">
        <v>111</v>
      </c>
      <c r="E86">
        <v>176</v>
      </c>
      <c r="F86">
        <v>0.22</v>
      </c>
      <c r="G86">
        <v>306</v>
      </c>
      <c r="H86" s="1">
        <v>46150</v>
      </c>
      <c r="I86">
        <v>2026</v>
      </c>
      <c r="J86">
        <v>5</v>
      </c>
      <c r="K86" t="s">
        <v>36</v>
      </c>
      <c r="L86">
        <v>0</v>
      </c>
      <c r="M86">
        <v>1</v>
      </c>
    </row>
    <row r="87" spans="1:13" x14ac:dyDescent="0.25">
      <c r="A87" t="s">
        <v>155</v>
      </c>
      <c r="B87" t="s">
        <v>28</v>
      </c>
      <c r="C87" t="s">
        <v>14</v>
      </c>
      <c r="D87" t="s">
        <v>15</v>
      </c>
      <c r="E87">
        <v>1100</v>
      </c>
      <c r="F87">
        <v>0.2</v>
      </c>
      <c r="G87">
        <v>332</v>
      </c>
      <c r="H87" s="1">
        <v>46149</v>
      </c>
      <c r="I87">
        <v>2026</v>
      </c>
      <c r="J87">
        <v>5</v>
      </c>
      <c r="K87" t="s">
        <v>36</v>
      </c>
      <c r="L87">
        <v>0</v>
      </c>
      <c r="M87">
        <v>1</v>
      </c>
    </row>
    <row r="88" spans="1:13" x14ac:dyDescent="0.25">
      <c r="A88" t="s">
        <v>156</v>
      </c>
      <c r="B88" t="s">
        <v>77</v>
      </c>
      <c r="C88" t="s">
        <v>14</v>
      </c>
      <c r="D88" t="s">
        <v>15</v>
      </c>
      <c r="E88">
        <v>709</v>
      </c>
      <c r="F88">
        <v>0.3</v>
      </c>
      <c r="G88">
        <v>280</v>
      </c>
      <c r="H88" s="1">
        <v>46149</v>
      </c>
      <c r="I88">
        <v>2026</v>
      </c>
      <c r="J88">
        <v>5</v>
      </c>
      <c r="K88" t="s">
        <v>36</v>
      </c>
      <c r="L88">
        <v>0</v>
      </c>
      <c r="M88">
        <v>1</v>
      </c>
    </row>
    <row r="89" spans="1:13" x14ac:dyDescent="0.25">
      <c r="A89" t="s">
        <v>157</v>
      </c>
      <c r="B89" t="s">
        <v>18</v>
      </c>
      <c r="C89" t="s">
        <v>14</v>
      </c>
      <c r="D89" t="s">
        <v>20</v>
      </c>
      <c r="E89">
        <v>350</v>
      </c>
      <c r="F89">
        <v>0.08</v>
      </c>
      <c r="G89" t="s">
        <v>21</v>
      </c>
      <c r="H89" s="1">
        <v>46149</v>
      </c>
      <c r="I89">
        <v>2026</v>
      </c>
      <c r="J89">
        <v>5</v>
      </c>
      <c r="K89" t="s">
        <v>22</v>
      </c>
      <c r="L89">
        <v>0</v>
      </c>
      <c r="M89">
        <v>1</v>
      </c>
    </row>
    <row r="90" spans="1:13" x14ac:dyDescent="0.25">
      <c r="A90" t="s">
        <v>158</v>
      </c>
      <c r="B90" t="s">
        <v>93</v>
      </c>
      <c r="C90" t="s">
        <v>83</v>
      </c>
      <c r="D90" t="s">
        <v>22</v>
      </c>
      <c r="E90">
        <v>250</v>
      </c>
      <c r="F90">
        <v>0.21</v>
      </c>
      <c r="G90">
        <v>400</v>
      </c>
      <c r="H90" s="1">
        <v>46149</v>
      </c>
      <c r="I90">
        <v>2026</v>
      </c>
      <c r="J90">
        <v>5</v>
      </c>
      <c r="K90" t="s">
        <v>36</v>
      </c>
      <c r="L90">
        <v>0</v>
      </c>
      <c r="M90">
        <v>1</v>
      </c>
    </row>
    <row r="91" spans="1:13" x14ac:dyDescent="0.25">
      <c r="A91" t="s">
        <v>159</v>
      </c>
      <c r="B91" t="s">
        <v>13</v>
      </c>
      <c r="C91" t="s">
        <v>14</v>
      </c>
      <c r="D91" t="s">
        <v>15</v>
      </c>
      <c r="E91">
        <v>151</v>
      </c>
      <c r="F91">
        <v>0.24</v>
      </c>
      <c r="G91">
        <v>168</v>
      </c>
      <c r="H91" s="1">
        <v>46149</v>
      </c>
      <c r="I91">
        <v>2026</v>
      </c>
      <c r="J91">
        <v>5</v>
      </c>
      <c r="K91" t="s">
        <v>36</v>
      </c>
      <c r="L91">
        <v>0</v>
      </c>
      <c r="M91">
        <v>1</v>
      </c>
    </row>
    <row r="92" spans="1:13" x14ac:dyDescent="0.25">
      <c r="A92" t="s">
        <v>160</v>
      </c>
      <c r="B92" t="s">
        <v>18</v>
      </c>
      <c r="C92" t="s">
        <v>161</v>
      </c>
      <c r="D92" t="s">
        <v>15</v>
      </c>
      <c r="E92">
        <v>70</v>
      </c>
      <c r="F92" t="s">
        <v>21</v>
      </c>
      <c r="G92">
        <v>101</v>
      </c>
      <c r="H92" s="1">
        <v>46149</v>
      </c>
      <c r="I92">
        <v>2026</v>
      </c>
      <c r="J92">
        <v>5</v>
      </c>
      <c r="K92" t="s">
        <v>36</v>
      </c>
      <c r="L92" t="s">
        <v>21</v>
      </c>
      <c r="M92">
        <v>1</v>
      </c>
    </row>
    <row r="93" spans="1:13" x14ac:dyDescent="0.25">
      <c r="A93" t="s">
        <v>162</v>
      </c>
      <c r="B93" t="s">
        <v>28</v>
      </c>
      <c r="C93" t="s">
        <v>14</v>
      </c>
      <c r="D93" t="s">
        <v>22</v>
      </c>
      <c r="E93">
        <v>250</v>
      </c>
      <c r="F93">
        <v>0.1</v>
      </c>
      <c r="G93">
        <v>899</v>
      </c>
      <c r="H93" s="1">
        <v>46148</v>
      </c>
      <c r="I93">
        <v>2026</v>
      </c>
      <c r="J93">
        <v>5</v>
      </c>
      <c r="K93" t="s">
        <v>36</v>
      </c>
      <c r="L93">
        <v>0</v>
      </c>
      <c r="M93">
        <v>1</v>
      </c>
    </row>
    <row r="94" spans="1:13" x14ac:dyDescent="0.25">
      <c r="A94" t="s">
        <v>163</v>
      </c>
      <c r="B94" t="s">
        <v>32</v>
      </c>
      <c r="C94" t="s">
        <v>48</v>
      </c>
      <c r="D94" t="s">
        <v>55</v>
      </c>
      <c r="E94">
        <v>100</v>
      </c>
      <c r="F94">
        <v>0.1</v>
      </c>
      <c r="G94">
        <v>212</v>
      </c>
      <c r="H94" s="1">
        <v>46148</v>
      </c>
      <c r="I94">
        <v>2026</v>
      </c>
      <c r="J94">
        <v>5</v>
      </c>
      <c r="K94" t="s">
        <v>36</v>
      </c>
      <c r="L94">
        <v>0</v>
      </c>
      <c r="M94">
        <v>1</v>
      </c>
    </row>
    <row r="95" spans="1:13" x14ac:dyDescent="0.25">
      <c r="A95" t="s">
        <v>164</v>
      </c>
      <c r="B95" t="s">
        <v>38</v>
      </c>
      <c r="C95" t="s">
        <v>29</v>
      </c>
      <c r="D95" t="s">
        <v>22</v>
      </c>
      <c r="E95">
        <v>40</v>
      </c>
      <c r="F95">
        <v>0.2</v>
      </c>
      <c r="G95" t="s">
        <v>21</v>
      </c>
      <c r="H95" s="1">
        <v>46148</v>
      </c>
      <c r="I95">
        <v>2026</v>
      </c>
      <c r="J95">
        <v>5</v>
      </c>
      <c r="K95" t="s">
        <v>22</v>
      </c>
      <c r="L95">
        <v>0</v>
      </c>
      <c r="M95">
        <v>1</v>
      </c>
    </row>
    <row r="96" spans="1:13" x14ac:dyDescent="0.25">
      <c r="A96" t="s">
        <v>165</v>
      </c>
      <c r="B96" t="s">
        <v>95</v>
      </c>
      <c r="C96" t="s">
        <v>48</v>
      </c>
      <c r="D96" t="s">
        <v>33</v>
      </c>
      <c r="E96">
        <v>35</v>
      </c>
      <c r="F96">
        <v>0.1</v>
      </c>
      <c r="G96">
        <v>40</v>
      </c>
      <c r="H96" s="1">
        <v>46148</v>
      </c>
      <c r="I96">
        <v>2026</v>
      </c>
      <c r="J96">
        <v>5</v>
      </c>
      <c r="K96" t="s">
        <v>30</v>
      </c>
      <c r="L96">
        <v>0</v>
      </c>
      <c r="M96">
        <v>1</v>
      </c>
    </row>
    <row r="97" spans="1:13" x14ac:dyDescent="0.25">
      <c r="A97" t="s">
        <v>166</v>
      </c>
      <c r="B97" t="s">
        <v>91</v>
      </c>
      <c r="C97" t="s">
        <v>14</v>
      </c>
      <c r="D97" t="s">
        <v>15</v>
      </c>
      <c r="E97" t="s">
        <v>21</v>
      </c>
      <c r="F97">
        <v>0.25</v>
      </c>
      <c r="G97">
        <v>229</v>
      </c>
      <c r="H97" s="1">
        <v>46148</v>
      </c>
      <c r="I97">
        <v>2026</v>
      </c>
      <c r="J97">
        <v>5</v>
      </c>
      <c r="K97" t="s">
        <v>36</v>
      </c>
      <c r="L97">
        <v>0</v>
      </c>
      <c r="M97">
        <v>1</v>
      </c>
    </row>
    <row r="98" spans="1:13" x14ac:dyDescent="0.25">
      <c r="A98" t="s">
        <v>167</v>
      </c>
      <c r="B98" t="s">
        <v>77</v>
      </c>
      <c r="C98" t="s">
        <v>14</v>
      </c>
      <c r="D98" t="s">
        <v>15</v>
      </c>
      <c r="E98">
        <v>4760</v>
      </c>
      <c r="F98">
        <v>0.2</v>
      </c>
      <c r="G98">
        <v>216</v>
      </c>
      <c r="H98" s="1">
        <v>46147</v>
      </c>
      <c r="I98">
        <v>2026</v>
      </c>
      <c r="J98">
        <v>5</v>
      </c>
      <c r="K98" t="s">
        <v>36</v>
      </c>
      <c r="L98">
        <v>0</v>
      </c>
      <c r="M98">
        <v>1</v>
      </c>
    </row>
    <row r="99" spans="1:13" x14ac:dyDescent="0.25">
      <c r="A99" t="s">
        <v>168</v>
      </c>
      <c r="B99" t="s">
        <v>52</v>
      </c>
      <c r="C99" t="s">
        <v>14</v>
      </c>
      <c r="D99" t="s">
        <v>15</v>
      </c>
      <c r="E99">
        <v>700</v>
      </c>
      <c r="F99">
        <v>0.14000000000000001</v>
      </c>
      <c r="G99">
        <v>549</v>
      </c>
      <c r="H99" s="1">
        <v>46147</v>
      </c>
      <c r="I99">
        <v>2026</v>
      </c>
      <c r="J99">
        <v>5</v>
      </c>
      <c r="K99" t="s">
        <v>36</v>
      </c>
      <c r="L99">
        <v>0</v>
      </c>
      <c r="M99">
        <v>1</v>
      </c>
    </row>
    <row r="100" spans="1:13" x14ac:dyDescent="0.25">
      <c r="A100" t="s">
        <v>169</v>
      </c>
      <c r="B100" t="s">
        <v>89</v>
      </c>
      <c r="C100" t="s">
        <v>14</v>
      </c>
      <c r="D100" t="s">
        <v>15</v>
      </c>
      <c r="E100">
        <v>500</v>
      </c>
      <c r="F100">
        <v>0.11</v>
      </c>
      <c r="G100">
        <v>484</v>
      </c>
      <c r="H100" s="1">
        <v>46147</v>
      </c>
      <c r="I100">
        <v>2026</v>
      </c>
      <c r="J100">
        <v>5</v>
      </c>
      <c r="K100" t="s">
        <v>36</v>
      </c>
      <c r="L100">
        <v>0</v>
      </c>
      <c r="M100">
        <v>1</v>
      </c>
    </row>
    <row r="101" spans="1:13" x14ac:dyDescent="0.25">
      <c r="A101" t="s">
        <v>170</v>
      </c>
      <c r="B101" t="s">
        <v>52</v>
      </c>
      <c r="C101" t="s">
        <v>14</v>
      </c>
      <c r="D101" t="s">
        <v>22</v>
      </c>
      <c r="E101" t="s">
        <v>21</v>
      </c>
      <c r="F101">
        <v>0.25</v>
      </c>
      <c r="G101" t="s">
        <v>21</v>
      </c>
      <c r="H101" s="1">
        <v>46147</v>
      </c>
      <c r="I101">
        <v>2026</v>
      </c>
      <c r="J101">
        <v>5</v>
      </c>
      <c r="K101" t="s">
        <v>22</v>
      </c>
      <c r="L101">
        <v>0</v>
      </c>
      <c r="M101">
        <v>1</v>
      </c>
    </row>
    <row r="102" spans="1:13" x14ac:dyDescent="0.25">
      <c r="A102" t="s">
        <v>171</v>
      </c>
      <c r="B102" t="s">
        <v>66</v>
      </c>
      <c r="C102" t="s">
        <v>172</v>
      </c>
      <c r="D102" t="s">
        <v>20</v>
      </c>
      <c r="E102" t="s">
        <v>21</v>
      </c>
      <c r="F102" t="s">
        <v>21</v>
      </c>
      <c r="G102">
        <v>771</v>
      </c>
      <c r="H102" s="1">
        <v>46147</v>
      </c>
      <c r="I102">
        <v>2026</v>
      </c>
      <c r="J102">
        <v>5</v>
      </c>
      <c r="K102" t="s">
        <v>36</v>
      </c>
      <c r="L102" t="s">
        <v>21</v>
      </c>
      <c r="M102">
        <v>0</v>
      </c>
    </row>
    <row r="103" spans="1:13" x14ac:dyDescent="0.25">
      <c r="A103" t="s">
        <v>173</v>
      </c>
      <c r="B103" t="s">
        <v>24</v>
      </c>
      <c r="C103" t="s">
        <v>174</v>
      </c>
      <c r="D103" t="s">
        <v>15</v>
      </c>
      <c r="E103">
        <v>30</v>
      </c>
      <c r="F103" t="s">
        <v>21</v>
      </c>
      <c r="G103">
        <v>122</v>
      </c>
      <c r="H103" s="1">
        <v>46146</v>
      </c>
      <c r="I103">
        <v>2026</v>
      </c>
      <c r="J103">
        <v>5</v>
      </c>
      <c r="K103" t="s">
        <v>36</v>
      </c>
      <c r="L103" t="s">
        <v>21</v>
      </c>
      <c r="M103">
        <v>1</v>
      </c>
    </row>
    <row r="104" spans="1:13" x14ac:dyDescent="0.25">
      <c r="A104" t="s">
        <v>175</v>
      </c>
      <c r="B104" t="s">
        <v>28</v>
      </c>
      <c r="C104" t="s">
        <v>14</v>
      </c>
      <c r="D104" t="s">
        <v>55</v>
      </c>
      <c r="E104">
        <v>40</v>
      </c>
      <c r="F104">
        <v>0.08</v>
      </c>
      <c r="G104">
        <v>249</v>
      </c>
      <c r="H104" s="1">
        <v>46139</v>
      </c>
      <c r="I104">
        <v>2026</v>
      </c>
      <c r="J104">
        <v>4</v>
      </c>
      <c r="K104" t="s">
        <v>36</v>
      </c>
      <c r="L104">
        <v>0</v>
      </c>
      <c r="M104">
        <v>1</v>
      </c>
    </row>
    <row r="105" spans="1:13" x14ac:dyDescent="0.25">
      <c r="A105" t="s">
        <v>176</v>
      </c>
      <c r="B105" t="s">
        <v>13</v>
      </c>
      <c r="C105" t="s">
        <v>48</v>
      </c>
      <c r="D105" t="s">
        <v>46</v>
      </c>
      <c r="E105">
        <v>60</v>
      </c>
      <c r="F105">
        <v>0.3</v>
      </c>
      <c r="G105">
        <v>54</v>
      </c>
      <c r="H105" s="1">
        <v>46136</v>
      </c>
      <c r="I105">
        <v>2026</v>
      </c>
      <c r="J105">
        <v>4</v>
      </c>
      <c r="K105" t="s">
        <v>30</v>
      </c>
      <c r="L105">
        <v>0</v>
      </c>
      <c r="M105">
        <v>1</v>
      </c>
    </row>
    <row r="106" spans="1:13" x14ac:dyDescent="0.25">
      <c r="A106" t="s">
        <v>177</v>
      </c>
      <c r="B106" t="s">
        <v>70</v>
      </c>
      <c r="C106" t="s">
        <v>137</v>
      </c>
      <c r="D106" t="s">
        <v>22</v>
      </c>
      <c r="E106">
        <v>200</v>
      </c>
      <c r="F106" t="s">
        <v>21</v>
      </c>
      <c r="G106">
        <v>104</v>
      </c>
      <c r="H106" s="1">
        <v>46134</v>
      </c>
      <c r="I106">
        <v>2026</v>
      </c>
      <c r="J106">
        <v>4</v>
      </c>
      <c r="K106" t="s">
        <v>36</v>
      </c>
      <c r="L106" t="s">
        <v>21</v>
      </c>
      <c r="M106">
        <v>1</v>
      </c>
    </row>
    <row r="107" spans="1:13" x14ac:dyDescent="0.25">
      <c r="A107" t="s">
        <v>178</v>
      </c>
      <c r="B107" t="s">
        <v>13</v>
      </c>
      <c r="C107" t="s">
        <v>14</v>
      </c>
      <c r="D107" t="s">
        <v>22</v>
      </c>
      <c r="E107">
        <v>69</v>
      </c>
      <c r="F107" t="s">
        <v>21</v>
      </c>
      <c r="G107" t="s">
        <v>21</v>
      </c>
      <c r="H107" s="1">
        <v>46134</v>
      </c>
      <c r="I107">
        <v>2026</v>
      </c>
      <c r="J107">
        <v>4</v>
      </c>
      <c r="K107" t="s">
        <v>22</v>
      </c>
      <c r="L107" t="s">
        <v>21</v>
      </c>
      <c r="M107">
        <v>1</v>
      </c>
    </row>
    <row r="108" spans="1:13" x14ac:dyDescent="0.25">
      <c r="A108" t="s">
        <v>179</v>
      </c>
      <c r="B108" t="s">
        <v>32</v>
      </c>
      <c r="C108" t="s">
        <v>161</v>
      </c>
      <c r="D108" t="s">
        <v>81</v>
      </c>
      <c r="E108">
        <v>150</v>
      </c>
      <c r="F108">
        <v>0.33</v>
      </c>
      <c r="G108">
        <v>509</v>
      </c>
      <c r="H108" s="1">
        <v>46133</v>
      </c>
      <c r="I108">
        <v>2026</v>
      </c>
      <c r="J108">
        <v>4</v>
      </c>
      <c r="K108" t="s">
        <v>36</v>
      </c>
      <c r="L108">
        <v>0</v>
      </c>
      <c r="M108">
        <v>1</v>
      </c>
    </row>
    <row r="109" spans="1:13" x14ac:dyDescent="0.25">
      <c r="A109" t="s">
        <v>180</v>
      </c>
      <c r="B109" t="s">
        <v>28</v>
      </c>
      <c r="C109" t="s">
        <v>14</v>
      </c>
      <c r="D109" t="s">
        <v>81</v>
      </c>
      <c r="E109">
        <v>68</v>
      </c>
      <c r="F109">
        <v>0.15</v>
      </c>
      <c r="G109" t="s">
        <v>21</v>
      </c>
      <c r="H109" s="1">
        <v>46133</v>
      </c>
      <c r="I109">
        <v>2026</v>
      </c>
      <c r="J109">
        <v>4</v>
      </c>
      <c r="K109" t="s">
        <v>22</v>
      </c>
      <c r="L109">
        <v>0</v>
      </c>
      <c r="M109">
        <v>1</v>
      </c>
    </row>
    <row r="110" spans="1:13" x14ac:dyDescent="0.25">
      <c r="A110" t="s">
        <v>181</v>
      </c>
      <c r="B110" t="s">
        <v>114</v>
      </c>
      <c r="C110" t="s">
        <v>137</v>
      </c>
      <c r="D110" t="s">
        <v>33</v>
      </c>
      <c r="E110">
        <v>200</v>
      </c>
      <c r="F110" t="s">
        <v>21</v>
      </c>
      <c r="G110">
        <v>7</v>
      </c>
      <c r="H110" s="1">
        <v>46132</v>
      </c>
      <c r="I110">
        <v>2026</v>
      </c>
      <c r="J110">
        <v>4</v>
      </c>
      <c r="K110" t="s">
        <v>16</v>
      </c>
      <c r="L110" t="s">
        <v>21</v>
      </c>
      <c r="M110">
        <v>1</v>
      </c>
    </row>
    <row r="111" spans="1:13" x14ac:dyDescent="0.25">
      <c r="A111" t="s">
        <v>182</v>
      </c>
      <c r="B111" t="s">
        <v>77</v>
      </c>
      <c r="C111" t="s">
        <v>48</v>
      </c>
      <c r="D111" t="s">
        <v>22</v>
      </c>
      <c r="E111">
        <v>60</v>
      </c>
      <c r="F111">
        <v>0.05</v>
      </c>
      <c r="G111">
        <v>143</v>
      </c>
      <c r="H111" s="1">
        <v>46132</v>
      </c>
      <c r="I111">
        <v>2026</v>
      </c>
      <c r="J111">
        <v>4</v>
      </c>
      <c r="K111" t="s">
        <v>36</v>
      </c>
      <c r="L111">
        <v>0</v>
      </c>
      <c r="M111">
        <v>1</v>
      </c>
    </row>
    <row r="112" spans="1:13" x14ac:dyDescent="0.25">
      <c r="A112" t="s">
        <v>183</v>
      </c>
      <c r="B112" t="s">
        <v>93</v>
      </c>
      <c r="C112" t="s">
        <v>184</v>
      </c>
      <c r="D112" t="s">
        <v>33</v>
      </c>
      <c r="E112">
        <v>1108</v>
      </c>
      <c r="F112" t="s">
        <v>21</v>
      </c>
      <c r="G112">
        <v>85</v>
      </c>
      <c r="H112" s="1">
        <v>46128</v>
      </c>
      <c r="I112">
        <v>2026</v>
      </c>
      <c r="J112">
        <v>4</v>
      </c>
      <c r="K112" t="s">
        <v>30</v>
      </c>
      <c r="L112" t="s">
        <v>21</v>
      </c>
      <c r="M112">
        <v>1</v>
      </c>
    </row>
    <row r="113" spans="1:13" x14ac:dyDescent="0.25">
      <c r="A113" t="s">
        <v>185</v>
      </c>
      <c r="B113" t="s">
        <v>102</v>
      </c>
      <c r="C113" t="s">
        <v>14</v>
      </c>
      <c r="D113" t="s">
        <v>15</v>
      </c>
      <c r="E113">
        <v>80</v>
      </c>
      <c r="F113" t="s">
        <v>21</v>
      </c>
      <c r="G113">
        <v>50</v>
      </c>
      <c r="H113" s="1">
        <v>46128</v>
      </c>
      <c r="I113">
        <v>2026</v>
      </c>
      <c r="J113">
        <v>4</v>
      </c>
      <c r="K113" t="s">
        <v>30</v>
      </c>
      <c r="L113" t="s">
        <v>21</v>
      </c>
      <c r="M113">
        <v>1</v>
      </c>
    </row>
    <row r="114" spans="1:13" x14ac:dyDescent="0.25">
      <c r="A114" t="s">
        <v>186</v>
      </c>
      <c r="B114" t="s">
        <v>18</v>
      </c>
      <c r="C114" t="s">
        <v>14</v>
      </c>
      <c r="D114" t="s">
        <v>55</v>
      </c>
      <c r="E114" t="s">
        <v>21</v>
      </c>
      <c r="F114" t="s">
        <v>21</v>
      </c>
      <c r="G114">
        <v>226</v>
      </c>
      <c r="H114" s="1">
        <v>46128</v>
      </c>
      <c r="I114">
        <v>2026</v>
      </c>
      <c r="J114">
        <v>4</v>
      </c>
      <c r="K114" t="s">
        <v>36</v>
      </c>
      <c r="L114" t="s">
        <v>21</v>
      </c>
      <c r="M114">
        <v>0</v>
      </c>
    </row>
    <row r="115" spans="1:13" x14ac:dyDescent="0.25">
      <c r="A115" t="s">
        <v>187</v>
      </c>
      <c r="B115" t="s">
        <v>18</v>
      </c>
      <c r="C115" t="s">
        <v>14</v>
      </c>
      <c r="D115" t="s">
        <v>15</v>
      </c>
      <c r="E115">
        <v>1000</v>
      </c>
      <c r="F115">
        <v>0.16</v>
      </c>
      <c r="G115">
        <v>4900</v>
      </c>
      <c r="H115" s="1">
        <v>46127</v>
      </c>
      <c r="I115">
        <v>2026</v>
      </c>
      <c r="J115">
        <v>4</v>
      </c>
      <c r="K115" t="s">
        <v>26</v>
      </c>
      <c r="L115">
        <v>0</v>
      </c>
      <c r="M115">
        <v>1</v>
      </c>
    </row>
    <row r="116" spans="1:13" x14ac:dyDescent="0.25">
      <c r="A116" t="s">
        <v>188</v>
      </c>
      <c r="B116" t="s">
        <v>40</v>
      </c>
      <c r="C116" t="s">
        <v>14</v>
      </c>
      <c r="D116" t="s">
        <v>22</v>
      </c>
      <c r="E116">
        <v>950</v>
      </c>
      <c r="F116" t="s">
        <v>21</v>
      </c>
      <c r="G116" t="s">
        <v>21</v>
      </c>
      <c r="H116" s="1">
        <v>46127</v>
      </c>
      <c r="I116">
        <v>2026</v>
      </c>
      <c r="J116">
        <v>4</v>
      </c>
      <c r="K116" t="s">
        <v>22</v>
      </c>
      <c r="L116" t="s">
        <v>21</v>
      </c>
      <c r="M116">
        <v>1</v>
      </c>
    </row>
    <row r="117" spans="1:13" x14ac:dyDescent="0.25">
      <c r="A117" t="s">
        <v>189</v>
      </c>
      <c r="B117" t="s">
        <v>54</v>
      </c>
      <c r="C117" t="s">
        <v>14</v>
      </c>
      <c r="D117" t="s">
        <v>15</v>
      </c>
      <c r="E117">
        <v>100</v>
      </c>
      <c r="F117">
        <v>0.05</v>
      </c>
      <c r="G117">
        <v>445</v>
      </c>
      <c r="H117" s="1">
        <v>46127</v>
      </c>
      <c r="I117">
        <v>2026</v>
      </c>
      <c r="J117">
        <v>4</v>
      </c>
      <c r="K117" t="s">
        <v>36</v>
      </c>
      <c r="L117">
        <v>0</v>
      </c>
      <c r="M117">
        <v>1</v>
      </c>
    </row>
    <row r="118" spans="1:13" x14ac:dyDescent="0.25">
      <c r="A118" t="s">
        <v>190</v>
      </c>
      <c r="B118" t="s">
        <v>52</v>
      </c>
      <c r="C118" t="s">
        <v>42</v>
      </c>
      <c r="D118" t="s">
        <v>22</v>
      </c>
      <c r="E118">
        <v>37</v>
      </c>
      <c r="F118">
        <v>0.15</v>
      </c>
      <c r="G118" t="s">
        <v>21</v>
      </c>
      <c r="H118" s="1">
        <v>46127</v>
      </c>
      <c r="I118">
        <v>2026</v>
      </c>
      <c r="J118">
        <v>4</v>
      </c>
      <c r="K118" t="s">
        <v>22</v>
      </c>
      <c r="L118">
        <v>0</v>
      </c>
      <c r="M118">
        <v>1</v>
      </c>
    </row>
    <row r="119" spans="1:13" x14ac:dyDescent="0.25">
      <c r="A119" t="s">
        <v>191</v>
      </c>
      <c r="B119" t="s">
        <v>77</v>
      </c>
      <c r="C119" t="s">
        <v>29</v>
      </c>
      <c r="D119" t="s">
        <v>15</v>
      </c>
      <c r="E119">
        <v>32</v>
      </c>
      <c r="F119">
        <v>0.03</v>
      </c>
      <c r="G119">
        <v>245</v>
      </c>
      <c r="H119" s="1">
        <v>46127</v>
      </c>
      <c r="I119">
        <v>2026</v>
      </c>
      <c r="J119">
        <v>4</v>
      </c>
      <c r="K119" t="s">
        <v>36</v>
      </c>
      <c r="L119">
        <v>0</v>
      </c>
      <c r="M119">
        <v>1</v>
      </c>
    </row>
    <row r="120" spans="1:13" x14ac:dyDescent="0.25">
      <c r="A120" t="s">
        <v>192</v>
      </c>
      <c r="B120" t="s">
        <v>114</v>
      </c>
      <c r="C120" t="s">
        <v>14</v>
      </c>
      <c r="D120" t="s">
        <v>55</v>
      </c>
      <c r="E120" t="s">
        <v>21</v>
      </c>
      <c r="F120">
        <v>0.3</v>
      </c>
      <c r="G120" t="s">
        <v>21</v>
      </c>
      <c r="H120" s="1">
        <v>46127</v>
      </c>
      <c r="I120">
        <v>2026</v>
      </c>
      <c r="J120">
        <v>4</v>
      </c>
      <c r="K120" t="s">
        <v>22</v>
      </c>
      <c r="L120">
        <v>0</v>
      </c>
      <c r="M120">
        <v>1</v>
      </c>
    </row>
    <row r="121" spans="1:13" x14ac:dyDescent="0.25">
      <c r="A121" t="s">
        <v>193</v>
      </c>
      <c r="B121" t="s">
        <v>77</v>
      </c>
      <c r="C121" t="s">
        <v>80</v>
      </c>
      <c r="D121" t="s">
        <v>194</v>
      </c>
      <c r="E121">
        <v>90</v>
      </c>
      <c r="F121" t="s">
        <v>21</v>
      </c>
      <c r="G121">
        <v>529</v>
      </c>
      <c r="H121" s="1">
        <v>46126</v>
      </c>
      <c r="I121">
        <v>2026</v>
      </c>
      <c r="J121">
        <v>4</v>
      </c>
      <c r="K121" t="s">
        <v>36</v>
      </c>
      <c r="L121" t="s">
        <v>21</v>
      </c>
      <c r="M121">
        <v>1</v>
      </c>
    </row>
    <row r="122" spans="1:13" x14ac:dyDescent="0.25">
      <c r="A122" t="s">
        <v>195</v>
      </c>
      <c r="B122" t="s">
        <v>18</v>
      </c>
      <c r="C122" t="s">
        <v>14</v>
      </c>
      <c r="D122" t="s">
        <v>20</v>
      </c>
      <c r="E122" t="s">
        <v>21</v>
      </c>
      <c r="F122" t="s">
        <v>21</v>
      </c>
      <c r="G122">
        <v>290</v>
      </c>
      <c r="H122" s="1">
        <v>46125</v>
      </c>
      <c r="I122">
        <v>2026</v>
      </c>
      <c r="J122">
        <v>4</v>
      </c>
      <c r="K122" t="s">
        <v>36</v>
      </c>
      <c r="L122" t="s">
        <v>21</v>
      </c>
      <c r="M122">
        <v>0</v>
      </c>
    </row>
    <row r="123" spans="1:13" x14ac:dyDescent="0.25">
      <c r="A123" t="s">
        <v>196</v>
      </c>
      <c r="B123" t="s">
        <v>52</v>
      </c>
      <c r="C123" t="s">
        <v>29</v>
      </c>
      <c r="D123" t="s">
        <v>55</v>
      </c>
      <c r="E123" t="s">
        <v>21</v>
      </c>
      <c r="F123" t="s">
        <v>21</v>
      </c>
      <c r="G123">
        <v>273</v>
      </c>
      <c r="H123" s="1">
        <v>46125</v>
      </c>
      <c r="I123">
        <v>2026</v>
      </c>
      <c r="J123">
        <v>4</v>
      </c>
      <c r="K123" t="s">
        <v>36</v>
      </c>
      <c r="L123" t="s">
        <v>21</v>
      </c>
      <c r="M123">
        <v>0</v>
      </c>
    </row>
    <row r="124" spans="1:13" x14ac:dyDescent="0.25">
      <c r="A124" t="s">
        <v>197</v>
      </c>
      <c r="B124" t="s">
        <v>77</v>
      </c>
      <c r="C124" t="s">
        <v>29</v>
      </c>
      <c r="D124" t="s">
        <v>20</v>
      </c>
      <c r="E124" t="s">
        <v>21</v>
      </c>
      <c r="F124" t="s">
        <v>21</v>
      </c>
      <c r="G124" t="s">
        <v>21</v>
      </c>
      <c r="H124" s="1">
        <v>46124</v>
      </c>
      <c r="I124">
        <v>2026</v>
      </c>
      <c r="J124">
        <v>4</v>
      </c>
      <c r="K124" t="s">
        <v>22</v>
      </c>
      <c r="L124" t="s">
        <v>21</v>
      </c>
      <c r="M124">
        <v>0</v>
      </c>
    </row>
    <row r="125" spans="1:13" x14ac:dyDescent="0.25">
      <c r="A125" t="s">
        <v>198</v>
      </c>
      <c r="B125" t="s">
        <v>18</v>
      </c>
      <c r="C125" t="s">
        <v>14</v>
      </c>
      <c r="D125" t="s">
        <v>15</v>
      </c>
      <c r="E125" t="s">
        <v>21</v>
      </c>
      <c r="F125" t="s">
        <v>21</v>
      </c>
      <c r="G125">
        <v>158</v>
      </c>
      <c r="H125" s="1">
        <v>46122</v>
      </c>
      <c r="I125">
        <v>2026</v>
      </c>
      <c r="J125">
        <v>4</v>
      </c>
      <c r="K125" t="s">
        <v>36</v>
      </c>
      <c r="L125" t="s">
        <v>21</v>
      </c>
      <c r="M125">
        <v>0</v>
      </c>
    </row>
    <row r="126" spans="1:13" x14ac:dyDescent="0.25">
      <c r="A126" t="s">
        <v>199</v>
      </c>
      <c r="B126" t="s">
        <v>70</v>
      </c>
      <c r="C126" t="s">
        <v>14</v>
      </c>
      <c r="D126" t="s">
        <v>15</v>
      </c>
      <c r="E126">
        <v>104</v>
      </c>
      <c r="F126" t="s">
        <v>21</v>
      </c>
      <c r="G126" t="s">
        <v>21</v>
      </c>
      <c r="H126" s="1">
        <v>46121</v>
      </c>
      <c r="I126">
        <v>2026</v>
      </c>
      <c r="J126">
        <v>4</v>
      </c>
      <c r="K126" t="s">
        <v>22</v>
      </c>
      <c r="L126" t="s">
        <v>21</v>
      </c>
      <c r="M126">
        <v>1</v>
      </c>
    </row>
    <row r="127" spans="1:13" x14ac:dyDescent="0.25">
      <c r="A127" t="s">
        <v>200</v>
      </c>
      <c r="B127" t="s">
        <v>66</v>
      </c>
      <c r="C127" t="s">
        <v>14</v>
      </c>
      <c r="D127" t="s">
        <v>20</v>
      </c>
      <c r="E127" t="s">
        <v>21</v>
      </c>
      <c r="F127">
        <v>0.11</v>
      </c>
      <c r="G127" t="s">
        <v>21</v>
      </c>
      <c r="H127" s="1">
        <v>46121</v>
      </c>
      <c r="I127">
        <v>2026</v>
      </c>
      <c r="J127">
        <v>4</v>
      </c>
      <c r="K127" t="s">
        <v>22</v>
      </c>
      <c r="L127">
        <v>0</v>
      </c>
      <c r="M127">
        <v>1</v>
      </c>
    </row>
    <row r="128" spans="1:13" x14ac:dyDescent="0.25">
      <c r="A128" t="s">
        <v>201</v>
      </c>
      <c r="B128" t="s">
        <v>77</v>
      </c>
      <c r="C128" t="s">
        <v>14</v>
      </c>
      <c r="D128" t="s">
        <v>22</v>
      </c>
      <c r="E128" t="s">
        <v>21</v>
      </c>
      <c r="F128">
        <v>1</v>
      </c>
      <c r="G128" t="s">
        <v>21</v>
      </c>
      <c r="H128" s="1">
        <v>46121</v>
      </c>
      <c r="I128">
        <v>2026</v>
      </c>
      <c r="J128">
        <v>4</v>
      </c>
      <c r="K128" t="s">
        <v>22</v>
      </c>
      <c r="L128">
        <v>1</v>
      </c>
      <c r="M128">
        <v>1</v>
      </c>
    </row>
    <row r="129" spans="1:13" x14ac:dyDescent="0.25">
      <c r="A129" t="s">
        <v>202</v>
      </c>
      <c r="B129" t="s">
        <v>18</v>
      </c>
      <c r="C129" t="s">
        <v>14</v>
      </c>
      <c r="D129" t="s">
        <v>15</v>
      </c>
      <c r="E129">
        <v>77</v>
      </c>
      <c r="F129">
        <v>0.02</v>
      </c>
      <c r="G129" t="s">
        <v>21</v>
      </c>
      <c r="H129" s="1">
        <v>46120</v>
      </c>
      <c r="I129">
        <v>2026</v>
      </c>
      <c r="J129">
        <v>4</v>
      </c>
      <c r="K129" t="s">
        <v>22</v>
      </c>
      <c r="L129">
        <v>0</v>
      </c>
      <c r="M129">
        <v>1</v>
      </c>
    </row>
    <row r="130" spans="1:13" x14ac:dyDescent="0.25">
      <c r="A130" t="s">
        <v>203</v>
      </c>
      <c r="B130" t="s">
        <v>18</v>
      </c>
      <c r="C130" t="s">
        <v>14</v>
      </c>
      <c r="D130" t="s">
        <v>15</v>
      </c>
      <c r="E130">
        <v>145</v>
      </c>
      <c r="F130">
        <v>0.23</v>
      </c>
      <c r="G130">
        <v>288</v>
      </c>
      <c r="H130" s="1">
        <v>46119</v>
      </c>
      <c r="I130">
        <v>2026</v>
      </c>
      <c r="J130">
        <v>4</v>
      </c>
      <c r="K130" t="s">
        <v>36</v>
      </c>
      <c r="L130">
        <v>0</v>
      </c>
      <c r="M130">
        <v>1</v>
      </c>
    </row>
    <row r="131" spans="1:13" x14ac:dyDescent="0.25">
      <c r="A131" t="s">
        <v>204</v>
      </c>
      <c r="B131" t="s">
        <v>114</v>
      </c>
      <c r="C131" t="s">
        <v>14</v>
      </c>
      <c r="D131" t="s">
        <v>43</v>
      </c>
      <c r="E131">
        <v>90</v>
      </c>
      <c r="F131">
        <v>0.1</v>
      </c>
      <c r="G131">
        <v>469</v>
      </c>
      <c r="H131" s="1">
        <v>46119</v>
      </c>
      <c r="I131">
        <v>2026</v>
      </c>
      <c r="J131">
        <v>4</v>
      </c>
      <c r="K131" t="s">
        <v>36</v>
      </c>
      <c r="L131">
        <v>0</v>
      </c>
      <c r="M131">
        <v>1</v>
      </c>
    </row>
    <row r="132" spans="1:13" x14ac:dyDescent="0.25">
      <c r="A132" t="s">
        <v>205</v>
      </c>
      <c r="B132" t="s">
        <v>77</v>
      </c>
      <c r="C132" t="s">
        <v>14</v>
      </c>
      <c r="D132" t="s">
        <v>111</v>
      </c>
      <c r="E132" t="s">
        <v>21</v>
      </c>
      <c r="F132">
        <v>0.33</v>
      </c>
      <c r="G132">
        <v>1300</v>
      </c>
      <c r="H132" s="1">
        <v>46117</v>
      </c>
      <c r="I132">
        <v>2026</v>
      </c>
      <c r="J132">
        <v>4</v>
      </c>
      <c r="K132" t="s">
        <v>26</v>
      </c>
      <c r="L132">
        <v>0</v>
      </c>
      <c r="M132">
        <v>1</v>
      </c>
    </row>
    <row r="133" spans="1:13" x14ac:dyDescent="0.25">
      <c r="A133" t="s">
        <v>206</v>
      </c>
      <c r="B133" t="s">
        <v>207</v>
      </c>
      <c r="C133" t="s">
        <v>208</v>
      </c>
      <c r="D133" t="s">
        <v>22</v>
      </c>
      <c r="E133">
        <v>225</v>
      </c>
      <c r="F133">
        <v>0.3</v>
      </c>
      <c r="G133" t="s">
        <v>21</v>
      </c>
      <c r="H133" s="1">
        <v>46115</v>
      </c>
      <c r="I133">
        <v>2026</v>
      </c>
      <c r="J133">
        <v>4</v>
      </c>
      <c r="K133" t="s">
        <v>22</v>
      </c>
      <c r="L133">
        <v>0</v>
      </c>
      <c r="M133">
        <v>1</v>
      </c>
    </row>
    <row r="134" spans="1:13" x14ac:dyDescent="0.25">
      <c r="A134" t="s">
        <v>209</v>
      </c>
      <c r="B134" t="s">
        <v>24</v>
      </c>
      <c r="C134" t="s">
        <v>48</v>
      </c>
      <c r="D134" t="s">
        <v>49</v>
      </c>
      <c r="E134" t="s">
        <v>21</v>
      </c>
      <c r="F134">
        <v>1</v>
      </c>
      <c r="G134">
        <v>1</v>
      </c>
      <c r="H134" s="1">
        <v>46115</v>
      </c>
      <c r="I134">
        <v>2026</v>
      </c>
      <c r="J134">
        <v>4</v>
      </c>
      <c r="K134" t="s">
        <v>16</v>
      </c>
      <c r="L134">
        <v>1</v>
      </c>
      <c r="M134">
        <v>1</v>
      </c>
    </row>
    <row r="135" spans="1:13" x14ac:dyDescent="0.25">
      <c r="A135" t="s">
        <v>210</v>
      </c>
      <c r="B135" t="s">
        <v>18</v>
      </c>
      <c r="C135" t="s">
        <v>14</v>
      </c>
      <c r="D135" t="s">
        <v>15</v>
      </c>
      <c r="E135" t="s">
        <v>21</v>
      </c>
      <c r="F135" t="s">
        <v>21</v>
      </c>
      <c r="G135">
        <v>450</v>
      </c>
      <c r="H135" s="1">
        <v>46115</v>
      </c>
      <c r="I135">
        <v>2026</v>
      </c>
      <c r="J135">
        <v>4</v>
      </c>
      <c r="K135" t="s">
        <v>36</v>
      </c>
      <c r="L135" t="s">
        <v>21</v>
      </c>
      <c r="M135">
        <v>0</v>
      </c>
    </row>
    <row r="136" spans="1:13" x14ac:dyDescent="0.25">
      <c r="A136" t="s">
        <v>131</v>
      </c>
      <c r="B136" t="s">
        <v>18</v>
      </c>
      <c r="C136" t="s">
        <v>14</v>
      </c>
      <c r="D136" t="s">
        <v>15</v>
      </c>
      <c r="E136">
        <v>200</v>
      </c>
      <c r="F136" t="s">
        <v>21</v>
      </c>
      <c r="G136">
        <v>26000</v>
      </c>
      <c r="H136" s="1">
        <v>46114</v>
      </c>
      <c r="I136">
        <v>2026</v>
      </c>
      <c r="J136">
        <v>4</v>
      </c>
      <c r="K136" t="s">
        <v>26</v>
      </c>
      <c r="L136" t="s">
        <v>21</v>
      </c>
      <c r="M136">
        <v>1</v>
      </c>
    </row>
    <row r="137" spans="1:13" x14ac:dyDescent="0.25">
      <c r="A137" t="s">
        <v>211</v>
      </c>
      <c r="B137" t="s">
        <v>52</v>
      </c>
      <c r="C137" t="s">
        <v>14</v>
      </c>
      <c r="D137" t="s">
        <v>15</v>
      </c>
      <c r="E137" t="s">
        <v>21</v>
      </c>
      <c r="F137">
        <v>0.15</v>
      </c>
      <c r="G137">
        <v>4100</v>
      </c>
      <c r="H137" s="1">
        <v>46114</v>
      </c>
      <c r="I137">
        <v>2026</v>
      </c>
      <c r="J137">
        <v>4</v>
      </c>
      <c r="K137" t="s">
        <v>26</v>
      </c>
      <c r="L137">
        <v>0</v>
      </c>
      <c r="M137">
        <v>1</v>
      </c>
    </row>
    <row r="138" spans="1:13" x14ac:dyDescent="0.25">
      <c r="A138" t="s">
        <v>56</v>
      </c>
      <c r="B138" t="s">
        <v>18</v>
      </c>
      <c r="C138" t="s">
        <v>14</v>
      </c>
      <c r="D138" t="s">
        <v>15</v>
      </c>
      <c r="E138" t="s">
        <v>21</v>
      </c>
      <c r="F138" t="s">
        <v>21</v>
      </c>
      <c r="G138">
        <v>455.2</v>
      </c>
      <c r="H138" s="1">
        <v>46113</v>
      </c>
      <c r="I138">
        <v>2026</v>
      </c>
      <c r="J138">
        <v>4</v>
      </c>
      <c r="K138" t="s">
        <v>36</v>
      </c>
      <c r="L138" t="s">
        <v>21</v>
      </c>
      <c r="M138">
        <v>0</v>
      </c>
    </row>
    <row r="139" spans="1:13" x14ac:dyDescent="0.25">
      <c r="A139" t="s">
        <v>212</v>
      </c>
      <c r="B139" t="s">
        <v>77</v>
      </c>
      <c r="C139" t="s">
        <v>80</v>
      </c>
      <c r="D139" t="s">
        <v>43</v>
      </c>
      <c r="E139">
        <v>50</v>
      </c>
      <c r="F139" t="s">
        <v>21</v>
      </c>
      <c r="G139">
        <v>324</v>
      </c>
      <c r="H139" s="1">
        <v>46112</v>
      </c>
      <c r="I139">
        <v>2026</v>
      </c>
      <c r="J139">
        <v>3</v>
      </c>
      <c r="K139" t="s">
        <v>36</v>
      </c>
      <c r="L139" t="s">
        <v>21</v>
      </c>
      <c r="M139">
        <v>1</v>
      </c>
    </row>
    <row r="140" spans="1:13" x14ac:dyDescent="0.25">
      <c r="A140" t="s">
        <v>213</v>
      </c>
      <c r="B140" t="s">
        <v>77</v>
      </c>
      <c r="C140" t="s">
        <v>48</v>
      </c>
      <c r="D140" t="s">
        <v>49</v>
      </c>
      <c r="E140" t="s">
        <v>21</v>
      </c>
      <c r="F140">
        <v>1</v>
      </c>
      <c r="G140" t="s">
        <v>21</v>
      </c>
      <c r="H140" s="1">
        <v>46112</v>
      </c>
      <c r="I140">
        <v>2026</v>
      </c>
      <c r="J140">
        <v>3</v>
      </c>
      <c r="K140" t="s">
        <v>22</v>
      </c>
      <c r="L140">
        <v>1</v>
      </c>
      <c r="M140">
        <v>1</v>
      </c>
    </row>
    <row r="141" spans="1:13" x14ac:dyDescent="0.25">
      <c r="A141" t="s">
        <v>214</v>
      </c>
      <c r="B141" t="s">
        <v>18</v>
      </c>
      <c r="C141" t="s">
        <v>14</v>
      </c>
      <c r="D141" t="s">
        <v>43</v>
      </c>
      <c r="E141" t="s">
        <v>21</v>
      </c>
      <c r="F141">
        <v>1</v>
      </c>
      <c r="G141">
        <v>294</v>
      </c>
      <c r="H141" s="1">
        <v>46112</v>
      </c>
      <c r="I141">
        <v>2026</v>
      </c>
      <c r="J141">
        <v>3</v>
      </c>
      <c r="K141" t="s">
        <v>36</v>
      </c>
      <c r="L141">
        <v>1</v>
      </c>
      <c r="M141">
        <v>1</v>
      </c>
    </row>
    <row r="142" spans="1:13" x14ac:dyDescent="0.25">
      <c r="A142" t="s">
        <v>215</v>
      </c>
      <c r="B142" t="s">
        <v>93</v>
      </c>
      <c r="C142" t="s">
        <v>14</v>
      </c>
      <c r="D142" t="s">
        <v>49</v>
      </c>
      <c r="E142" t="s">
        <v>21</v>
      </c>
      <c r="F142">
        <v>1</v>
      </c>
      <c r="G142">
        <v>33</v>
      </c>
      <c r="H142" s="1">
        <v>46112</v>
      </c>
      <c r="I142">
        <v>2026</v>
      </c>
      <c r="J142">
        <v>3</v>
      </c>
      <c r="K142" t="s">
        <v>30</v>
      </c>
      <c r="L142">
        <v>1</v>
      </c>
      <c r="M142">
        <v>1</v>
      </c>
    </row>
    <row r="143" spans="1:13" x14ac:dyDescent="0.25">
      <c r="A143" t="s">
        <v>216</v>
      </c>
      <c r="B143" t="s">
        <v>217</v>
      </c>
      <c r="C143" t="s">
        <v>83</v>
      </c>
      <c r="D143" t="s">
        <v>111</v>
      </c>
      <c r="E143">
        <v>100</v>
      </c>
      <c r="F143" t="s">
        <v>21</v>
      </c>
      <c r="G143">
        <v>3500</v>
      </c>
      <c r="H143" s="1">
        <v>46108</v>
      </c>
      <c r="I143">
        <v>2026</v>
      </c>
      <c r="J143">
        <v>3</v>
      </c>
      <c r="K143" t="s">
        <v>26</v>
      </c>
      <c r="L143" t="s">
        <v>21</v>
      </c>
      <c r="M143">
        <v>1</v>
      </c>
    </row>
    <row r="144" spans="1:13" x14ac:dyDescent="0.25">
      <c r="A144" t="s">
        <v>218</v>
      </c>
      <c r="B144" t="s">
        <v>38</v>
      </c>
      <c r="C144" t="s">
        <v>14</v>
      </c>
      <c r="D144" t="s">
        <v>55</v>
      </c>
      <c r="E144" t="s">
        <v>21</v>
      </c>
      <c r="F144">
        <v>0.3</v>
      </c>
      <c r="G144">
        <v>236</v>
      </c>
      <c r="H144" s="1">
        <v>46107</v>
      </c>
      <c r="I144">
        <v>2026</v>
      </c>
      <c r="J144">
        <v>3</v>
      </c>
      <c r="K144" t="s">
        <v>36</v>
      </c>
      <c r="L144">
        <v>0</v>
      </c>
      <c r="M144">
        <v>1</v>
      </c>
    </row>
    <row r="145" spans="1:13" x14ac:dyDescent="0.25">
      <c r="A145" t="s">
        <v>219</v>
      </c>
      <c r="B145" t="s">
        <v>95</v>
      </c>
      <c r="C145" t="s">
        <v>83</v>
      </c>
      <c r="D145" t="s">
        <v>20</v>
      </c>
      <c r="E145" t="s">
        <v>21</v>
      </c>
      <c r="F145">
        <v>1</v>
      </c>
      <c r="G145">
        <v>39</v>
      </c>
      <c r="H145" s="1">
        <v>46107</v>
      </c>
      <c r="I145">
        <v>2026</v>
      </c>
      <c r="J145">
        <v>3</v>
      </c>
      <c r="K145" t="s">
        <v>30</v>
      </c>
      <c r="L145">
        <v>1</v>
      </c>
      <c r="M145">
        <v>1</v>
      </c>
    </row>
    <row r="146" spans="1:13" x14ac:dyDescent="0.25">
      <c r="A146" t="s">
        <v>131</v>
      </c>
      <c r="B146" t="s">
        <v>18</v>
      </c>
      <c r="C146" t="s">
        <v>14</v>
      </c>
      <c r="D146" t="s">
        <v>15</v>
      </c>
      <c r="E146">
        <v>700</v>
      </c>
      <c r="F146">
        <v>0.01</v>
      </c>
      <c r="G146">
        <v>26000</v>
      </c>
      <c r="H146" s="1">
        <v>46106</v>
      </c>
      <c r="I146">
        <v>2026</v>
      </c>
      <c r="J146">
        <v>3</v>
      </c>
      <c r="K146" t="s">
        <v>26</v>
      </c>
      <c r="L146">
        <v>0</v>
      </c>
      <c r="M146">
        <v>1</v>
      </c>
    </row>
    <row r="147" spans="1:13" x14ac:dyDescent="0.25">
      <c r="A147" t="s">
        <v>220</v>
      </c>
      <c r="B147" t="s">
        <v>18</v>
      </c>
      <c r="C147" t="s">
        <v>14</v>
      </c>
      <c r="D147" t="s">
        <v>22</v>
      </c>
      <c r="E147">
        <v>1000</v>
      </c>
      <c r="F147" t="s">
        <v>21</v>
      </c>
      <c r="G147">
        <v>6400</v>
      </c>
      <c r="H147" s="1">
        <v>46105</v>
      </c>
      <c r="I147">
        <v>2026</v>
      </c>
      <c r="J147">
        <v>3</v>
      </c>
      <c r="K147" t="s">
        <v>26</v>
      </c>
      <c r="L147" t="s">
        <v>21</v>
      </c>
      <c r="M147">
        <v>1</v>
      </c>
    </row>
    <row r="148" spans="1:13" x14ac:dyDescent="0.25">
      <c r="A148" t="s">
        <v>221</v>
      </c>
      <c r="B148" t="s">
        <v>89</v>
      </c>
      <c r="C148" t="s">
        <v>14</v>
      </c>
      <c r="D148" t="s">
        <v>20</v>
      </c>
      <c r="E148">
        <v>100</v>
      </c>
      <c r="F148" t="s">
        <v>21</v>
      </c>
      <c r="G148">
        <v>85</v>
      </c>
      <c r="H148" s="1">
        <v>46105</v>
      </c>
      <c r="I148">
        <v>2026</v>
      </c>
      <c r="J148">
        <v>3</v>
      </c>
      <c r="K148" t="s">
        <v>30</v>
      </c>
      <c r="L148" t="s">
        <v>21</v>
      </c>
      <c r="M148">
        <v>1</v>
      </c>
    </row>
    <row r="149" spans="1:13" x14ac:dyDescent="0.25">
      <c r="A149" t="s">
        <v>222</v>
      </c>
      <c r="B149" t="s">
        <v>38</v>
      </c>
      <c r="C149" t="s">
        <v>174</v>
      </c>
      <c r="D149" t="s">
        <v>15</v>
      </c>
      <c r="E149" t="s">
        <v>21</v>
      </c>
      <c r="F149" t="s">
        <v>21</v>
      </c>
      <c r="G149">
        <v>1100</v>
      </c>
      <c r="H149" s="1">
        <v>46105</v>
      </c>
      <c r="I149">
        <v>2026</v>
      </c>
      <c r="J149">
        <v>3</v>
      </c>
      <c r="K149" t="s">
        <v>26</v>
      </c>
      <c r="L149" t="s">
        <v>21</v>
      </c>
      <c r="M149">
        <v>0</v>
      </c>
    </row>
    <row r="150" spans="1:13" x14ac:dyDescent="0.25">
      <c r="A150" t="s">
        <v>223</v>
      </c>
      <c r="B150" t="s">
        <v>32</v>
      </c>
      <c r="C150" t="s">
        <v>161</v>
      </c>
      <c r="D150" t="s">
        <v>15</v>
      </c>
      <c r="E150">
        <v>15</v>
      </c>
      <c r="F150" t="s">
        <v>21</v>
      </c>
      <c r="G150">
        <v>2100</v>
      </c>
      <c r="H150" s="1">
        <v>46104</v>
      </c>
      <c r="I150">
        <v>2026</v>
      </c>
      <c r="J150">
        <v>3</v>
      </c>
      <c r="K150" t="s">
        <v>26</v>
      </c>
      <c r="L150" t="s">
        <v>21</v>
      </c>
      <c r="M150">
        <v>1</v>
      </c>
    </row>
    <row r="151" spans="1:13" x14ac:dyDescent="0.25">
      <c r="A151" t="s">
        <v>224</v>
      </c>
      <c r="B151" t="s">
        <v>52</v>
      </c>
      <c r="C151" t="s">
        <v>14</v>
      </c>
      <c r="D151" t="s">
        <v>22</v>
      </c>
      <c r="E151" t="s">
        <v>21</v>
      </c>
      <c r="F151">
        <v>0.3</v>
      </c>
      <c r="G151">
        <v>423</v>
      </c>
      <c r="H151" s="1">
        <v>46101</v>
      </c>
      <c r="I151">
        <v>2026</v>
      </c>
      <c r="J151">
        <v>3</v>
      </c>
      <c r="K151" t="s">
        <v>36</v>
      </c>
      <c r="L151">
        <v>0</v>
      </c>
      <c r="M151">
        <v>1</v>
      </c>
    </row>
    <row r="152" spans="1:13" x14ac:dyDescent="0.25">
      <c r="A152" t="s">
        <v>225</v>
      </c>
      <c r="B152" t="s">
        <v>38</v>
      </c>
      <c r="C152" t="s">
        <v>14</v>
      </c>
      <c r="D152" t="s">
        <v>15</v>
      </c>
      <c r="E152">
        <v>70</v>
      </c>
      <c r="F152" t="s">
        <v>21</v>
      </c>
      <c r="G152">
        <v>2900</v>
      </c>
      <c r="H152" s="1">
        <v>46100</v>
      </c>
      <c r="I152">
        <v>2026</v>
      </c>
      <c r="J152">
        <v>3</v>
      </c>
      <c r="K152" t="s">
        <v>26</v>
      </c>
      <c r="L152" t="s">
        <v>21</v>
      </c>
      <c r="M152">
        <v>1</v>
      </c>
    </row>
    <row r="153" spans="1:13" x14ac:dyDescent="0.25">
      <c r="A153" t="s">
        <v>226</v>
      </c>
      <c r="B153" t="s">
        <v>52</v>
      </c>
      <c r="C153" t="s">
        <v>64</v>
      </c>
      <c r="D153" t="s">
        <v>22</v>
      </c>
      <c r="E153" t="s">
        <v>21</v>
      </c>
      <c r="F153">
        <v>0.12</v>
      </c>
      <c r="G153" t="s">
        <v>21</v>
      </c>
      <c r="H153" s="1">
        <v>46100</v>
      </c>
      <c r="I153">
        <v>2026</v>
      </c>
      <c r="J153">
        <v>3</v>
      </c>
      <c r="K153" t="s">
        <v>22</v>
      </c>
      <c r="L153">
        <v>0</v>
      </c>
      <c r="M153">
        <v>1</v>
      </c>
    </row>
    <row r="154" spans="1:13" x14ac:dyDescent="0.25">
      <c r="A154" t="s">
        <v>227</v>
      </c>
      <c r="B154" t="s">
        <v>77</v>
      </c>
      <c r="C154" t="s">
        <v>14</v>
      </c>
      <c r="D154" t="s">
        <v>49</v>
      </c>
      <c r="E154" t="s">
        <v>21</v>
      </c>
      <c r="F154">
        <v>1</v>
      </c>
      <c r="G154">
        <v>6</v>
      </c>
      <c r="H154" s="1">
        <v>46098</v>
      </c>
      <c r="I154">
        <v>2026</v>
      </c>
      <c r="J154">
        <v>3</v>
      </c>
      <c r="K154" t="s">
        <v>16</v>
      </c>
      <c r="L154">
        <v>1</v>
      </c>
      <c r="M154">
        <v>1</v>
      </c>
    </row>
    <row r="155" spans="1:13" x14ac:dyDescent="0.25">
      <c r="A155" t="s">
        <v>228</v>
      </c>
      <c r="B155" t="s">
        <v>70</v>
      </c>
      <c r="C155" t="s">
        <v>14</v>
      </c>
      <c r="D155" t="s">
        <v>15</v>
      </c>
      <c r="E155">
        <v>11000</v>
      </c>
      <c r="F155">
        <v>0.1</v>
      </c>
      <c r="G155" t="s">
        <v>21</v>
      </c>
      <c r="H155" s="1">
        <v>46097</v>
      </c>
      <c r="I155">
        <v>2026</v>
      </c>
      <c r="J155">
        <v>3</v>
      </c>
      <c r="K155" t="s">
        <v>22</v>
      </c>
      <c r="L155">
        <v>0</v>
      </c>
      <c r="M155">
        <v>1</v>
      </c>
    </row>
    <row r="156" spans="1:13" x14ac:dyDescent="0.25">
      <c r="A156" t="s">
        <v>229</v>
      </c>
      <c r="B156" t="s">
        <v>77</v>
      </c>
      <c r="C156" t="s">
        <v>230</v>
      </c>
      <c r="D156" t="s">
        <v>15</v>
      </c>
      <c r="E156">
        <v>400</v>
      </c>
      <c r="F156">
        <v>0.03</v>
      </c>
      <c r="G156">
        <v>521</v>
      </c>
      <c r="H156" s="1">
        <v>46094</v>
      </c>
      <c r="I156">
        <v>2026</v>
      </c>
      <c r="J156">
        <v>3</v>
      </c>
      <c r="K156" t="s">
        <v>36</v>
      </c>
      <c r="L156">
        <v>0</v>
      </c>
      <c r="M156">
        <v>1</v>
      </c>
    </row>
    <row r="157" spans="1:13" x14ac:dyDescent="0.25">
      <c r="A157" t="s">
        <v>231</v>
      </c>
      <c r="B157" t="s">
        <v>99</v>
      </c>
      <c r="C157" t="s">
        <v>174</v>
      </c>
      <c r="D157" t="s">
        <v>81</v>
      </c>
      <c r="E157">
        <v>36</v>
      </c>
      <c r="F157">
        <v>0.12</v>
      </c>
      <c r="G157">
        <v>263</v>
      </c>
      <c r="H157" s="1">
        <v>46094</v>
      </c>
      <c r="I157">
        <v>2026</v>
      </c>
      <c r="J157">
        <v>3</v>
      </c>
      <c r="K157" t="s">
        <v>36</v>
      </c>
      <c r="L157">
        <v>0</v>
      </c>
      <c r="M157">
        <v>1</v>
      </c>
    </row>
    <row r="158" spans="1:13" x14ac:dyDescent="0.25">
      <c r="A158" t="s">
        <v>232</v>
      </c>
      <c r="B158" t="s">
        <v>18</v>
      </c>
      <c r="C158" t="s">
        <v>14</v>
      </c>
      <c r="D158" t="s">
        <v>20</v>
      </c>
      <c r="E158" t="s">
        <v>21</v>
      </c>
      <c r="F158" t="s">
        <v>21</v>
      </c>
      <c r="G158">
        <v>49</v>
      </c>
      <c r="H158" s="1">
        <v>46094</v>
      </c>
      <c r="I158">
        <v>2026</v>
      </c>
      <c r="J158">
        <v>3</v>
      </c>
      <c r="K158" t="s">
        <v>30</v>
      </c>
      <c r="L158" t="s">
        <v>21</v>
      </c>
      <c r="M158">
        <v>0</v>
      </c>
    </row>
    <row r="159" spans="1:13" x14ac:dyDescent="0.25">
      <c r="A159" t="s">
        <v>233</v>
      </c>
      <c r="B159" t="s">
        <v>13</v>
      </c>
      <c r="C159" t="s">
        <v>42</v>
      </c>
      <c r="D159" t="s">
        <v>15</v>
      </c>
      <c r="E159">
        <v>1600</v>
      </c>
      <c r="F159">
        <v>0.1</v>
      </c>
      <c r="G159">
        <v>210</v>
      </c>
      <c r="H159" s="1">
        <v>46092</v>
      </c>
      <c r="I159">
        <v>2026</v>
      </c>
      <c r="J159">
        <v>3</v>
      </c>
      <c r="K159" t="s">
        <v>36</v>
      </c>
      <c r="L159">
        <v>0</v>
      </c>
      <c r="M159">
        <v>1</v>
      </c>
    </row>
    <row r="160" spans="1:13" x14ac:dyDescent="0.25">
      <c r="A160" t="s">
        <v>234</v>
      </c>
      <c r="B160" t="s">
        <v>77</v>
      </c>
      <c r="C160" t="s">
        <v>14</v>
      </c>
      <c r="D160" t="s">
        <v>81</v>
      </c>
      <c r="E160">
        <v>150</v>
      </c>
      <c r="F160" t="s">
        <v>21</v>
      </c>
      <c r="G160">
        <v>54</v>
      </c>
      <c r="H160" s="1">
        <v>46091</v>
      </c>
      <c r="I160">
        <v>2026</v>
      </c>
      <c r="J160">
        <v>3</v>
      </c>
      <c r="K160" t="s">
        <v>30</v>
      </c>
      <c r="L160" t="s">
        <v>21</v>
      </c>
      <c r="M160">
        <v>1</v>
      </c>
    </row>
    <row r="161" spans="1:13" x14ac:dyDescent="0.25">
      <c r="A161" t="s">
        <v>235</v>
      </c>
      <c r="B161" t="s">
        <v>24</v>
      </c>
      <c r="C161" t="s">
        <v>48</v>
      </c>
      <c r="D161" t="s">
        <v>20</v>
      </c>
      <c r="E161">
        <v>500</v>
      </c>
      <c r="F161" t="s">
        <v>21</v>
      </c>
      <c r="G161">
        <v>12900</v>
      </c>
      <c r="H161" s="1">
        <v>46087</v>
      </c>
      <c r="I161">
        <v>2026</v>
      </c>
      <c r="J161">
        <v>3</v>
      </c>
      <c r="K161" t="s">
        <v>26</v>
      </c>
      <c r="L161" t="s">
        <v>21</v>
      </c>
      <c r="M161">
        <v>1</v>
      </c>
    </row>
    <row r="162" spans="1:13" x14ac:dyDescent="0.25">
      <c r="A162" t="s">
        <v>236</v>
      </c>
      <c r="B162" t="s">
        <v>24</v>
      </c>
      <c r="C162" t="s">
        <v>174</v>
      </c>
      <c r="D162" t="s">
        <v>68</v>
      </c>
      <c r="E162">
        <v>215</v>
      </c>
      <c r="F162" t="s">
        <v>21</v>
      </c>
      <c r="G162" t="s">
        <v>21</v>
      </c>
      <c r="H162" s="1">
        <v>46086</v>
      </c>
      <c r="I162">
        <v>2026</v>
      </c>
      <c r="J162">
        <v>3</v>
      </c>
      <c r="K162" t="s">
        <v>22</v>
      </c>
      <c r="L162" t="s">
        <v>21</v>
      </c>
      <c r="M162">
        <v>1</v>
      </c>
    </row>
    <row r="163" spans="1:13" x14ac:dyDescent="0.25">
      <c r="A163" t="s">
        <v>237</v>
      </c>
      <c r="B163" t="s">
        <v>99</v>
      </c>
      <c r="C163" t="s">
        <v>14</v>
      </c>
      <c r="D163" t="s">
        <v>22</v>
      </c>
      <c r="E163">
        <v>57</v>
      </c>
      <c r="F163">
        <v>0.11</v>
      </c>
      <c r="G163" t="s">
        <v>21</v>
      </c>
      <c r="H163" s="1">
        <v>46086</v>
      </c>
      <c r="I163">
        <v>2026</v>
      </c>
      <c r="J163">
        <v>3</v>
      </c>
      <c r="K163" t="s">
        <v>22</v>
      </c>
      <c r="L163">
        <v>0</v>
      </c>
      <c r="M163">
        <v>1</v>
      </c>
    </row>
    <row r="164" spans="1:13" x14ac:dyDescent="0.25">
      <c r="A164" t="s">
        <v>238</v>
      </c>
      <c r="B164" t="s">
        <v>66</v>
      </c>
      <c r="C164" t="s">
        <v>14</v>
      </c>
      <c r="D164" t="s">
        <v>22</v>
      </c>
      <c r="E164">
        <v>296</v>
      </c>
      <c r="F164">
        <v>0.8</v>
      </c>
      <c r="G164" t="s">
        <v>21</v>
      </c>
      <c r="H164" s="1">
        <v>46085</v>
      </c>
      <c r="I164">
        <v>2026</v>
      </c>
      <c r="J164">
        <v>3</v>
      </c>
      <c r="K164" t="s">
        <v>22</v>
      </c>
      <c r="L164">
        <v>0</v>
      </c>
      <c r="M164">
        <v>1</v>
      </c>
    </row>
    <row r="165" spans="1:13" x14ac:dyDescent="0.25">
      <c r="A165" t="s">
        <v>239</v>
      </c>
      <c r="B165" t="s">
        <v>54</v>
      </c>
      <c r="C165" t="s">
        <v>42</v>
      </c>
      <c r="D165" t="s">
        <v>22</v>
      </c>
      <c r="E165">
        <v>200</v>
      </c>
      <c r="F165">
        <v>0.3</v>
      </c>
      <c r="G165" t="s">
        <v>21</v>
      </c>
      <c r="H165" s="1">
        <v>46085</v>
      </c>
      <c r="I165">
        <v>2026</v>
      </c>
      <c r="J165">
        <v>3</v>
      </c>
      <c r="K165" t="s">
        <v>22</v>
      </c>
      <c r="L165">
        <v>0</v>
      </c>
      <c r="M165">
        <v>1</v>
      </c>
    </row>
    <row r="166" spans="1:13" x14ac:dyDescent="0.25">
      <c r="A166" t="s">
        <v>240</v>
      </c>
      <c r="B166" t="s">
        <v>24</v>
      </c>
      <c r="C166" t="s">
        <v>14</v>
      </c>
      <c r="D166" t="s">
        <v>15</v>
      </c>
      <c r="E166">
        <v>100</v>
      </c>
      <c r="F166" t="s">
        <v>21</v>
      </c>
      <c r="G166">
        <v>8100</v>
      </c>
      <c r="H166" s="1">
        <v>46085</v>
      </c>
      <c r="I166">
        <v>2026</v>
      </c>
      <c r="J166">
        <v>3</v>
      </c>
      <c r="K166" t="s">
        <v>26</v>
      </c>
      <c r="L166" t="s">
        <v>21</v>
      </c>
      <c r="M166">
        <v>1</v>
      </c>
    </row>
    <row r="167" spans="1:13" x14ac:dyDescent="0.25">
      <c r="A167" t="s">
        <v>241</v>
      </c>
      <c r="B167" t="s">
        <v>28</v>
      </c>
      <c r="C167" t="s">
        <v>14</v>
      </c>
      <c r="D167" t="s">
        <v>22</v>
      </c>
      <c r="E167">
        <v>25</v>
      </c>
      <c r="F167" t="s">
        <v>21</v>
      </c>
      <c r="G167">
        <v>296</v>
      </c>
      <c r="H167" s="1">
        <v>46085</v>
      </c>
      <c r="I167">
        <v>2026</v>
      </c>
      <c r="J167">
        <v>3</v>
      </c>
      <c r="K167" t="s">
        <v>36</v>
      </c>
      <c r="L167" t="s">
        <v>21</v>
      </c>
      <c r="M167">
        <v>1</v>
      </c>
    </row>
    <row r="168" spans="1:13" x14ac:dyDescent="0.25">
      <c r="A168" t="s">
        <v>242</v>
      </c>
      <c r="B168" t="s">
        <v>13</v>
      </c>
      <c r="C168" t="s">
        <v>14</v>
      </c>
      <c r="D168" t="s">
        <v>15</v>
      </c>
      <c r="E168">
        <v>49</v>
      </c>
      <c r="F168" t="s">
        <v>21</v>
      </c>
      <c r="G168">
        <v>415</v>
      </c>
      <c r="H168" s="1">
        <v>46084</v>
      </c>
      <c r="I168">
        <v>2026</v>
      </c>
      <c r="J168">
        <v>3</v>
      </c>
      <c r="K168" t="s">
        <v>36</v>
      </c>
      <c r="L168" t="s">
        <v>21</v>
      </c>
      <c r="M168">
        <v>1</v>
      </c>
    </row>
    <row r="169" spans="1:13" x14ac:dyDescent="0.25">
      <c r="A169" t="s">
        <v>243</v>
      </c>
      <c r="B169" t="s">
        <v>28</v>
      </c>
      <c r="C169" t="s">
        <v>14</v>
      </c>
      <c r="D169" t="s">
        <v>20</v>
      </c>
      <c r="E169" t="s">
        <v>21</v>
      </c>
      <c r="F169" t="s">
        <v>21</v>
      </c>
      <c r="G169">
        <v>213</v>
      </c>
      <c r="H169" s="1">
        <v>46083</v>
      </c>
      <c r="I169">
        <v>2026</v>
      </c>
      <c r="J169">
        <v>3</v>
      </c>
      <c r="K169" t="s">
        <v>36</v>
      </c>
      <c r="L169" t="s">
        <v>21</v>
      </c>
      <c r="M169">
        <v>0</v>
      </c>
    </row>
    <row r="170" spans="1:13" x14ac:dyDescent="0.25">
      <c r="A170" t="s">
        <v>244</v>
      </c>
      <c r="B170" t="s">
        <v>77</v>
      </c>
      <c r="C170" t="s">
        <v>143</v>
      </c>
      <c r="D170" t="s">
        <v>49</v>
      </c>
      <c r="E170" t="s">
        <v>21</v>
      </c>
      <c r="F170">
        <v>0.44</v>
      </c>
      <c r="G170" t="s">
        <v>21</v>
      </c>
      <c r="H170" s="1">
        <v>46081</v>
      </c>
      <c r="I170">
        <v>2026</v>
      </c>
      <c r="J170">
        <v>2</v>
      </c>
      <c r="K170" t="s">
        <v>22</v>
      </c>
      <c r="L170">
        <v>0</v>
      </c>
      <c r="M170">
        <v>1</v>
      </c>
    </row>
    <row r="171" spans="1:13" x14ac:dyDescent="0.25">
      <c r="A171" t="s">
        <v>245</v>
      </c>
      <c r="B171" t="s">
        <v>77</v>
      </c>
      <c r="C171" t="s">
        <v>14</v>
      </c>
      <c r="D171" t="s">
        <v>15</v>
      </c>
      <c r="E171">
        <v>4000</v>
      </c>
      <c r="F171">
        <v>0.4</v>
      </c>
      <c r="G171">
        <v>150</v>
      </c>
      <c r="H171" s="1">
        <v>46079</v>
      </c>
      <c r="I171">
        <v>2026</v>
      </c>
      <c r="J171">
        <v>2</v>
      </c>
      <c r="K171" t="s">
        <v>36</v>
      </c>
      <c r="L171">
        <v>0</v>
      </c>
      <c r="M171">
        <v>1</v>
      </c>
    </row>
    <row r="172" spans="1:13" x14ac:dyDescent="0.25">
      <c r="A172" t="s">
        <v>246</v>
      </c>
      <c r="B172" t="s">
        <v>95</v>
      </c>
      <c r="C172" t="s">
        <v>80</v>
      </c>
      <c r="D172" t="s">
        <v>15</v>
      </c>
      <c r="E172">
        <v>1000</v>
      </c>
      <c r="F172">
        <v>0.05</v>
      </c>
      <c r="G172">
        <v>2000</v>
      </c>
      <c r="H172" s="1">
        <v>46079</v>
      </c>
      <c r="I172">
        <v>2026</v>
      </c>
      <c r="J172">
        <v>2</v>
      </c>
      <c r="K172" t="s">
        <v>26</v>
      </c>
      <c r="L172">
        <v>0</v>
      </c>
      <c r="M172">
        <v>1</v>
      </c>
    </row>
    <row r="173" spans="1:13" x14ac:dyDescent="0.25">
      <c r="A173" t="s">
        <v>247</v>
      </c>
      <c r="B173" t="s">
        <v>24</v>
      </c>
      <c r="C173" t="s">
        <v>29</v>
      </c>
      <c r="D173" t="s">
        <v>15</v>
      </c>
      <c r="E173">
        <v>800</v>
      </c>
      <c r="F173">
        <v>0.06</v>
      </c>
      <c r="G173">
        <v>1200</v>
      </c>
      <c r="H173" s="1">
        <v>46079</v>
      </c>
      <c r="I173">
        <v>2026</v>
      </c>
      <c r="J173">
        <v>2</v>
      </c>
      <c r="K173" t="s">
        <v>26</v>
      </c>
      <c r="L173">
        <v>0</v>
      </c>
      <c r="M173">
        <v>1</v>
      </c>
    </row>
    <row r="174" spans="1:13" x14ac:dyDescent="0.25">
      <c r="A174" t="s">
        <v>248</v>
      </c>
      <c r="B174" t="s">
        <v>93</v>
      </c>
      <c r="C174" t="s">
        <v>14</v>
      </c>
      <c r="D174" t="s">
        <v>43</v>
      </c>
      <c r="E174">
        <v>280</v>
      </c>
      <c r="F174">
        <v>0.26</v>
      </c>
      <c r="G174">
        <v>228</v>
      </c>
      <c r="H174" s="1">
        <v>46078</v>
      </c>
      <c r="I174">
        <v>2026</v>
      </c>
      <c r="J174">
        <v>2</v>
      </c>
      <c r="K174" t="s">
        <v>36</v>
      </c>
      <c r="L174">
        <v>0</v>
      </c>
      <c r="M174">
        <v>1</v>
      </c>
    </row>
    <row r="175" spans="1:13" x14ac:dyDescent="0.25">
      <c r="A175" t="s">
        <v>249</v>
      </c>
      <c r="B175" t="s">
        <v>95</v>
      </c>
      <c r="C175" t="s">
        <v>80</v>
      </c>
      <c r="D175" t="s">
        <v>15</v>
      </c>
      <c r="E175">
        <v>187</v>
      </c>
      <c r="F175" t="s">
        <v>21</v>
      </c>
      <c r="G175">
        <v>1700</v>
      </c>
      <c r="H175" s="1">
        <v>46078</v>
      </c>
      <c r="I175">
        <v>2026</v>
      </c>
      <c r="J175">
        <v>2</v>
      </c>
      <c r="K175" t="s">
        <v>26</v>
      </c>
      <c r="L175" t="s">
        <v>21</v>
      </c>
      <c r="M175">
        <v>1</v>
      </c>
    </row>
    <row r="176" spans="1:13" x14ac:dyDescent="0.25">
      <c r="A176" t="s">
        <v>250</v>
      </c>
      <c r="B176" t="s">
        <v>117</v>
      </c>
      <c r="C176" t="s">
        <v>42</v>
      </c>
      <c r="D176" t="s">
        <v>15</v>
      </c>
      <c r="E176">
        <v>2000</v>
      </c>
      <c r="F176">
        <v>0.3</v>
      </c>
      <c r="G176">
        <v>3000</v>
      </c>
      <c r="H176" s="1">
        <v>46077</v>
      </c>
      <c r="I176">
        <v>2026</v>
      </c>
      <c r="J176">
        <v>2</v>
      </c>
      <c r="K176" t="s">
        <v>26</v>
      </c>
      <c r="L176">
        <v>0</v>
      </c>
      <c r="M176">
        <v>1</v>
      </c>
    </row>
    <row r="177" spans="1:13" x14ac:dyDescent="0.25">
      <c r="A177" t="s">
        <v>251</v>
      </c>
      <c r="B177" t="s">
        <v>66</v>
      </c>
      <c r="C177" t="s">
        <v>14</v>
      </c>
      <c r="D177" t="s">
        <v>15</v>
      </c>
      <c r="E177">
        <v>100</v>
      </c>
      <c r="F177">
        <v>0.3</v>
      </c>
      <c r="G177">
        <v>340</v>
      </c>
      <c r="H177" s="1">
        <v>46077</v>
      </c>
      <c r="I177">
        <v>2026</v>
      </c>
      <c r="J177">
        <v>2</v>
      </c>
      <c r="K177" t="s">
        <v>36</v>
      </c>
      <c r="L177">
        <v>0</v>
      </c>
      <c r="M177">
        <v>1</v>
      </c>
    </row>
    <row r="178" spans="1:13" x14ac:dyDescent="0.25">
      <c r="A178" t="s">
        <v>252</v>
      </c>
      <c r="B178" t="s">
        <v>18</v>
      </c>
      <c r="C178" t="s">
        <v>14</v>
      </c>
      <c r="D178" t="s">
        <v>15</v>
      </c>
      <c r="E178" t="s">
        <v>21</v>
      </c>
      <c r="F178" t="s">
        <v>21</v>
      </c>
      <c r="G178">
        <v>719</v>
      </c>
      <c r="H178" s="1">
        <v>46077</v>
      </c>
      <c r="I178">
        <v>2026</v>
      </c>
      <c r="J178">
        <v>2</v>
      </c>
      <c r="K178" t="s">
        <v>36</v>
      </c>
      <c r="L178" t="s">
        <v>21</v>
      </c>
      <c r="M178">
        <v>0</v>
      </c>
    </row>
    <row r="179" spans="1:13" x14ac:dyDescent="0.25">
      <c r="A179" t="s">
        <v>253</v>
      </c>
      <c r="B179" t="s">
        <v>18</v>
      </c>
      <c r="C179" t="s">
        <v>48</v>
      </c>
      <c r="D179" t="s">
        <v>43</v>
      </c>
      <c r="E179">
        <v>1000</v>
      </c>
      <c r="F179">
        <v>0.12</v>
      </c>
      <c r="G179">
        <v>482</v>
      </c>
      <c r="H179" s="1">
        <v>46073</v>
      </c>
      <c r="I179">
        <v>2026</v>
      </c>
      <c r="J179">
        <v>2</v>
      </c>
      <c r="K179" t="s">
        <v>36</v>
      </c>
      <c r="L179">
        <v>0</v>
      </c>
      <c r="M179">
        <v>1</v>
      </c>
    </row>
    <row r="180" spans="1:13" x14ac:dyDescent="0.25">
      <c r="A180" t="s">
        <v>65</v>
      </c>
      <c r="B180" t="s">
        <v>66</v>
      </c>
      <c r="C180" t="s">
        <v>14</v>
      </c>
      <c r="D180" t="s">
        <v>15</v>
      </c>
      <c r="E180" t="s">
        <v>21</v>
      </c>
      <c r="F180">
        <v>0.12</v>
      </c>
      <c r="G180">
        <v>8300</v>
      </c>
      <c r="H180" s="1">
        <v>46073</v>
      </c>
      <c r="I180">
        <v>2026</v>
      </c>
      <c r="J180">
        <v>2</v>
      </c>
      <c r="K180" t="s">
        <v>26</v>
      </c>
      <c r="L180">
        <v>0</v>
      </c>
      <c r="M180">
        <v>1</v>
      </c>
    </row>
    <row r="181" spans="1:13" x14ac:dyDescent="0.25">
      <c r="A181" t="s">
        <v>254</v>
      </c>
      <c r="B181" t="s">
        <v>106</v>
      </c>
      <c r="C181" t="s">
        <v>14</v>
      </c>
      <c r="D181" t="s">
        <v>20</v>
      </c>
      <c r="E181" t="s">
        <v>21</v>
      </c>
      <c r="F181" t="s">
        <v>21</v>
      </c>
      <c r="G181">
        <v>87</v>
      </c>
      <c r="H181" s="1">
        <v>46072</v>
      </c>
      <c r="I181">
        <v>2026</v>
      </c>
      <c r="J181">
        <v>2</v>
      </c>
      <c r="K181" t="s">
        <v>30</v>
      </c>
      <c r="L181" t="s">
        <v>21</v>
      </c>
      <c r="M181">
        <v>0</v>
      </c>
    </row>
    <row r="182" spans="1:13" x14ac:dyDescent="0.25">
      <c r="A182" t="s">
        <v>255</v>
      </c>
      <c r="B182" t="s">
        <v>77</v>
      </c>
      <c r="C182" t="s">
        <v>256</v>
      </c>
      <c r="D182" t="s">
        <v>15</v>
      </c>
      <c r="E182">
        <v>250</v>
      </c>
      <c r="F182" t="s">
        <v>21</v>
      </c>
      <c r="G182">
        <v>681</v>
      </c>
      <c r="H182" s="1">
        <v>46071</v>
      </c>
      <c r="I182">
        <v>2026</v>
      </c>
      <c r="J182">
        <v>2</v>
      </c>
      <c r="K182" t="s">
        <v>36</v>
      </c>
      <c r="L182" t="s">
        <v>21</v>
      </c>
      <c r="M182">
        <v>1</v>
      </c>
    </row>
    <row r="183" spans="1:13" x14ac:dyDescent="0.25">
      <c r="A183" t="s">
        <v>257</v>
      </c>
      <c r="B183" t="s">
        <v>28</v>
      </c>
      <c r="C183" t="s">
        <v>14</v>
      </c>
      <c r="D183" t="s">
        <v>20</v>
      </c>
      <c r="E183">
        <v>500</v>
      </c>
      <c r="F183">
        <v>0.12</v>
      </c>
      <c r="G183">
        <v>1700</v>
      </c>
      <c r="H183" s="1">
        <v>46070</v>
      </c>
      <c r="I183">
        <v>2026</v>
      </c>
      <c r="J183">
        <v>2</v>
      </c>
      <c r="K183" t="s">
        <v>26</v>
      </c>
      <c r="L183">
        <v>0</v>
      </c>
      <c r="M183">
        <v>1</v>
      </c>
    </row>
    <row r="184" spans="1:13" x14ac:dyDescent="0.25">
      <c r="A184" t="s">
        <v>258</v>
      </c>
      <c r="B184" t="s">
        <v>70</v>
      </c>
      <c r="C184" t="s">
        <v>29</v>
      </c>
      <c r="D184" t="s">
        <v>22</v>
      </c>
      <c r="E184">
        <v>50</v>
      </c>
      <c r="F184" t="s">
        <v>21</v>
      </c>
      <c r="G184" t="s">
        <v>21</v>
      </c>
      <c r="H184" s="1">
        <v>46068</v>
      </c>
      <c r="I184">
        <v>2026</v>
      </c>
      <c r="J184">
        <v>2</v>
      </c>
      <c r="K184" t="s">
        <v>22</v>
      </c>
      <c r="L184" t="s">
        <v>21</v>
      </c>
      <c r="M184">
        <v>1</v>
      </c>
    </row>
    <row r="185" spans="1:13" x14ac:dyDescent="0.25">
      <c r="A185" t="s">
        <v>259</v>
      </c>
      <c r="B185" t="s">
        <v>28</v>
      </c>
      <c r="C185" t="s">
        <v>14</v>
      </c>
      <c r="D185" t="s">
        <v>111</v>
      </c>
      <c r="E185">
        <v>40</v>
      </c>
      <c r="F185">
        <v>0.04</v>
      </c>
      <c r="G185">
        <v>865</v>
      </c>
      <c r="H185" s="1">
        <v>46068</v>
      </c>
      <c r="I185">
        <v>2026</v>
      </c>
      <c r="J185">
        <v>2</v>
      </c>
      <c r="K185" t="s">
        <v>36</v>
      </c>
      <c r="L185">
        <v>0</v>
      </c>
      <c r="M185">
        <v>1</v>
      </c>
    </row>
    <row r="186" spans="1:13" x14ac:dyDescent="0.25">
      <c r="A186" t="s">
        <v>260</v>
      </c>
      <c r="B186" t="s">
        <v>38</v>
      </c>
      <c r="C186" t="s">
        <v>29</v>
      </c>
      <c r="D186" t="s">
        <v>46</v>
      </c>
      <c r="E186" t="s">
        <v>21</v>
      </c>
      <c r="F186" t="s">
        <v>21</v>
      </c>
      <c r="G186">
        <v>264</v>
      </c>
      <c r="H186" s="1">
        <v>46068</v>
      </c>
      <c r="I186">
        <v>2026</v>
      </c>
      <c r="J186">
        <v>2</v>
      </c>
      <c r="K186" t="s">
        <v>36</v>
      </c>
      <c r="L186" t="s">
        <v>21</v>
      </c>
      <c r="M186">
        <v>0</v>
      </c>
    </row>
    <row r="187" spans="1:13" x14ac:dyDescent="0.25">
      <c r="A187" t="s">
        <v>261</v>
      </c>
      <c r="B187" t="s">
        <v>99</v>
      </c>
      <c r="C187" t="s">
        <v>14</v>
      </c>
      <c r="D187" t="s">
        <v>20</v>
      </c>
      <c r="E187">
        <v>76</v>
      </c>
      <c r="F187" t="s">
        <v>21</v>
      </c>
      <c r="G187">
        <v>496</v>
      </c>
      <c r="H187" s="1">
        <v>46065</v>
      </c>
      <c r="I187">
        <v>2026</v>
      </c>
      <c r="J187">
        <v>2</v>
      </c>
      <c r="K187" t="s">
        <v>36</v>
      </c>
      <c r="L187" t="s">
        <v>21</v>
      </c>
      <c r="M187">
        <v>1</v>
      </c>
    </row>
    <row r="188" spans="1:13" x14ac:dyDescent="0.25">
      <c r="A188" t="s">
        <v>262</v>
      </c>
      <c r="B188" t="s">
        <v>24</v>
      </c>
      <c r="C188" t="s">
        <v>14</v>
      </c>
      <c r="D188" t="s">
        <v>111</v>
      </c>
      <c r="E188">
        <v>50</v>
      </c>
      <c r="F188">
        <v>0.33</v>
      </c>
      <c r="G188">
        <v>266</v>
      </c>
      <c r="H188" s="1">
        <v>46064</v>
      </c>
      <c r="I188">
        <v>2026</v>
      </c>
      <c r="J188">
        <v>2</v>
      </c>
      <c r="K188" t="s">
        <v>36</v>
      </c>
      <c r="L188">
        <v>0</v>
      </c>
      <c r="M188">
        <v>1</v>
      </c>
    </row>
    <row r="189" spans="1:13" x14ac:dyDescent="0.25">
      <c r="A189" t="s">
        <v>263</v>
      </c>
      <c r="B189" t="s">
        <v>40</v>
      </c>
      <c r="C189" t="s">
        <v>174</v>
      </c>
      <c r="D189" t="s">
        <v>15</v>
      </c>
      <c r="E189" t="s">
        <v>21</v>
      </c>
      <c r="F189">
        <v>0.05</v>
      </c>
      <c r="G189">
        <v>40</v>
      </c>
      <c r="H189" s="1">
        <v>46064</v>
      </c>
      <c r="I189">
        <v>2026</v>
      </c>
      <c r="J189">
        <v>2</v>
      </c>
      <c r="K189" t="s">
        <v>30</v>
      </c>
      <c r="L189">
        <v>0</v>
      </c>
      <c r="M189">
        <v>1</v>
      </c>
    </row>
    <row r="190" spans="1:13" x14ac:dyDescent="0.25">
      <c r="A190" t="s">
        <v>264</v>
      </c>
      <c r="B190" t="s">
        <v>77</v>
      </c>
      <c r="C190" t="s">
        <v>48</v>
      </c>
      <c r="D190" t="s">
        <v>46</v>
      </c>
      <c r="E190" t="s">
        <v>21</v>
      </c>
      <c r="F190">
        <v>0.4</v>
      </c>
      <c r="G190" t="s">
        <v>21</v>
      </c>
      <c r="H190" s="1">
        <v>46063</v>
      </c>
      <c r="I190">
        <v>2026</v>
      </c>
      <c r="J190">
        <v>2</v>
      </c>
      <c r="K190" t="s">
        <v>22</v>
      </c>
      <c r="L190">
        <v>0</v>
      </c>
      <c r="M190">
        <v>1</v>
      </c>
    </row>
    <row r="191" spans="1:13" x14ac:dyDescent="0.25">
      <c r="A191" t="s">
        <v>98</v>
      </c>
      <c r="B191" t="s">
        <v>99</v>
      </c>
      <c r="C191" t="s">
        <v>14</v>
      </c>
      <c r="D191" t="s">
        <v>15</v>
      </c>
      <c r="E191" t="s">
        <v>21</v>
      </c>
      <c r="F191" t="s">
        <v>21</v>
      </c>
      <c r="G191">
        <v>65</v>
      </c>
      <c r="H191" s="1">
        <v>46062</v>
      </c>
      <c r="I191">
        <v>2026</v>
      </c>
      <c r="J191">
        <v>2</v>
      </c>
      <c r="K191" t="s">
        <v>30</v>
      </c>
      <c r="L191" t="s">
        <v>21</v>
      </c>
      <c r="M191">
        <v>0</v>
      </c>
    </row>
    <row r="192" spans="1:13" x14ac:dyDescent="0.25">
      <c r="A192" t="s">
        <v>265</v>
      </c>
      <c r="B192" t="s">
        <v>40</v>
      </c>
      <c r="C192" t="s">
        <v>14</v>
      </c>
      <c r="D192" t="s">
        <v>15</v>
      </c>
      <c r="E192">
        <v>400</v>
      </c>
      <c r="F192">
        <v>0.02</v>
      </c>
      <c r="G192">
        <v>230</v>
      </c>
      <c r="H192" s="1">
        <v>46057</v>
      </c>
      <c r="I192">
        <v>2026</v>
      </c>
      <c r="J192">
        <v>2</v>
      </c>
      <c r="K192" t="s">
        <v>36</v>
      </c>
      <c r="L192">
        <v>0</v>
      </c>
      <c r="M192">
        <v>1</v>
      </c>
    </row>
    <row r="193" spans="1:13" x14ac:dyDescent="0.25">
      <c r="A193" t="s">
        <v>266</v>
      </c>
      <c r="B193" t="s">
        <v>77</v>
      </c>
      <c r="C193" t="s">
        <v>29</v>
      </c>
      <c r="D193" t="s">
        <v>20</v>
      </c>
      <c r="E193">
        <v>110</v>
      </c>
      <c r="F193" t="s">
        <v>21</v>
      </c>
      <c r="G193">
        <v>57</v>
      </c>
      <c r="H193" s="1">
        <v>46057</v>
      </c>
      <c r="I193">
        <v>2026</v>
      </c>
      <c r="J193">
        <v>2</v>
      </c>
      <c r="K193" t="s">
        <v>30</v>
      </c>
      <c r="L193" t="s">
        <v>21</v>
      </c>
      <c r="M193">
        <v>1</v>
      </c>
    </row>
    <row r="194" spans="1:13" x14ac:dyDescent="0.25">
      <c r="A194" t="s">
        <v>267</v>
      </c>
      <c r="B194" t="s">
        <v>13</v>
      </c>
      <c r="C194" t="s">
        <v>14</v>
      </c>
      <c r="D194" t="s">
        <v>15</v>
      </c>
      <c r="E194" t="s">
        <v>21</v>
      </c>
      <c r="F194" t="s">
        <v>21</v>
      </c>
      <c r="G194">
        <v>152</v>
      </c>
      <c r="H194" s="1">
        <v>46057</v>
      </c>
      <c r="I194">
        <v>2026</v>
      </c>
      <c r="J194">
        <v>2</v>
      </c>
      <c r="K194" t="s">
        <v>36</v>
      </c>
      <c r="L194" t="s">
        <v>21</v>
      </c>
      <c r="M194">
        <v>0</v>
      </c>
    </row>
    <row r="195" spans="1:13" x14ac:dyDescent="0.25">
      <c r="A195" t="s">
        <v>268</v>
      </c>
      <c r="B195" t="s">
        <v>91</v>
      </c>
      <c r="C195" t="s">
        <v>14</v>
      </c>
      <c r="D195" t="s">
        <v>15</v>
      </c>
      <c r="E195">
        <v>200</v>
      </c>
      <c r="F195" t="s">
        <v>21</v>
      </c>
      <c r="G195">
        <v>97</v>
      </c>
      <c r="H195" s="1">
        <v>46055</v>
      </c>
      <c r="I195">
        <v>2026</v>
      </c>
      <c r="J195">
        <v>2</v>
      </c>
      <c r="K195" t="s">
        <v>30</v>
      </c>
      <c r="L195" t="s">
        <v>21</v>
      </c>
      <c r="M195">
        <v>1</v>
      </c>
    </row>
    <row r="196" spans="1:13" x14ac:dyDescent="0.25">
      <c r="A196" t="s">
        <v>269</v>
      </c>
      <c r="B196" t="s">
        <v>66</v>
      </c>
      <c r="C196" t="s">
        <v>14</v>
      </c>
      <c r="D196" t="s">
        <v>20</v>
      </c>
      <c r="E196">
        <v>126</v>
      </c>
      <c r="F196" t="s">
        <v>21</v>
      </c>
      <c r="G196">
        <v>107</v>
      </c>
      <c r="H196" s="1">
        <v>46055</v>
      </c>
      <c r="I196">
        <v>2026</v>
      </c>
      <c r="J196">
        <v>2</v>
      </c>
      <c r="K196" t="s">
        <v>36</v>
      </c>
      <c r="L196" t="s">
        <v>21</v>
      </c>
      <c r="M196">
        <v>1</v>
      </c>
    </row>
    <row r="197" spans="1:13" x14ac:dyDescent="0.25">
      <c r="A197" t="s">
        <v>270</v>
      </c>
      <c r="B197" t="s">
        <v>73</v>
      </c>
      <c r="C197" t="s">
        <v>14</v>
      </c>
      <c r="D197" t="s">
        <v>15</v>
      </c>
      <c r="E197">
        <v>100</v>
      </c>
      <c r="F197" t="s">
        <v>21</v>
      </c>
      <c r="G197">
        <v>3300</v>
      </c>
      <c r="H197" s="1">
        <v>46054</v>
      </c>
      <c r="I197">
        <v>2026</v>
      </c>
      <c r="J197">
        <v>2</v>
      </c>
      <c r="K197" t="s">
        <v>26</v>
      </c>
      <c r="L197" t="s">
        <v>21</v>
      </c>
      <c r="M197">
        <v>1</v>
      </c>
    </row>
    <row r="198" spans="1:13" x14ac:dyDescent="0.25">
      <c r="A198" t="s">
        <v>271</v>
      </c>
      <c r="B198" t="s">
        <v>18</v>
      </c>
      <c r="C198" t="s">
        <v>48</v>
      </c>
      <c r="D198" t="s">
        <v>33</v>
      </c>
      <c r="E198">
        <v>200</v>
      </c>
      <c r="F198" t="s">
        <v>21</v>
      </c>
      <c r="G198">
        <v>121</v>
      </c>
      <c r="H198" s="1">
        <v>46052</v>
      </c>
      <c r="I198">
        <v>2026</v>
      </c>
      <c r="J198">
        <v>1</v>
      </c>
      <c r="K198" t="s">
        <v>36</v>
      </c>
      <c r="L198" t="s">
        <v>21</v>
      </c>
      <c r="M198">
        <v>1</v>
      </c>
    </row>
    <row r="199" spans="1:13" x14ac:dyDescent="0.25">
      <c r="A199" t="s">
        <v>272</v>
      </c>
      <c r="B199" t="s">
        <v>207</v>
      </c>
      <c r="C199" t="s">
        <v>14</v>
      </c>
      <c r="D199" t="s">
        <v>15</v>
      </c>
      <c r="E199" t="s">
        <v>21</v>
      </c>
      <c r="F199">
        <v>0.11</v>
      </c>
      <c r="G199">
        <v>1900</v>
      </c>
      <c r="H199" s="1">
        <v>46052</v>
      </c>
      <c r="I199">
        <v>2026</v>
      </c>
      <c r="J199">
        <v>1</v>
      </c>
      <c r="K199" t="s">
        <v>26</v>
      </c>
      <c r="L199">
        <v>0</v>
      </c>
      <c r="M199">
        <v>1</v>
      </c>
    </row>
    <row r="200" spans="1:13" x14ac:dyDescent="0.25">
      <c r="A200" t="s">
        <v>273</v>
      </c>
      <c r="B200" t="s">
        <v>73</v>
      </c>
      <c r="C200" t="s">
        <v>274</v>
      </c>
      <c r="D200" t="s">
        <v>22</v>
      </c>
      <c r="E200">
        <v>250</v>
      </c>
      <c r="F200">
        <v>0.36</v>
      </c>
      <c r="G200">
        <v>107</v>
      </c>
      <c r="H200" s="1">
        <v>46051</v>
      </c>
      <c r="I200">
        <v>2026</v>
      </c>
      <c r="J200">
        <v>1</v>
      </c>
      <c r="K200" t="s">
        <v>36</v>
      </c>
      <c r="L200">
        <v>0</v>
      </c>
      <c r="M200">
        <v>1</v>
      </c>
    </row>
    <row r="201" spans="1:13" x14ac:dyDescent="0.25">
      <c r="A201" t="s">
        <v>275</v>
      </c>
      <c r="B201" t="s">
        <v>18</v>
      </c>
      <c r="C201" t="s">
        <v>14</v>
      </c>
      <c r="D201" t="s">
        <v>15</v>
      </c>
      <c r="E201" t="s">
        <v>21</v>
      </c>
      <c r="F201" t="s">
        <v>21</v>
      </c>
      <c r="G201">
        <v>152</v>
      </c>
      <c r="H201" s="1">
        <v>46051</v>
      </c>
      <c r="I201">
        <v>2026</v>
      </c>
      <c r="J201">
        <v>1</v>
      </c>
      <c r="K201" t="s">
        <v>36</v>
      </c>
      <c r="L201" t="s">
        <v>21</v>
      </c>
      <c r="M201">
        <v>0</v>
      </c>
    </row>
    <row r="202" spans="1:13" x14ac:dyDescent="0.25">
      <c r="A202" t="s">
        <v>240</v>
      </c>
      <c r="B202" t="s">
        <v>24</v>
      </c>
      <c r="C202" t="s">
        <v>14</v>
      </c>
      <c r="D202" t="s">
        <v>15</v>
      </c>
      <c r="E202">
        <v>16000</v>
      </c>
      <c r="F202" t="s">
        <v>21</v>
      </c>
      <c r="G202">
        <v>8100</v>
      </c>
      <c r="H202" s="1">
        <v>46050</v>
      </c>
      <c r="I202">
        <v>2026</v>
      </c>
      <c r="J202">
        <v>1</v>
      </c>
      <c r="K202" t="s">
        <v>26</v>
      </c>
      <c r="L202" t="s">
        <v>21</v>
      </c>
      <c r="M202">
        <v>1</v>
      </c>
    </row>
    <row r="203" spans="1:13" x14ac:dyDescent="0.25">
      <c r="A203" t="s">
        <v>276</v>
      </c>
      <c r="B203" t="s">
        <v>70</v>
      </c>
      <c r="C203" t="s">
        <v>74</v>
      </c>
      <c r="D203" t="s">
        <v>15</v>
      </c>
      <c r="E203">
        <v>1700</v>
      </c>
      <c r="F203" t="s">
        <v>21</v>
      </c>
      <c r="G203" t="s">
        <v>21</v>
      </c>
      <c r="H203" s="1">
        <v>46050</v>
      </c>
      <c r="I203">
        <v>2026</v>
      </c>
      <c r="J203">
        <v>1</v>
      </c>
      <c r="K203" t="s">
        <v>22</v>
      </c>
      <c r="L203" t="s">
        <v>21</v>
      </c>
      <c r="M203">
        <v>1</v>
      </c>
    </row>
    <row r="204" spans="1:13" x14ac:dyDescent="0.25">
      <c r="A204" t="s">
        <v>277</v>
      </c>
      <c r="B204" t="s">
        <v>18</v>
      </c>
      <c r="C204" t="s">
        <v>14</v>
      </c>
      <c r="D204" t="s">
        <v>15</v>
      </c>
      <c r="E204">
        <v>700</v>
      </c>
      <c r="F204">
        <v>0.15</v>
      </c>
      <c r="G204">
        <v>1500</v>
      </c>
      <c r="H204" s="1">
        <v>46049</v>
      </c>
      <c r="I204">
        <v>2026</v>
      </c>
      <c r="J204">
        <v>1</v>
      </c>
      <c r="K204" t="s">
        <v>26</v>
      </c>
      <c r="L204">
        <v>0</v>
      </c>
      <c r="M204">
        <v>1</v>
      </c>
    </row>
    <row r="205" spans="1:13" x14ac:dyDescent="0.25">
      <c r="A205" t="s">
        <v>278</v>
      </c>
      <c r="B205" t="s">
        <v>18</v>
      </c>
      <c r="C205" t="s">
        <v>29</v>
      </c>
      <c r="D205" t="s">
        <v>22</v>
      </c>
      <c r="E205">
        <v>110</v>
      </c>
      <c r="F205">
        <v>0.05</v>
      </c>
      <c r="G205">
        <v>425</v>
      </c>
      <c r="H205" s="1">
        <v>46049</v>
      </c>
      <c r="I205">
        <v>2026</v>
      </c>
      <c r="J205">
        <v>1</v>
      </c>
      <c r="K205" t="s">
        <v>36</v>
      </c>
      <c r="L205">
        <v>0</v>
      </c>
      <c r="M205">
        <v>1</v>
      </c>
    </row>
    <row r="206" spans="1:13" x14ac:dyDescent="0.25">
      <c r="A206" t="s">
        <v>270</v>
      </c>
      <c r="B206" t="s">
        <v>73</v>
      </c>
      <c r="C206" t="s">
        <v>14</v>
      </c>
      <c r="D206" t="s">
        <v>15</v>
      </c>
      <c r="E206" t="s">
        <v>21</v>
      </c>
      <c r="F206" t="s">
        <v>21</v>
      </c>
      <c r="G206">
        <v>3300</v>
      </c>
      <c r="H206" s="1">
        <v>46048</v>
      </c>
      <c r="I206">
        <v>2026</v>
      </c>
      <c r="J206">
        <v>1</v>
      </c>
      <c r="K206" t="s">
        <v>26</v>
      </c>
      <c r="L206" t="s">
        <v>21</v>
      </c>
      <c r="M206">
        <v>0</v>
      </c>
    </row>
    <row r="207" spans="1:13" x14ac:dyDescent="0.25">
      <c r="A207" t="s">
        <v>279</v>
      </c>
      <c r="B207" t="s">
        <v>52</v>
      </c>
      <c r="C207" t="s">
        <v>14</v>
      </c>
      <c r="D207" t="s">
        <v>49</v>
      </c>
      <c r="E207" t="s">
        <v>21</v>
      </c>
      <c r="F207">
        <v>1</v>
      </c>
      <c r="G207">
        <v>27</v>
      </c>
      <c r="H207" s="1">
        <v>46047</v>
      </c>
      <c r="I207">
        <v>2026</v>
      </c>
      <c r="J207">
        <v>1</v>
      </c>
      <c r="K207" t="s">
        <v>30</v>
      </c>
      <c r="L207">
        <v>1</v>
      </c>
      <c r="M207">
        <v>1</v>
      </c>
    </row>
    <row r="208" spans="1:13" x14ac:dyDescent="0.25">
      <c r="A208" t="s">
        <v>280</v>
      </c>
      <c r="B208" t="s">
        <v>18</v>
      </c>
      <c r="C208" t="s">
        <v>281</v>
      </c>
      <c r="D208" t="s">
        <v>49</v>
      </c>
      <c r="E208">
        <v>220</v>
      </c>
      <c r="F208" t="s">
        <v>21</v>
      </c>
      <c r="G208">
        <v>1</v>
      </c>
      <c r="H208" s="1">
        <v>46046</v>
      </c>
      <c r="I208">
        <v>2026</v>
      </c>
      <c r="J208">
        <v>1</v>
      </c>
      <c r="K208" t="s">
        <v>16</v>
      </c>
      <c r="L208" t="s">
        <v>21</v>
      </c>
      <c r="M208">
        <v>1</v>
      </c>
    </row>
    <row r="209" spans="1:13" x14ac:dyDescent="0.25">
      <c r="A209" t="s">
        <v>282</v>
      </c>
      <c r="B209" t="s">
        <v>13</v>
      </c>
      <c r="C209" t="s">
        <v>14</v>
      </c>
      <c r="D209" t="s">
        <v>15</v>
      </c>
      <c r="E209">
        <v>1000</v>
      </c>
      <c r="F209">
        <v>7.0000000000000007E-2</v>
      </c>
      <c r="G209" t="s">
        <v>21</v>
      </c>
      <c r="H209" s="1">
        <v>46044</v>
      </c>
      <c r="I209">
        <v>2026</v>
      </c>
      <c r="J209">
        <v>1</v>
      </c>
      <c r="K209" t="s">
        <v>22</v>
      </c>
      <c r="L209">
        <v>0</v>
      </c>
      <c r="M209">
        <v>1</v>
      </c>
    </row>
    <row r="210" spans="1:13" x14ac:dyDescent="0.25">
      <c r="A210" t="s">
        <v>173</v>
      </c>
      <c r="B210" t="s">
        <v>24</v>
      </c>
      <c r="C210" t="s">
        <v>174</v>
      </c>
      <c r="D210" t="s">
        <v>15</v>
      </c>
      <c r="E210" t="s">
        <v>21</v>
      </c>
      <c r="F210" t="s">
        <v>21</v>
      </c>
      <c r="G210">
        <v>122</v>
      </c>
      <c r="H210" s="1">
        <v>46044</v>
      </c>
      <c r="I210">
        <v>2026</v>
      </c>
      <c r="J210">
        <v>1</v>
      </c>
      <c r="K210" t="s">
        <v>36</v>
      </c>
      <c r="L210" t="s">
        <v>21</v>
      </c>
      <c r="M210">
        <v>0</v>
      </c>
    </row>
    <row r="211" spans="1:13" x14ac:dyDescent="0.25">
      <c r="A211" t="s">
        <v>210</v>
      </c>
      <c r="B211" t="s">
        <v>18</v>
      </c>
      <c r="C211" t="s">
        <v>14</v>
      </c>
      <c r="D211" t="s">
        <v>15</v>
      </c>
      <c r="E211" t="s">
        <v>21</v>
      </c>
      <c r="F211" t="s">
        <v>21</v>
      </c>
      <c r="G211">
        <v>450</v>
      </c>
      <c r="H211" s="1">
        <v>46043</v>
      </c>
      <c r="I211">
        <v>2026</v>
      </c>
      <c r="J211">
        <v>1</v>
      </c>
      <c r="K211" t="s">
        <v>36</v>
      </c>
      <c r="L211" t="s">
        <v>21</v>
      </c>
      <c r="M211">
        <v>0</v>
      </c>
    </row>
    <row r="212" spans="1:13" x14ac:dyDescent="0.25">
      <c r="A212" t="s">
        <v>210</v>
      </c>
      <c r="B212" t="s">
        <v>18</v>
      </c>
      <c r="C212" t="s">
        <v>14</v>
      </c>
      <c r="D212" t="s">
        <v>15</v>
      </c>
      <c r="E212" t="s">
        <v>21</v>
      </c>
      <c r="F212" t="s">
        <v>21</v>
      </c>
      <c r="G212">
        <v>450</v>
      </c>
      <c r="H212" s="1">
        <v>46042</v>
      </c>
      <c r="I212">
        <v>2026</v>
      </c>
      <c r="J212">
        <v>1</v>
      </c>
      <c r="K212" t="s">
        <v>36</v>
      </c>
      <c r="L212" t="s">
        <v>21</v>
      </c>
      <c r="M212">
        <v>0</v>
      </c>
    </row>
    <row r="213" spans="1:13" x14ac:dyDescent="0.25">
      <c r="A213" t="s">
        <v>283</v>
      </c>
      <c r="B213" t="s">
        <v>52</v>
      </c>
      <c r="C213" t="s">
        <v>284</v>
      </c>
      <c r="D213" t="s">
        <v>22</v>
      </c>
      <c r="E213">
        <v>60</v>
      </c>
      <c r="F213" t="s">
        <v>21</v>
      </c>
      <c r="G213">
        <v>451</v>
      </c>
      <c r="H213" s="1">
        <v>46038</v>
      </c>
      <c r="I213">
        <v>2026</v>
      </c>
      <c r="J213">
        <v>1</v>
      </c>
      <c r="K213" t="s">
        <v>36</v>
      </c>
      <c r="L213" t="s">
        <v>21</v>
      </c>
      <c r="M213">
        <v>1</v>
      </c>
    </row>
    <row r="214" spans="1:13" x14ac:dyDescent="0.25">
      <c r="A214" t="s">
        <v>285</v>
      </c>
      <c r="B214" t="s">
        <v>13</v>
      </c>
      <c r="C214" t="s">
        <v>161</v>
      </c>
      <c r="D214" t="s">
        <v>15</v>
      </c>
      <c r="E214">
        <v>1600</v>
      </c>
      <c r="F214" t="s">
        <v>21</v>
      </c>
      <c r="G214">
        <v>663</v>
      </c>
      <c r="H214" s="1">
        <v>46037</v>
      </c>
      <c r="I214">
        <v>2026</v>
      </c>
      <c r="J214">
        <v>1</v>
      </c>
      <c r="K214" t="s">
        <v>36</v>
      </c>
      <c r="L214" t="s">
        <v>21</v>
      </c>
      <c r="M214">
        <v>1</v>
      </c>
    </row>
    <row r="215" spans="1:13" x14ac:dyDescent="0.25">
      <c r="A215" t="s">
        <v>286</v>
      </c>
      <c r="B215" t="s">
        <v>77</v>
      </c>
      <c r="C215" t="s">
        <v>14</v>
      </c>
      <c r="D215" t="s">
        <v>43</v>
      </c>
      <c r="E215">
        <v>100</v>
      </c>
      <c r="F215" t="s">
        <v>21</v>
      </c>
      <c r="G215">
        <v>565</v>
      </c>
      <c r="H215" s="1">
        <v>46037</v>
      </c>
      <c r="I215">
        <v>2026</v>
      </c>
      <c r="J215">
        <v>1</v>
      </c>
      <c r="K215" t="s">
        <v>36</v>
      </c>
      <c r="L215" t="s">
        <v>21</v>
      </c>
      <c r="M215">
        <v>1</v>
      </c>
    </row>
    <row r="216" spans="1:13" x14ac:dyDescent="0.25">
      <c r="A216" t="s">
        <v>287</v>
      </c>
      <c r="B216" t="s">
        <v>38</v>
      </c>
      <c r="C216" t="s">
        <v>14</v>
      </c>
      <c r="D216" t="s">
        <v>15</v>
      </c>
      <c r="E216">
        <v>35</v>
      </c>
      <c r="F216" t="s">
        <v>21</v>
      </c>
      <c r="G216" t="s">
        <v>21</v>
      </c>
      <c r="H216" s="1">
        <v>46037</v>
      </c>
      <c r="I216">
        <v>2026</v>
      </c>
      <c r="J216">
        <v>1</v>
      </c>
      <c r="K216" t="s">
        <v>22</v>
      </c>
      <c r="L216" t="s">
        <v>21</v>
      </c>
      <c r="M216">
        <v>1</v>
      </c>
    </row>
    <row r="217" spans="1:13" x14ac:dyDescent="0.25">
      <c r="A217" t="s">
        <v>288</v>
      </c>
      <c r="B217" t="s">
        <v>18</v>
      </c>
      <c r="C217" t="s">
        <v>29</v>
      </c>
      <c r="D217" t="s">
        <v>15</v>
      </c>
      <c r="E217">
        <v>500</v>
      </c>
      <c r="F217">
        <v>0.15</v>
      </c>
      <c r="G217" t="s">
        <v>21</v>
      </c>
      <c r="H217" s="1">
        <v>46036</v>
      </c>
      <c r="I217">
        <v>2026</v>
      </c>
      <c r="J217">
        <v>1</v>
      </c>
      <c r="K217" t="s">
        <v>22</v>
      </c>
      <c r="L217">
        <v>0</v>
      </c>
      <c r="M217">
        <v>1</v>
      </c>
    </row>
    <row r="218" spans="1:13" x14ac:dyDescent="0.25">
      <c r="A218" t="s">
        <v>289</v>
      </c>
      <c r="B218" t="s">
        <v>93</v>
      </c>
      <c r="C218" t="s">
        <v>83</v>
      </c>
      <c r="D218" t="s">
        <v>33</v>
      </c>
      <c r="E218">
        <v>50</v>
      </c>
      <c r="F218">
        <v>0.16</v>
      </c>
      <c r="G218">
        <v>534</v>
      </c>
      <c r="H218" s="1">
        <v>46036</v>
      </c>
      <c r="I218">
        <v>2026</v>
      </c>
      <c r="J218">
        <v>1</v>
      </c>
      <c r="K218" t="s">
        <v>36</v>
      </c>
      <c r="L218">
        <v>0</v>
      </c>
      <c r="M218">
        <v>1</v>
      </c>
    </row>
    <row r="219" spans="1:13" x14ac:dyDescent="0.25">
      <c r="A219" t="s">
        <v>131</v>
      </c>
      <c r="B219" t="s">
        <v>18</v>
      </c>
      <c r="C219" t="s">
        <v>14</v>
      </c>
      <c r="D219" t="s">
        <v>15</v>
      </c>
      <c r="E219">
        <v>1500</v>
      </c>
      <c r="F219">
        <v>0.02</v>
      </c>
      <c r="G219">
        <v>26000</v>
      </c>
      <c r="H219" s="1">
        <v>46035</v>
      </c>
      <c r="I219">
        <v>2026</v>
      </c>
      <c r="J219">
        <v>1</v>
      </c>
      <c r="K219" t="s">
        <v>26</v>
      </c>
      <c r="L219">
        <v>0</v>
      </c>
      <c r="M219">
        <v>1</v>
      </c>
    </row>
    <row r="220" spans="1:13" x14ac:dyDescent="0.25">
      <c r="A220" t="s">
        <v>290</v>
      </c>
      <c r="B220" t="s">
        <v>77</v>
      </c>
      <c r="C220" t="s">
        <v>29</v>
      </c>
      <c r="D220" t="s">
        <v>22</v>
      </c>
      <c r="E220">
        <v>105</v>
      </c>
      <c r="F220">
        <v>7.0000000000000007E-2</v>
      </c>
      <c r="G220">
        <v>322</v>
      </c>
      <c r="H220" s="1">
        <v>46035</v>
      </c>
      <c r="I220">
        <v>2026</v>
      </c>
      <c r="J220">
        <v>1</v>
      </c>
      <c r="K220" t="s">
        <v>36</v>
      </c>
      <c r="L220">
        <v>0</v>
      </c>
      <c r="M220">
        <v>1</v>
      </c>
    </row>
    <row r="221" spans="1:13" x14ac:dyDescent="0.25">
      <c r="A221" t="s">
        <v>291</v>
      </c>
      <c r="B221" t="s">
        <v>24</v>
      </c>
      <c r="C221" t="s">
        <v>48</v>
      </c>
      <c r="D221" t="s">
        <v>49</v>
      </c>
      <c r="E221" t="s">
        <v>21</v>
      </c>
      <c r="F221">
        <v>1</v>
      </c>
      <c r="G221">
        <v>3</v>
      </c>
      <c r="H221" s="1">
        <v>46035</v>
      </c>
      <c r="I221">
        <v>2026</v>
      </c>
      <c r="J221">
        <v>1</v>
      </c>
      <c r="K221" t="s">
        <v>16</v>
      </c>
      <c r="L221">
        <v>1</v>
      </c>
      <c r="M221">
        <v>1</v>
      </c>
    </row>
    <row r="222" spans="1:13" x14ac:dyDescent="0.25">
      <c r="A222" t="s">
        <v>292</v>
      </c>
      <c r="B222" t="s">
        <v>13</v>
      </c>
      <c r="C222" t="s">
        <v>29</v>
      </c>
      <c r="D222" t="s">
        <v>55</v>
      </c>
      <c r="E222" t="s">
        <v>21</v>
      </c>
      <c r="F222" t="s">
        <v>21</v>
      </c>
      <c r="G222">
        <v>184</v>
      </c>
      <c r="H222" s="1">
        <v>46035</v>
      </c>
      <c r="I222">
        <v>2026</v>
      </c>
      <c r="J222">
        <v>1</v>
      </c>
      <c r="K222" t="s">
        <v>36</v>
      </c>
      <c r="L222" t="s">
        <v>21</v>
      </c>
      <c r="M222">
        <v>0</v>
      </c>
    </row>
    <row r="223" spans="1:13" x14ac:dyDescent="0.25">
      <c r="A223" t="s">
        <v>293</v>
      </c>
      <c r="B223" t="s">
        <v>24</v>
      </c>
      <c r="C223" t="s">
        <v>230</v>
      </c>
      <c r="D223" t="s">
        <v>15</v>
      </c>
      <c r="E223">
        <v>116</v>
      </c>
      <c r="F223" t="s">
        <v>21</v>
      </c>
      <c r="G223">
        <v>5100</v>
      </c>
      <c r="H223" s="1">
        <v>46034</v>
      </c>
      <c r="I223">
        <v>2026</v>
      </c>
      <c r="J223">
        <v>1</v>
      </c>
      <c r="K223" t="s">
        <v>26</v>
      </c>
      <c r="L223" t="s">
        <v>21</v>
      </c>
      <c r="M223">
        <v>1</v>
      </c>
    </row>
    <row r="224" spans="1:13" x14ac:dyDescent="0.25">
      <c r="A224" t="s">
        <v>294</v>
      </c>
      <c r="B224" t="s">
        <v>102</v>
      </c>
      <c r="C224" t="s">
        <v>14</v>
      </c>
      <c r="D224" t="s">
        <v>15</v>
      </c>
      <c r="E224">
        <v>220</v>
      </c>
      <c r="F224">
        <v>0.11</v>
      </c>
      <c r="G224">
        <v>15</v>
      </c>
      <c r="H224" s="1">
        <v>46031</v>
      </c>
      <c r="I224">
        <v>2026</v>
      </c>
      <c r="J224">
        <v>1</v>
      </c>
      <c r="K224" t="s">
        <v>30</v>
      </c>
      <c r="L224">
        <v>0</v>
      </c>
      <c r="M224">
        <v>1</v>
      </c>
    </row>
    <row r="225" spans="1:13" x14ac:dyDescent="0.25">
      <c r="A225" t="s">
        <v>295</v>
      </c>
      <c r="B225" t="s">
        <v>28</v>
      </c>
      <c r="C225" t="s">
        <v>14</v>
      </c>
      <c r="D225" t="s">
        <v>81</v>
      </c>
      <c r="E225">
        <v>250</v>
      </c>
      <c r="F225">
        <v>0.05</v>
      </c>
      <c r="G225">
        <v>547</v>
      </c>
      <c r="H225" s="1">
        <v>46030</v>
      </c>
      <c r="I225">
        <v>2026</v>
      </c>
      <c r="J225">
        <v>1</v>
      </c>
      <c r="K225" t="s">
        <v>36</v>
      </c>
      <c r="L225">
        <v>0</v>
      </c>
      <c r="M225">
        <v>1</v>
      </c>
    </row>
    <row r="226" spans="1:13" x14ac:dyDescent="0.25">
      <c r="A226" t="s">
        <v>101</v>
      </c>
      <c r="B226" t="s">
        <v>102</v>
      </c>
      <c r="C226" t="s">
        <v>29</v>
      </c>
      <c r="D226" t="s">
        <v>46</v>
      </c>
      <c r="E226">
        <v>30</v>
      </c>
      <c r="F226">
        <v>0.1</v>
      </c>
      <c r="G226">
        <v>344</v>
      </c>
      <c r="H226" s="1">
        <v>46030</v>
      </c>
      <c r="I226">
        <v>2026</v>
      </c>
      <c r="J226">
        <v>1</v>
      </c>
      <c r="K226" t="s">
        <v>36</v>
      </c>
      <c r="L226">
        <v>0</v>
      </c>
      <c r="M226">
        <v>1</v>
      </c>
    </row>
    <row r="227" spans="1:13" x14ac:dyDescent="0.25">
      <c r="A227" t="s">
        <v>296</v>
      </c>
      <c r="B227" t="s">
        <v>66</v>
      </c>
      <c r="C227" t="s">
        <v>29</v>
      </c>
      <c r="D227" t="s">
        <v>46</v>
      </c>
      <c r="E227">
        <v>29</v>
      </c>
      <c r="F227">
        <v>0.18</v>
      </c>
      <c r="G227">
        <v>132</v>
      </c>
      <c r="H227" s="1">
        <v>46030</v>
      </c>
      <c r="I227">
        <v>2026</v>
      </c>
      <c r="J227">
        <v>1</v>
      </c>
      <c r="K227" t="s">
        <v>36</v>
      </c>
      <c r="L227">
        <v>0</v>
      </c>
      <c r="M227">
        <v>1</v>
      </c>
    </row>
    <row r="228" spans="1:13" x14ac:dyDescent="0.25">
      <c r="A228" t="s">
        <v>297</v>
      </c>
      <c r="B228" t="s">
        <v>114</v>
      </c>
      <c r="C228" t="s">
        <v>14</v>
      </c>
      <c r="D228" t="s">
        <v>22</v>
      </c>
      <c r="E228">
        <v>3</v>
      </c>
      <c r="F228" t="s">
        <v>21</v>
      </c>
      <c r="G228" t="s">
        <v>21</v>
      </c>
      <c r="H228" s="1">
        <v>46030</v>
      </c>
      <c r="I228">
        <v>2026</v>
      </c>
      <c r="J228">
        <v>1</v>
      </c>
      <c r="K228" t="s">
        <v>22</v>
      </c>
      <c r="L228" t="s">
        <v>21</v>
      </c>
      <c r="M228">
        <v>1</v>
      </c>
    </row>
    <row r="229" spans="1:13" x14ac:dyDescent="0.25">
      <c r="A229" t="s">
        <v>298</v>
      </c>
      <c r="B229" t="s">
        <v>18</v>
      </c>
      <c r="C229" t="s">
        <v>14</v>
      </c>
      <c r="D229" t="s">
        <v>15</v>
      </c>
      <c r="E229">
        <v>350</v>
      </c>
      <c r="F229" t="s">
        <v>21</v>
      </c>
      <c r="G229">
        <v>180</v>
      </c>
      <c r="H229" s="1">
        <v>46029</v>
      </c>
      <c r="I229">
        <v>2026</v>
      </c>
      <c r="J229">
        <v>1</v>
      </c>
      <c r="K229" t="s">
        <v>36</v>
      </c>
      <c r="L229" t="s">
        <v>21</v>
      </c>
      <c r="M229">
        <v>1</v>
      </c>
    </row>
    <row r="230" spans="1:13" x14ac:dyDescent="0.25">
      <c r="A230" t="s">
        <v>299</v>
      </c>
      <c r="B230" t="s">
        <v>106</v>
      </c>
      <c r="C230" t="s">
        <v>80</v>
      </c>
      <c r="D230" t="s">
        <v>55</v>
      </c>
      <c r="E230">
        <v>55</v>
      </c>
      <c r="F230" t="s">
        <v>21</v>
      </c>
      <c r="G230">
        <v>414</v>
      </c>
      <c r="H230" s="1">
        <v>46027</v>
      </c>
      <c r="I230">
        <v>2026</v>
      </c>
      <c r="J230">
        <v>1</v>
      </c>
      <c r="K230" t="s">
        <v>36</v>
      </c>
      <c r="L230" t="s">
        <v>21</v>
      </c>
      <c r="M230">
        <v>1</v>
      </c>
    </row>
    <row r="231" spans="1:13" x14ac:dyDescent="0.25">
      <c r="A231" t="s">
        <v>300</v>
      </c>
      <c r="B231" t="s">
        <v>77</v>
      </c>
      <c r="C231" t="s">
        <v>29</v>
      </c>
      <c r="D231" t="s">
        <v>20</v>
      </c>
      <c r="E231">
        <v>700</v>
      </c>
      <c r="F231">
        <v>0.15</v>
      </c>
      <c r="G231">
        <v>88</v>
      </c>
      <c r="H231" s="1">
        <v>46019</v>
      </c>
      <c r="I231">
        <v>2025</v>
      </c>
      <c r="J231">
        <v>12</v>
      </c>
      <c r="K231" t="s">
        <v>30</v>
      </c>
      <c r="L231">
        <v>0</v>
      </c>
      <c r="M231">
        <v>1</v>
      </c>
    </row>
    <row r="232" spans="1:13" x14ac:dyDescent="0.25">
      <c r="A232" t="s">
        <v>301</v>
      </c>
      <c r="B232" t="s">
        <v>89</v>
      </c>
      <c r="C232" t="s">
        <v>14</v>
      </c>
      <c r="D232" t="s">
        <v>46</v>
      </c>
      <c r="E232">
        <v>100</v>
      </c>
      <c r="F232">
        <v>0.3</v>
      </c>
      <c r="G232">
        <v>102</v>
      </c>
      <c r="H232" s="1">
        <v>46014</v>
      </c>
      <c r="I232">
        <v>2025</v>
      </c>
      <c r="J232">
        <v>12</v>
      </c>
      <c r="K232" t="s">
        <v>36</v>
      </c>
      <c r="L232">
        <v>0</v>
      </c>
      <c r="M232">
        <v>1</v>
      </c>
    </row>
    <row r="233" spans="1:13" x14ac:dyDescent="0.25">
      <c r="A233" t="s">
        <v>302</v>
      </c>
      <c r="B233" t="s">
        <v>54</v>
      </c>
      <c r="C233" t="s">
        <v>14</v>
      </c>
      <c r="D233" t="s">
        <v>15</v>
      </c>
      <c r="E233" t="s">
        <v>21</v>
      </c>
      <c r="F233" t="s">
        <v>21</v>
      </c>
      <c r="G233">
        <v>257</v>
      </c>
      <c r="H233" s="1">
        <v>46008</v>
      </c>
      <c r="I233">
        <v>2025</v>
      </c>
      <c r="J233">
        <v>12</v>
      </c>
      <c r="K233" t="s">
        <v>36</v>
      </c>
      <c r="L233" t="s">
        <v>21</v>
      </c>
      <c r="M233">
        <v>0</v>
      </c>
    </row>
    <row r="234" spans="1:13" x14ac:dyDescent="0.25">
      <c r="A234" t="s">
        <v>240</v>
      </c>
      <c r="B234" t="s">
        <v>24</v>
      </c>
      <c r="C234" t="s">
        <v>14</v>
      </c>
      <c r="D234" t="s">
        <v>15</v>
      </c>
      <c r="E234">
        <v>84</v>
      </c>
      <c r="F234" t="s">
        <v>21</v>
      </c>
      <c r="G234">
        <v>8100</v>
      </c>
      <c r="H234" s="1">
        <v>46006</v>
      </c>
      <c r="I234">
        <v>2025</v>
      </c>
      <c r="J234">
        <v>12</v>
      </c>
      <c r="K234" t="s">
        <v>26</v>
      </c>
      <c r="L234" t="s">
        <v>21</v>
      </c>
      <c r="M234">
        <v>1</v>
      </c>
    </row>
    <row r="235" spans="1:13" x14ac:dyDescent="0.25">
      <c r="A235" t="s">
        <v>303</v>
      </c>
      <c r="B235" t="s">
        <v>106</v>
      </c>
      <c r="C235" t="s">
        <v>14</v>
      </c>
      <c r="D235" t="s">
        <v>20</v>
      </c>
      <c r="E235" t="s">
        <v>21</v>
      </c>
      <c r="F235" t="s">
        <v>21</v>
      </c>
      <c r="G235">
        <v>31</v>
      </c>
      <c r="H235" s="1">
        <v>46003</v>
      </c>
      <c r="I235">
        <v>2025</v>
      </c>
      <c r="J235">
        <v>12</v>
      </c>
      <c r="K235" t="s">
        <v>30</v>
      </c>
      <c r="L235" t="s">
        <v>21</v>
      </c>
      <c r="M235">
        <v>0</v>
      </c>
    </row>
    <row r="236" spans="1:13" x14ac:dyDescent="0.25">
      <c r="A236" t="s">
        <v>304</v>
      </c>
      <c r="B236" t="s">
        <v>102</v>
      </c>
      <c r="C236" t="s">
        <v>14</v>
      </c>
      <c r="D236" t="s">
        <v>15</v>
      </c>
      <c r="E236" t="s">
        <v>21</v>
      </c>
      <c r="F236" t="s">
        <v>21</v>
      </c>
      <c r="G236">
        <v>2000</v>
      </c>
      <c r="H236" s="1">
        <v>46003</v>
      </c>
      <c r="I236">
        <v>2025</v>
      </c>
      <c r="J236">
        <v>12</v>
      </c>
      <c r="K236" t="s">
        <v>26</v>
      </c>
      <c r="L236" t="s">
        <v>21</v>
      </c>
      <c r="M236">
        <v>0</v>
      </c>
    </row>
    <row r="237" spans="1:13" x14ac:dyDescent="0.25">
      <c r="A237" t="s">
        <v>305</v>
      </c>
      <c r="B237" t="s">
        <v>95</v>
      </c>
      <c r="C237" t="s">
        <v>29</v>
      </c>
      <c r="D237" t="s">
        <v>33</v>
      </c>
      <c r="E237" t="s">
        <v>21</v>
      </c>
      <c r="F237" t="s">
        <v>21</v>
      </c>
      <c r="G237">
        <v>389</v>
      </c>
      <c r="H237" s="1">
        <v>46002</v>
      </c>
      <c r="I237">
        <v>2025</v>
      </c>
      <c r="J237">
        <v>12</v>
      </c>
      <c r="K237" t="s">
        <v>36</v>
      </c>
      <c r="L237" t="s">
        <v>21</v>
      </c>
      <c r="M237">
        <v>0</v>
      </c>
    </row>
    <row r="238" spans="1:13" x14ac:dyDescent="0.25">
      <c r="A238" t="s">
        <v>306</v>
      </c>
      <c r="B238" t="s">
        <v>13</v>
      </c>
      <c r="C238" t="s">
        <v>83</v>
      </c>
      <c r="D238" t="s">
        <v>20</v>
      </c>
      <c r="E238" t="s">
        <v>21</v>
      </c>
      <c r="F238">
        <v>1</v>
      </c>
      <c r="G238">
        <v>24</v>
      </c>
      <c r="H238" s="1">
        <v>46002</v>
      </c>
      <c r="I238">
        <v>2025</v>
      </c>
      <c r="J238">
        <v>12</v>
      </c>
      <c r="K238" t="s">
        <v>30</v>
      </c>
      <c r="L238">
        <v>1</v>
      </c>
      <c r="M238">
        <v>1</v>
      </c>
    </row>
    <row r="239" spans="1:13" x14ac:dyDescent="0.25">
      <c r="A239" t="s">
        <v>307</v>
      </c>
      <c r="B239" t="s">
        <v>99</v>
      </c>
      <c r="C239" t="s">
        <v>14</v>
      </c>
      <c r="D239" t="s">
        <v>33</v>
      </c>
      <c r="E239">
        <v>24</v>
      </c>
      <c r="F239">
        <v>0.08</v>
      </c>
      <c r="G239">
        <v>245</v>
      </c>
      <c r="H239" s="1">
        <v>46001</v>
      </c>
      <c r="I239">
        <v>2025</v>
      </c>
      <c r="J239">
        <v>12</v>
      </c>
      <c r="K239" t="s">
        <v>36</v>
      </c>
      <c r="L239">
        <v>0</v>
      </c>
      <c r="M239">
        <v>1</v>
      </c>
    </row>
    <row r="240" spans="1:13" x14ac:dyDescent="0.25">
      <c r="A240" t="s">
        <v>308</v>
      </c>
      <c r="B240" t="s">
        <v>70</v>
      </c>
      <c r="C240" t="s">
        <v>174</v>
      </c>
      <c r="D240" t="s">
        <v>55</v>
      </c>
      <c r="E240">
        <v>80</v>
      </c>
      <c r="F240">
        <v>7.0000000000000007E-2</v>
      </c>
      <c r="G240">
        <v>1000</v>
      </c>
      <c r="H240" s="1">
        <v>46000</v>
      </c>
      <c r="I240">
        <v>2025</v>
      </c>
      <c r="J240">
        <v>12</v>
      </c>
      <c r="K240" t="s">
        <v>26</v>
      </c>
      <c r="L240">
        <v>0</v>
      </c>
      <c r="M240">
        <v>1</v>
      </c>
    </row>
    <row r="241" spans="1:13" x14ac:dyDescent="0.25">
      <c r="A241" t="s">
        <v>309</v>
      </c>
      <c r="B241" t="s">
        <v>93</v>
      </c>
      <c r="C241" t="s">
        <v>48</v>
      </c>
      <c r="D241" t="s">
        <v>111</v>
      </c>
      <c r="E241">
        <v>60</v>
      </c>
      <c r="F241">
        <v>0.06</v>
      </c>
      <c r="G241">
        <v>265</v>
      </c>
      <c r="H241" s="1">
        <v>46000</v>
      </c>
      <c r="I241">
        <v>2025</v>
      </c>
      <c r="J241">
        <v>12</v>
      </c>
      <c r="K241" t="s">
        <v>36</v>
      </c>
      <c r="L241">
        <v>0</v>
      </c>
      <c r="M241">
        <v>1</v>
      </c>
    </row>
    <row r="242" spans="1:13" x14ac:dyDescent="0.25">
      <c r="A242" t="s">
        <v>310</v>
      </c>
      <c r="B242" t="s">
        <v>18</v>
      </c>
      <c r="C242" t="s">
        <v>14</v>
      </c>
      <c r="D242" t="s">
        <v>33</v>
      </c>
      <c r="E242">
        <v>24</v>
      </c>
      <c r="F242" t="s">
        <v>21</v>
      </c>
      <c r="G242">
        <v>90</v>
      </c>
      <c r="H242" s="1">
        <v>46000</v>
      </c>
      <c r="I242">
        <v>2025</v>
      </c>
      <c r="J242">
        <v>12</v>
      </c>
      <c r="K242" t="s">
        <v>30</v>
      </c>
      <c r="L242" t="s">
        <v>21</v>
      </c>
      <c r="M242">
        <v>1</v>
      </c>
    </row>
    <row r="243" spans="1:13" x14ac:dyDescent="0.25">
      <c r="A243" t="s">
        <v>311</v>
      </c>
      <c r="B243" t="s">
        <v>13</v>
      </c>
      <c r="C243" t="s">
        <v>48</v>
      </c>
      <c r="D243" t="s">
        <v>49</v>
      </c>
      <c r="E243" t="s">
        <v>21</v>
      </c>
      <c r="F243">
        <v>1</v>
      </c>
      <c r="G243">
        <v>3</v>
      </c>
      <c r="H243" s="1">
        <v>46000</v>
      </c>
      <c r="I243">
        <v>2025</v>
      </c>
      <c r="J243">
        <v>12</v>
      </c>
      <c r="K243" t="s">
        <v>16</v>
      </c>
      <c r="L243">
        <v>1</v>
      </c>
      <c r="M243">
        <v>1</v>
      </c>
    </row>
    <row r="244" spans="1:13" x14ac:dyDescent="0.25">
      <c r="A244" t="s">
        <v>312</v>
      </c>
      <c r="B244" t="s">
        <v>66</v>
      </c>
      <c r="C244" t="s">
        <v>29</v>
      </c>
      <c r="D244" t="s">
        <v>15</v>
      </c>
      <c r="E244">
        <v>200</v>
      </c>
      <c r="F244">
        <v>0.04</v>
      </c>
      <c r="G244">
        <v>2100</v>
      </c>
      <c r="H244" s="1">
        <v>45999</v>
      </c>
      <c r="I244">
        <v>2025</v>
      </c>
      <c r="J244">
        <v>12</v>
      </c>
      <c r="K244" t="s">
        <v>26</v>
      </c>
      <c r="L244">
        <v>0</v>
      </c>
      <c r="M244">
        <v>1</v>
      </c>
    </row>
    <row r="245" spans="1:13" x14ac:dyDescent="0.25">
      <c r="A245" t="s">
        <v>313</v>
      </c>
      <c r="B245" t="s">
        <v>77</v>
      </c>
      <c r="C245" t="s">
        <v>14</v>
      </c>
      <c r="D245" t="s">
        <v>15</v>
      </c>
      <c r="E245">
        <v>60</v>
      </c>
      <c r="F245">
        <v>0.06</v>
      </c>
      <c r="G245" t="s">
        <v>21</v>
      </c>
      <c r="H245" s="1">
        <v>45999</v>
      </c>
      <c r="I245">
        <v>2025</v>
      </c>
      <c r="J245">
        <v>12</v>
      </c>
      <c r="K245" t="s">
        <v>22</v>
      </c>
      <c r="L245">
        <v>0</v>
      </c>
      <c r="M245">
        <v>1</v>
      </c>
    </row>
    <row r="246" spans="1:13" x14ac:dyDescent="0.25">
      <c r="A246" t="s">
        <v>314</v>
      </c>
      <c r="B246" t="s">
        <v>54</v>
      </c>
      <c r="C246" t="s">
        <v>14</v>
      </c>
      <c r="D246" t="s">
        <v>22</v>
      </c>
      <c r="E246">
        <v>180</v>
      </c>
      <c r="F246">
        <v>0.1</v>
      </c>
      <c r="G246">
        <v>123</v>
      </c>
      <c r="H246" s="1">
        <v>45995</v>
      </c>
      <c r="I246">
        <v>2025</v>
      </c>
      <c r="J246">
        <v>12</v>
      </c>
      <c r="K246" t="s">
        <v>36</v>
      </c>
      <c r="L246">
        <v>0</v>
      </c>
      <c r="M246">
        <v>1</v>
      </c>
    </row>
    <row r="247" spans="1:13" x14ac:dyDescent="0.25">
      <c r="A247" t="s">
        <v>315</v>
      </c>
      <c r="B247" t="s">
        <v>13</v>
      </c>
      <c r="C247" t="s">
        <v>29</v>
      </c>
      <c r="D247" t="s">
        <v>15</v>
      </c>
      <c r="E247">
        <v>20</v>
      </c>
      <c r="F247">
        <v>0.01</v>
      </c>
      <c r="G247">
        <v>410</v>
      </c>
      <c r="H247" s="1">
        <v>45994</v>
      </c>
      <c r="I247">
        <v>2025</v>
      </c>
      <c r="J247">
        <v>12</v>
      </c>
      <c r="K247" t="s">
        <v>36</v>
      </c>
      <c r="L247">
        <v>0</v>
      </c>
      <c r="M247">
        <v>1</v>
      </c>
    </row>
    <row r="248" spans="1:13" x14ac:dyDescent="0.25">
      <c r="A248" t="s">
        <v>316</v>
      </c>
      <c r="B248" t="s">
        <v>217</v>
      </c>
      <c r="C248" t="s">
        <v>14</v>
      </c>
      <c r="D248" t="s">
        <v>33</v>
      </c>
      <c r="E248" t="s">
        <v>21</v>
      </c>
      <c r="F248" t="s">
        <v>21</v>
      </c>
      <c r="G248">
        <v>99</v>
      </c>
      <c r="H248" s="1">
        <v>45994</v>
      </c>
      <c r="I248">
        <v>2025</v>
      </c>
      <c r="J248">
        <v>12</v>
      </c>
      <c r="K248" t="s">
        <v>30</v>
      </c>
      <c r="L248" t="s">
        <v>21</v>
      </c>
      <c r="M248">
        <v>0</v>
      </c>
    </row>
    <row r="249" spans="1:13" x14ac:dyDescent="0.25">
      <c r="A249" t="s">
        <v>317</v>
      </c>
      <c r="B249" t="s">
        <v>28</v>
      </c>
      <c r="C249" t="s">
        <v>14</v>
      </c>
      <c r="D249" t="s">
        <v>111</v>
      </c>
      <c r="E249">
        <v>20</v>
      </c>
      <c r="F249" t="s">
        <v>21</v>
      </c>
      <c r="G249">
        <v>325</v>
      </c>
      <c r="H249" s="1">
        <v>45992</v>
      </c>
      <c r="I249">
        <v>2025</v>
      </c>
      <c r="J249">
        <v>12</v>
      </c>
      <c r="K249" t="s">
        <v>36</v>
      </c>
      <c r="L249" t="s">
        <v>21</v>
      </c>
      <c r="M249">
        <v>1</v>
      </c>
    </row>
    <row r="250" spans="1:13" x14ac:dyDescent="0.25">
      <c r="A250" t="s">
        <v>318</v>
      </c>
      <c r="B250" t="s">
        <v>35</v>
      </c>
      <c r="C250" t="s">
        <v>14</v>
      </c>
      <c r="D250" t="s">
        <v>33</v>
      </c>
      <c r="E250" t="s">
        <v>21</v>
      </c>
      <c r="F250">
        <v>1</v>
      </c>
      <c r="G250">
        <v>50</v>
      </c>
      <c r="H250" s="1">
        <v>45992</v>
      </c>
      <c r="I250">
        <v>2025</v>
      </c>
      <c r="J250">
        <v>12</v>
      </c>
      <c r="K250" t="s">
        <v>30</v>
      </c>
      <c r="L250">
        <v>1</v>
      </c>
      <c r="M250">
        <v>1</v>
      </c>
    </row>
    <row r="251" spans="1:13" x14ac:dyDescent="0.25">
      <c r="A251" t="s">
        <v>319</v>
      </c>
      <c r="B251" t="s">
        <v>18</v>
      </c>
      <c r="C251" t="s">
        <v>48</v>
      </c>
      <c r="D251" t="s">
        <v>49</v>
      </c>
      <c r="E251">
        <v>350</v>
      </c>
      <c r="F251" t="s">
        <v>21</v>
      </c>
      <c r="G251">
        <v>3</v>
      </c>
      <c r="H251" s="1">
        <v>45987</v>
      </c>
      <c r="I251">
        <v>2025</v>
      </c>
      <c r="J251">
        <v>11</v>
      </c>
      <c r="K251" t="s">
        <v>16</v>
      </c>
      <c r="L251" t="s">
        <v>21</v>
      </c>
      <c r="M251">
        <v>1</v>
      </c>
    </row>
    <row r="252" spans="1:13" x14ac:dyDescent="0.25">
      <c r="A252" t="s">
        <v>173</v>
      </c>
      <c r="B252" t="s">
        <v>24</v>
      </c>
      <c r="C252" t="s">
        <v>174</v>
      </c>
      <c r="D252" t="s">
        <v>15</v>
      </c>
      <c r="E252" t="s">
        <v>21</v>
      </c>
      <c r="F252" t="s">
        <v>21</v>
      </c>
      <c r="G252">
        <v>122</v>
      </c>
      <c r="H252" s="1">
        <v>45987</v>
      </c>
      <c r="I252">
        <v>2025</v>
      </c>
      <c r="J252">
        <v>11</v>
      </c>
      <c r="K252" t="s">
        <v>36</v>
      </c>
      <c r="L252" t="s">
        <v>21</v>
      </c>
      <c r="M252">
        <v>0</v>
      </c>
    </row>
    <row r="253" spans="1:13" x14ac:dyDescent="0.25">
      <c r="A253" t="s">
        <v>320</v>
      </c>
      <c r="B253" t="s">
        <v>70</v>
      </c>
      <c r="C253" t="s">
        <v>14</v>
      </c>
      <c r="D253" t="s">
        <v>15</v>
      </c>
      <c r="E253">
        <v>4000</v>
      </c>
      <c r="F253" t="s">
        <v>21</v>
      </c>
      <c r="G253" t="s">
        <v>21</v>
      </c>
      <c r="H253" s="1">
        <v>45986</v>
      </c>
      <c r="I253">
        <v>2025</v>
      </c>
      <c r="J253">
        <v>11</v>
      </c>
      <c r="K253" t="s">
        <v>22</v>
      </c>
      <c r="L253" t="s">
        <v>21</v>
      </c>
      <c r="M253">
        <v>1</v>
      </c>
    </row>
    <row r="254" spans="1:13" x14ac:dyDescent="0.25">
      <c r="A254" t="s">
        <v>321</v>
      </c>
      <c r="B254" t="s">
        <v>95</v>
      </c>
      <c r="C254" t="s">
        <v>14</v>
      </c>
      <c r="D254" t="s">
        <v>55</v>
      </c>
      <c r="E254">
        <v>40</v>
      </c>
      <c r="F254">
        <v>0.04</v>
      </c>
      <c r="G254">
        <v>319</v>
      </c>
      <c r="H254" s="1">
        <v>45982</v>
      </c>
      <c r="I254">
        <v>2025</v>
      </c>
      <c r="J254">
        <v>11</v>
      </c>
      <c r="K254" t="s">
        <v>36</v>
      </c>
      <c r="L254">
        <v>0</v>
      </c>
      <c r="M254">
        <v>1</v>
      </c>
    </row>
    <row r="255" spans="1:13" x14ac:dyDescent="0.25">
      <c r="A255" t="s">
        <v>322</v>
      </c>
      <c r="B255" t="s">
        <v>13</v>
      </c>
      <c r="C255" t="s">
        <v>14</v>
      </c>
      <c r="D255" t="s">
        <v>22</v>
      </c>
      <c r="E255">
        <v>102</v>
      </c>
      <c r="F255" t="s">
        <v>21</v>
      </c>
      <c r="G255">
        <v>214</v>
      </c>
      <c r="H255" s="1">
        <v>45980</v>
      </c>
      <c r="I255">
        <v>2025</v>
      </c>
      <c r="J255">
        <v>11</v>
      </c>
      <c r="K255" t="s">
        <v>36</v>
      </c>
      <c r="L255" t="s">
        <v>21</v>
      </c>
      <c r="M255">
        <v>1</v>
      </c>
    </row>
    <row r="256" spans="1:13" x14ac:dyDescent="0.25">
      <c r="A256" t="s">
        <v>86</v>
      </c>
      <c r="B256" t="s">
        <v>77</v>
      </c>
      <c r="C256" t="s">
        <v>87</v>
      </c>
      <c r="D256" t="s">
        <v>46</v>
      </c>
      <c r="E256">
        <v>100</v>
      </c>
      <c r="F256">
        <v>0.12</v>
      </c>
      <c r="G256">
        <v>428</v>
      </c>
      <c r="H256" s="1">
        <v>45980</v>
      </c>
      <c r="I256">
        <v>2025</v>
      </c>
      <c r="J256">
        <v>11</v>
      </c>
      <c r="K256" t="s">
        <v>36</v>
      </c>
      <c r="L256">
        <v>0</v>
      </c>
      <c r="M256">
        <v>1</v>
      </c>
    </row>
    <row r="257" spans="1:13" x14ac:dyDescent="0.25">
      <c r="A257" t="s">
        <v>188</v>
      </c>
      <c r="B257" t="s">
        <v>40</v>
      </c>
      <c r="C257" t="s">
        <v>323</v>
      </c>
      <c r="D257" t="s">
        <v>22</v>
      </c>
      <c r="E257">
        <v>300</v>
      </c>
      <c r="F257" t="s">
        <v>21</v>
      </c>
      <c r="G257" t="s">
        <v>21</v>
      </c>
      <c r="H257" s="1">
        <v>45979</v>
      </c>
      <c r="I257">
        <v>2025</v>
      </c>
      <c r="J257">
        <v>11</v>
      </c>
      <c r="K257" t="s">
        <v>22</v>
      </c>
      <c r="L257" t="s">
        <v>21</v>
      </c>
      <c r="M257">
        <v>1</v>
      </c>
    </row>
    <row r="258" spans="1:13" x14ac:dyDescent="0.25">
      <c r="A258" t="s">
        <v>41</v>
      </c>
      <c r="B258" t="s">
        <v>40</v>
      </c>
      <c r="C258" t="s">
        <v>42</v>
      </c>
      <c r="D258" t="s">
        <v>43</v>
      </c>
      <c r="E258">
        <v>60</v>
      </c>
      <c r="F258">
        <v>0.06</v>
      </c>
      <c r="G258">
        <v>257</v>
      </c>
      <c r="H258" s="1">
        <v>45979</v>
      </c>
      <c r="I258">
        <v>2025</v>
      </c>
      <c r="J258">
        <v>11</v>
      </c>
      <c r="K258" t="s">
        <v>36</v>
      </c>
      <c r="L258">
        <v>0</v>
      </c>
      <c r="M258">
        <v>1</v>
      </c>
    </row>
    <row r="259" spans="1:13" x14ac:dyDescent="0.25">
      <c r="A259" t="s">
        <v>324</v>
      </c>
      <c r="B259" t="s">
        <v>13</v>
      </c>
      <c r="C259" t="s">
        <v>14</v>
      </c>
      <c r="D259" t="s">
        <v>81</v>
      </c>
      <c r="E259" t="s">
        <v>21</v>
      </c>
      <c r="F259">
        <v>0.2</v>
      </c>
      <c r="G259" t="s">
        <v>21</v>
      </c>
      <c r="H259" s="1">
        <v>45979</v>
      </c>
      <c r="I259">
        <v>2025</v>
      </c>
      <c r="J259">
        <v>11</v>
      </c>
      <c r="K259" t="s">
        <v>22</v>
      </c>
      <c r="L259">
        <v>0</v>
      </c>
      <c r="M259">
        <v>1</v>
      </c>
    </row>
    <row r="260" spans="1:13" x14ac:dyDescent="0.25">
      <c r="A260" t="s">
        <v>288</v>
      </c>
      <c r="B260" t="s">
        <v>18</v>
      </c>
      <c r="C260" t="s">
        <v>29</v>
      </c>
      <c r="D260" t="s">
        <v>15</v>
      </c>
      <c r="E260">
        <v>700</v>
      </c>
      <c r="F260">
        <v>0.2</v>
      </c>
      <c r="G260" t="s">
        <v>21</v>
      </c>
      <c r="H260" s="1">
        <v>45978</v>
      </c>
      <c r="I260">
        <v>2025</v>
      </c>
      <c r="J260">
        <v>11</v>
      </c>
      <c r="K260" t="s">
        <v>22</v>
      </c>
      <c r="L260">
        <v>0</v>
      </c>
      <c r="M260">
        <v>1</v>
      </c>
    </row>
    <row r="261" spans="1:13" x14ac:dyDescent="0.25">
      <c r="A261" t="s">
        <v>325</v>
      </c>
      <c r="B261" t="s">
        <v>77</v>
      </c>
      <c r="C261" t="s">
        <v>14</v>
      </c>
      <c r="D261" t="s">
        <v>55</v>
      </c>
      <c r="E261">
        <v>200</v>
      </c>
      <c r="F261">
        <v>0.5</v>
      </c>
      <c r="G261">
        <v>453</v>
      </c>
      <c r="H261" s="1">
        <v>45977</v>
      </c>
      <c r="I261">
        <v>2025</v>
      </c>
      <c r="J261">
        <v>11</v>
      </c>
      <c r="K261" t="s">
        <v>36</v>
      </c>
      <c r="L261">
        <v>0</v>
      </c>
      <c r="M261">
        <v>1</v>
      </c>
    </row>
    <row r="262" spans="1:13" x14ac:dyDescent="0.25">
      <c r="A262" t="s">
        <v>235</v>
      </c>
      <c r="B262" t="s">
        <v>24</v>
      </c>
      <c r="C262" t="s">
        <v>48</v>
      </c>
      <c r="D262" t="s">
        <v>20</v>
      </c>
      <c r="E262">
        <v>40</v>
      </c>
      <c r="F262" t="s">
        <v>21</v>
      </c>
      <c r="G262">
        <v>12900</v>
      </c>
      <c r="H262" s="1">
        <v>45977</v>
      </c>
      <c r="I262">
        <v>2025</v>
      </c>
      <c r="J262">
        <v>11</v>
      </c>
      <c r="K262" t="s">
        <v>26</v>
      </c>
      <c r="L262" t="s">
        <v>21</v>
      </c>
      <c r="M262">
        <v>1</v>
      </c>
    </row>
    <row r="263" spans="1:13" x14ac:dyDescent="0.25">
      <c r="A263" t="s">
        <v>326</v>
      </c>
      <c r="B263" t="s">
        <v>95</v>
      </c>
      <c r="C263" t="s">
        <v>48</v>
      </c>
      <c r="D263" t="s">
        <v>68</v>
      </c>
      <c r="E263">
        <v>37</v>
      </c>
      <c r="F263">
        <v>1</v>
      </c>
      <c r="G263">
        <v>21</v>
      </c>
      <c r="H263" s="1">
        <v>45974</v>
      </c>
      <c r="I263">
        <v>2025</v>
      </c>
      <c r="J263">
        <v>11</v>
      </c>
      <c r="K263" t="s">
        <v>30</v>
      </c>
      <c r="L263">
        <v>1</v>
      </c>
      <c r="M263">
        <v>1</v>
      </c>
    </row>
    <row r="264" spans="1:13" x14ac:dyDescent="0.25">
      <c r="A264" t="s">
        <v>327</v>
      </c>
      <c r="B264" t="s">
        <v>66</v>
      </c>
      <c r="C264" t="s">
        <v>14</v>
      </c>
      <c r="D264" t="s">
        <v>33</v>
      </c>
      <c r="E264" t="s">
        <v>21</v>
      </c>
      <c r="F264" t="s">
        <v>21</v>
      </c>
      <c r="G264">
        <v>56</v>
      </c>
      <c r="H264" s="1">
        <v>45974</v>
      </c>
      <c r="I264">
        <v>2025</v>
      </c>
      <c r="J264">
        <v>11</v>
      </c>
      <c r="K264" t="s">
        <v>30</v>
      </c>
      <c r="L264" t="s">
        <v>21</v>
      </c>
      <c r="M264">
        <v>0</v>
      </c>
    </row>
    <row r="265" spans="1:13" x14ac:dyDescent="0.25">
      <c r="A265" t="s">
        <v>328</v>
      </c>
      <c r="B265" t="s">
        <v>13</v>
      </c>
      <c r="C265" t="s">
        <v>14</v>
      </c>
      <c r="D265" t="s">
        <v>15</v>
      </c>
      <c r="E265">
        <v>2000</v>
      </c>
      <c r="F265">
        <v>0.1</v>
      </c>
      <c r="G265" t="s">
        <v>21</v>
      </c>
      <c r="H265" s="1">
        <v>45973</v>
      </c>
      <c r="I265">
        <v>2025</v>
      </c>
      <c r="J265">
        <v>11</v>
      </c>
      <c r="K265" t="s">
        <v>22</v>
      </c>
      <c r="L265">
        <v>0</v>
      </c>
      <c r="M265">
        <v>1</v>
      </c>
    </row>
    <row r="266" spans="1:13" x14ac:dyDescent="0.25">
      <c r="A266" t="s">
        <v>329</v>
      </c>
      <c r="B266" t="s">
        <v>28</v>
      </c>
      <c r="C266" t="s">
        <v>14</v>
      </c>
      <c r="D266" t="s">
        <v>46</v>
      </c>
      <c r="E266">
        <v>80</v>
      </c>
      <c r="F266">
        <v>0.32</v>
      </c>
      <c r="G266">
        <v>256</v>
      </c>
      <c r="H266" s="1">
        <v>45973</v>
      </c>
      <c r="I266">
        <v>2025</v>
      </c>
      <c r="J266">
        <v>11</v>
      </c>
      <c r="K266" t="s">
        <v>36</v>
      </c>
      <c r="L266">
        <v>0</v>
      </c>
      <c r="M266">
        <v>1</v>
      </c>
    </row>
    <row r="267" spans="1:13" x14ac:dyDescent="0.25">
      <c r="A267" t="s">
        <v>330</v>
      </c>
      <c r="B267" t="s">
        <v>18</v>
      </c>
      <c r="C267" t="s">
        <v>48</v>
      </c>
      <c r="D267" t="s">
        <v>22</v>
      </c>
      <c r="E267">
        <v>280</v>
      </c>
      <c r="F267" t="s">
        <v>21</v>
      </c>
      <c r="G267" t="s">
        <v>21</v>
      </c>
      <c r="H267" s="1">
        <v>45971</v>
      </c>
      <c r="I267">
        <v>2025</v>
      </c>
      <c r="J267">
        <v>11</v>
      </c>
      <c r="K267" t="s">
        <v>22</v>
      </c>
      <c r="L267" t="s">
        <v>21</v>
      </c>
      <c r="M267">
        <v>1</v>
      </c>
    </row>
    <row r="268" spans="1:13" x14ac:dyDescent="0.25">
      <c r="A268" t="s">
        <v>79</v>
      </c>
      <c r="B268" t="s">
        <v>77</v>
      </c>
      <c r="C268" t="s">
        <v>80</v>
      </c>
      <c r="D268" t="s">
        <v>81</v>
      </c>
      <c r="E268" t="s">
        <v>21</v>
      </c>
      <c r="F268">
        <v>0.03</v>
      </c>
      <c r="G268">
        <v>3500</v>
      </c>
      <c r="H268" s="1">
        <v>45971</v>
      </c>
      <c r="I268">
        <v>2025</v>
      </c>
      <c r="J268">
        <v>11</v>
      </c>
      <c r="K268" t="s">
        <v>26</v>
      </c>
      <c r="L268">
        <v>0</v>
      </c>
      <c r="M268">
        <v>1</v>
      </c>
    </row>
    <row r="269" spans="1:13" x14ac:dyDescent="0.25">
      <c r="A269" t="s">
        <v>331</v>
      </c>
      <c r="B269" t="s">
        <v>73</v>
      </c>
      <c r="C269" t="s">
        <v>14</v>
      </c>
      <c r="D269" t="s">
        <v>15</v>
      </c>
      <c r="E269" t="s">
        <v>21</v>
      </c>
      <c r="F269">
        <v>1</v>
      </c>
      <c r="G269">
        <v>839</v>
      </c>
      <c r="H269" s="1">
        <v>45971</v>
      </c>
      <c r="I269">
        <v>2025</v>
      </c>
      <c r="J269">
        <v>11</v>
      </c>
      <c r="K269" t="s">
        <v>36</v>
      </c>
      <c r="L269">
        <v>1</v>
      </c>
      <c r="M269">
        <v>1</v>
      </c>
    </row>
    <row r="270" spans="1:13" x14ac:dyDescent="0.25">
      <c r="A270" t="s">
        <v>259</v>
      </c>
      <c r="B270" t="s">
        <v>28</v>
      </c>
      <c r="C270" t="s">
        <v>14</v>
      </c>
      <c r="D270" t="s">
        <v>111</v>
      </c>
      <c r="E270">
        <v>100</v>
      </c>
      <c r="F270">
        <v>0.11</v>
      </c>
      <c r="G270">
        <v>865</v>
      </c>
      <c r="H270" s="1">
        <v>45967</v>
      </c>
      <c r="I270">
        <v>2025</v>
      </c>
      <c r="J270">
        <v>11</v>
      </c>
      <c r="K270" t="s">
        <v>36</v>
      </c>
      <c r="L270">
        <v>0</v>
      </c>
      <c r="M270">
        <v>1</v>
      </c>
    </row>
    <row r="271" spans="1:13" x14ac:dyDescent="0.25">
      <c r="A271" t="s">
        <v>332</v>
      </c>
      <c r="B271" t="s">
        <v>77</v>
      </c>
      <c r="C271" t="s">
        <v>14</v>
      </c>
      <c r="D271" t="s">
        <v>22</v>
      </c>
      <c r="E271">
        <v>141</v>
      </c>
      <c r="F271">
        <v>1</v>
      </c>
      <c r="G271">
        <v>15</v>
      </c>
      <c r="H271" s="1">
        <v>45966</v>
      </c>
      <c r="I271">
        <v>2025</v>
      </c>
      <c r="J271">
        <v>11</v>
      </c>
      <c r="K271" t="s">
        <v>30</v>
      </c>
      <c r="L271">
        <v>1</v>
      </c>
      <c r="M271">
        <v>1</v>
      </c>
    </row>
    <row r="272" spans="1:13" x14ac:dyDescent="0.25">
      <c r="A272" t="s">
        <v>333</v>
      </c>
      <c r="B272" t="s">
        <v>70</v>
      </c>
      <c r="C272" t="s">
        <v>14</v>
      </c>
      <c r="D272" t="s">
        <v>15</v>
      </c>
      <c r="E272">
        <v>52</v>
      </c>
      <c r="F272" t="s">
        <v>21</v>
      </c>
      <c r="G272">
        <v>1400</v>
      </c>
      <c r="H272" s="1">
        <v>45966</v>
      </c>
      <c r="I272">
        <v>2025</v>
      </c>
      <c r="J272">
        <v>11</v>
      </c>
      <c r="K272" t="s">
        <v>26</v>
      </c>
      <c r="L272" t="s">
        <v>21</v>
      </c>
      <c r="M272">
        <v>1</v>
      </c>
    </row>
    <row r="273" spans="1:13" x14ac:dyDescent="0.25">
      <c r="A273" t="s">
        <v>334</v>
      </c>
      <c r="B273" t="s">
        <v>40</v>
      </c>
      <c r="C273" t="s">
        <v>14</v>
      </c>
      <c r="D273" t="s">
        <v>20</v>
      </c>
      <c r="E273" t="s">
        <v>21</v>
      </c>
      <c r="F273" t="s">
        <v>21</v>
      </c>
      <c r="G273">
        <v>5</v>
      </c>
      <c r="H273" s="1">
        <v>45966</v>
      </c>
      <c r="I273">
        <v>2025</v>
      </c>
      <c r="J273">
        <v>11</v>
      </c>
      <c r="K273" t="s">
        <v>16</v>
      </c>
      <c r="L273" t="s">
        <v>21</v>
      </c>
      <c r="M273">
        <v>0</v>
      </c>
    </row>
    <row r="274" spans="1:13" x14ac:dyDescent="0.25">
      <c r="A274" t="s">
        <v>335</v>
      </c>
      <c r="B274" t="s">
        <v>73</v>
      </c>
      <c r="C274" t="s">
        <v>14</v>
      </c>
      <c r="D274" t="s">
        <v>15</v>
      </c>
      <c r="E274" t="s">
        <v>21</v>
      </c>
      <c r="F274">
        <v>0.2</v>
      </c>
      <c r="G274">
        <v>3</v>
      </c>
      <c r="H274" s="1">
        <v>45966</v>
      </c>
      <c r="I274">
        <v>2025</v>
      </c>
      <c r="J274">
        <v>11</v>
      </c>
      <c r="K274" t="s">
        <v>16</v>
      </c>
      <c r="L274">
        <v>0</v>
      </c>
      <c r="M274">
        <v>1</v>
      </c>
    </row>
    <row r="275" spans="1:13" x14ac:dyDescent="0.25">
      <c r="A275" t="s">
        <v>336</v>
      </c>
      <c r="B275" t="s">
        <v>117</v>
      </c>
      <c r="C275" t="s">
        <v>48</v>
      </c>
      <c r="D275" t="s">
        <v>43</v>
      </c>
      <c r="E275">
        <v>350</v>
      </c>
      <c r="F275">
        <v>0.18</v>
      </c>
      <c r="G275">
        <v>357</v>
      </c>
      <c r="H275" s="1">
        <v>45965</v>
      </c>
      <c r="I275">
        <v>2025</v>
      </c>
      <c r="J275">
        <v>11</v>
      </c>
      <c r="K275" t="s">
        <v>36</v>
      </c>
      <c r="L275">
        <v>0</v>
      </c>
      <c r="M275">
        <v>1</v>
      </c>
    </row>
    <row r="276" spans="1:13" x14ac:dyDescent="0.25">
      <c r="A276" t="s">
        <v>337</v>
      </c>
      <c r="B276" t="s">
        <v>40</v>
      </c>
      <c r="C276" t="s">
        <v>83</v>
      </c>
      <c r="D276" t="s">
        <v>111</v>
      </c>
      <c r="E276">
        <v>165</v>
      </c>
      <c r="F276">
        <v>0.1</v>
      </c>
      <c r="G276">
        <v>724</v>
      </c>
      <c r="H276" s="1">
        <v>45959</v>
      </c>
      <c r="I276">
        <v>2025</v>
      </c>
      <c r="J276">
        <v>10</v>
      </c>
      <c r="K276" t="s">
        <v>36</v>
      </c>
      <c r="L276">
        <v>0</v>
      </c>
      <c r="M276">
        <v>1</v>
      </c>
    </row>
    <row r="277" spans="1:13" x14ac:dyDescent="0.25">
      <c r="A277" t="s">
        <v>240</v>
      </c>
      <c r="B277" t="s">
        <v>24</v>
      </c>
      <c r="C277" t="s">
        <v>14</v>
      </c>
      <c r="D277" t="s">
        <v>15</v>
      </c>
      <c r="E277">
        <v>14000</v>
      </c>
      <c r="F277">
        <v>0.01</v>
      </c>
      <c r="G277">
        <v>8100</v>
      </c>
      <c r="H277" s="1">
        <v>45957</v>
      </c>
      <c r="I277">
        <v>2025</v>
      </c>
      <c r="J277">
        <v>10</v>
      </c>
      <c r="K277" t="s">
        <v>26</v>
      </c>
      <c r="L277">
        <v>0</v>
      </c>
      <c r="M277">
        <v>1</v>
      </c>
    </row>
    <row r="278" spans="1:13" x14ac:dyDescent="0.25">
      <c r="A278" t="s">
        <v>338</v>
      </c>
      <c r="B278" t="s">
        <v>106</v>
      </c>
      <c r="C278" t="s">
        <v>14</v>
      </c>
      <c r="D278" t="s">
        <v>15</v>
      </c>
      <c r="E278">
        <v>388</v>
      </c>
      <c r="F278">
        <v>0.45</v>
      </c>
      <c r="G278">
        <v>227</v>
      </c>
      <c r="H278" s="1">
        <v>45957</v>
      </c>
      <c r="I278">
        <v>2025</v>
      </c>
      <c r="J278">
        <v>10</v>
      </c>
      <c r="K278" t="s">
        <v>36</v>
      </c>
      <c r="L278">
        <v>0</v>
      </c>
      <c r="M278">
        <v>1</v>
      </c>
    </row>
    <row r="279" spans="1:13" x14ac:dyDescent="0.25">
      <c r="A279" t="s">
        <v>118</v>
      </c>
      <c r="B279" t="s">
        <v>18</v>
      </c>
      <c r="C279" t="s">
        <v>29</v>
      </c>
      <c r="D279" t="s">
        <v>55</v>
      </c>
      <c r="E279">
        <v>85</v>
      </c>
      <c r="F279">
        <v>0.15</v>
      </c>
      <c r="G279">
        <v>335</v>
      </c>
      <c r="H279" s="1">
        <v>45957</v>
      </c>
      <c r="I279">
        <v>2025</v>
      </c>
      <c r="J279">
        <v>10</v>
      </c>
      <c r="K279" t="s">
        <v>36</v>
      </c>
      <c r="L279">
        <v>0</v>
      </c>
      <c r="M279">
        <v>1</v>
      </c>
    </row>
    <row r="280" spans="1:13" x14ac:dyDescent="0.25">
      <c r="A280" t="s">
        <v>339</v>
      </c>
      <c r="B280" t="s">
        <v>35</v>
      </c>
      <c r="C280" t="s">
        <v>14</v>
      </c>
      <c r="D280" t="s">
        <v>15</v>
      </c>
      <c r="E280">
        <v>60</v>
      </c>
      <c r="F280" t="s">
        <v>21</v>
      </c>
      <c r="G280">
        <v>5900</v>
      </c>
      <c r="H280" s="1">
        <v>45957</v>
      </c>
      <c r="I280">
        <v>2025</v>
      </c>
      <c r="J280">
        <v>10</v>
      </c>
      <c r="K280" t="s">
        <v>26</v>
      </c>
      <c r="L280" t="s">
        <v>21</v>
      </c>
      <c r="M280">
        <v>1</v>
      </c>
    </row>
    <row r="281" spans="1:13" x14ac:dyDescent="0.25">
      <c r="A281" t="s">
        <v>340</v>
      </c>
      <c r="B281" t="s">
        <v>54</v>
      </c>
      <c r="C281" t="s">
        <v>174</v>
      </c>
      <c r="D281" t="s">
        <v>46</v>
      </c>
      <c r="E281" t="s">
        <v>21</v>
      </c>
      <c r="F281">
        <v>0.2</v>
      </c>
      <c r="G281">
        <v>300</v>
      </c>
      <c r="H281" s="1">
        <v>45957</v>
      </c>
      <c r="I281">
        <v>2025</v>
      </c>
      <c r="J281">
        <v>10</v>
      </c>
      <c r="K281" t="s">
        <v>36</v>
      </c>
      <c r="L281">
        <v>0</v>
      </c>
      <c r="M281">
        <v>1</v>
      </c>
    </row>
    <row r="282" spans="1:13" x14ac:dyDescent="0.25">
      <c r="A282" t="s">
        <v>341</v>
      </c>
      <c r="B282" t="s">
        <v>342</v>
      </c>
      <c r="C282" t="s">
        <v>80</v>
      </c>
      <c r="D282" t="s">
        <v>33</v>
      </c>
      <c r="E282" t="s">
        <v>21</v>
      </c>
      <c r="F282">
        <v>0.33</v>
      </c>
      <c r="G282">
        <v>68</v>
      </c>
      <c r="H282" s="1">
        <v>45954</v>
      </c>
      <c r="I282">
        <v>2025</v>
      </c>
      <c r="J282">
        <v>10</v>
      </c>
      <c r="K282" t="s">
        <v>30</v>
      </c>
      <c r="L282">
        <v>0</v>
      </c>
      <c r="M282">
        <v>1</v>
      </c>
    </row>
    <row r="283" spans="1:13" x14ac:dyDescent="0.25">
      <c r="A283" t="s">
        <v>343</v>
      </c>
      <c r="B283" t="s">
        <v>102</v>
      </c>
      <c r="C283" t="s">
        <v>14</v>
      </c>
      <c r="D283" t="s">
        <v>15</v>
      </c>
      <c r="E283">
        <v>1400</v>
      </c>
      <c r="F283">
        <v>0.04</v>
      </c>
      <c r="G283">
        <v>2100</v>
      </c>
      <c r="H283" s="1">
        <v>45953</v>
      </c>
      <c r="I283">
        <v>2025</v>
      </c>
      <c r="J283">
        <v>10</v>
      </c>
      <c r="K283" t="s">
        <v>26</v>
      </c>
      <c r="L283">
        <v>0</v>
      </c>
      <c r="M283">
        <v>1</v>
      </c>
    </row>
    <row r="284" spans="1:13" x14ac:dyDescent="0.25">
      <c r="A284" t="s">
        <v>85</v>
      </c>
      <c r="B284" t="s">
        <v>66</v>
      </c>
      <c r="C284" t="s">
        <v>14</v>
      </c>
      <c r="D284" t="s">
        <v>15</v>
      </c>
      <c r="E284">
        <v>600</v>
      </c>
      <c r="F284">
        <v>0.04</v>
      </c>
      <c r="G284">
        <v>10700</v>
      </c>
      <c r="H284" s="1">
        <v>45953</v>
      </c>
      <c r="I284">
        <v>2025</v>
      </c>
      <c r="J284">
        <v>10</v>
      </c>
      <c r="K284" t="s">
        <v>26</v>
      </c>
      <c r="L284">
        <v>0</v>
      </c>
      <c r="M284">
        <v>1</v>
      </c>
    </row>
    <row r="285" spans="1:13" x14ac:dyDescent="0.25">
      <c r="A285" t="s">
        <v>295</v>
      </c>
      <c r="B285" t="s">
        <v>28</v>
      </c>
      <c r="C285" t="s">
        <v>14</v>
      </c>
      <c r="D285" t="s">
        <v>81</v>
      </c>
      <c r="E285">
        <v>200</v>
      </c>
      <c r="F285" t="s">
        <v>21</v>
      </c>
      <c r="G285">
        <v>547</v>
      </c>
      <c r="H285" s="1">
        <v>45953</v>
      </c>
      <c r="I285">
        <v>2025</v>
      </c>
      <c r="J285">
        <v>10</v>
      </c>
      <c r="K285" t="s">
        <v>36</v>
      </c>
      <c r="L285" t="s">
        <v>21</v>
      </c>
      <c r="M285">
        <v>1</v>
      </c>
    </row>
    <row r="286" spans="1:13" x14ac:dyDescent="0.25">
      <c r="A286" t="s">
        <v>344</v>
      </c>
      <c r="B286" t="s">
        <v>77</v>
      </c>
      <c r="C286" t="s">
        <v>14</v>
      </c>
      <c r="D286" t="s">
        <v>111</v>
      </c>
      <c r="E286">
        <v>50</v>
      </c>
      <c r="F286">
        <v>0.15</v>
      </c>
      <c r="G286">
        <v>449</v>
      </c>
      <c r="H286" s="1">
        <v>45953</v>
      </c>
      <c r="I286">
        <v>2025</v>
      </c>
      <c r="J286">
        <v>10</v>
      </c>
      <c r="K286" t="s">
        <v>36</v>
      </c>
      <c r="L286">
        <v>0</v>
      </c>
      <c r="M286">
        <v>1</v>
      </c>
    </row>
    <row r="287" spans="1:13" x14ac:dyDescent="0.25">
      <c r="A287" t="s">
        <v>131</v>
      </c>
      <c r="B287" t="s">
        <v>18</v>
      </c>
      <c r="C287" t="s">
        <v>14</v>
      </c>
      <c r="D287" t="s">
        <v>15</v>
      </c>
      <c r="E287">
        <v>600</v>
      </c>
      <c r="F287" t="s">
        <v>21</v>
      </c>
      <c r="G287">
        <v>26000</v>
      </c>
      <c r="H287" s="1">
        <v>45952</v>
      </c>
      <c r="I287">
        <v>2025</v>
      </c>
      <c r="J287">
        <v>10</v>
      </c>
      <c r="K287" t="s">
        <v>26</v>
      </c>
      <c r="L287" t="s">
        <v>21</v>
      </c>
      <c r="M287">
        <v>1</v>
      </c>
    </row>
    <row r="288" spans="1:13" x14ac:dyDescent="0.25">
      <c r="A288" t="s">
        <v>345</v>
      </c>
      <c r="B288" t="s">
        <v>18</v>
      </c>
      <c r="C288" t="s">
        <v>14</v>
      </c>
      <c r="D288" t="s">
        <v>68</v>
      </c>
      <c r="E288">
        <v>25</v>
      </c>
      <c r="F288">
        <v>0.5</v>
      </c>
      <c r="G288">
        <v>42</v>
      </c>
      <c r="H288" s="1">
        <v>45950</v>
      </c>
      <c r="I288">
        <v>2025</v>
      </c>
      <c r="J288">
        <v>10</v>
      </c>
      <c r="K288" t="s">
        <v>30</v>
      </c>
      <c r="L288">
        <v>0</v>
      </c>
      <c r="M288">
        <v>1</v>
      </c>
    </row>
    <row r="289" spans="1:13" x14ac:dyDescent="0.25">
      <c r="A289" t="s">
        <v>346</v>
      </c>
      <c r="B289" t="s">
        <v>24</v>
      </c>
      <c r="C289" t="s">
        <v>48</v>
      </c>
      <c r="D289" t="s">
        <v>347</v>
      </c>
      <c r="E289">
        <v>300</v>
      </c>
      <c r="F289">
        <v>0.05</v>
      </c>
      <c r="G289">
        <v>2600</v>
      </c>
      <c r="H289" s="1">
        <v>45948</v>
      </c>
      <c r="I289">
        <v>2025</v>
      </c>
      <c r="J289">
        <v>10</v>
      </c>
      <c r="K289" t="s">
        <v>26</v>
      </c>
      <c r="L289">
        <v>0</v>
      </c>
      <c r="M289">
        <v>1</v>
      </c>
    </row>
    <row r="290" spans="1:13" x14ac:dyDescent="0.25">
      <c r="A290" t="s">
        <v>348</v>
      </c>
      <c r="B290" t="s">
        <v>70</v>
      </c>
      <c r="C290" t="s">
        <v>14</v>
      </c>
      <c r="D290" t="s">
        <v>15</v>
      </c>
      <c r="E290">
        <v>247</v>
      </c>
      <c r="F290" t="s">
        <v>21</v>
      </c>
      <c r="G290" t="s">
        <v>21</v>
      </c>
      <c r="H290" s="1">
        <v>45947</v>
      </c>
      <c r="I290">
        <v>2025</v>
      </c>
      <c r="J290">
        <v>10</v>
      </c>
      <c r="K290" t="s">
        <v>22</v>
      </c>
      <c r="L290" t="s">
        <v>21</v>
      </c>
      <c r="M290">
        <v>1</v>
      </c>
    </row>
    <row r="291" spans="1:13" x14ac:dyDescent="0.25">
      <c r="A291" t="s">
        <v>349</v>
      </c>
      <c r="B291" t="s">
        <v>35</v>
      </c>
      <c r="C291" t="s">
        <v>14</v>
      </c>
      <c r="D291" t="s">
        <v>33</v>
      </c>
      <c r="E291" t="s">
        <v>21</v>
      </c>
      <c r="F291">
        <v>0.23</v>
      </c>
      <c r="G291">
        <v>133</v>
      </c>
      <c r="H291" s="1">
        <v>45947</v>
      </c>
      <c r="I291">
        <v>2025</v>
      </c>
      <c r="J291">
        <v>10</v>
      </c>
      <c r="K291" t="s">
        <v>36</v>
      </c>
      <c r="L291">
        <v>0</v>
      </c>
      <c r="M291">
        <v>1</v>
      </c>
    </row>
    <row r="292" spans="1:13" x14ac:dyDescent="0.25">
      <c r="A292" t="s">
        <v>156</v>
      </c>
      <c r="B292" t="s">
        <v>77</v>
      </c>
      <c r="C292" t="s">
        <v>14</v>
      </c>
      <c r="D292" t="s">
        <v>15</v>
      </c>
      <c r="E292" t="s">
        <v>21</v>
      </c>
      <c r="F292">
        <v>0.06</v>
      </c>
      <c r="G292">
        <v>280</v>
      </c>
      <c r="H292" s="1">
        <v>45945</v>
      </c>
      <c r="I292">
        <v>2025</v>
      </c>
      <c r="J292">
        <v>10</v>
      </c>
      <c r="K292" t="s">
        <v>36</v>
      </c>
      <c r="L292">
        <v>0</v>
      </c>
      <c r="M292">
        <v>1</v>
      </c>
    </row>
    <row r="293" spans="1:13" x14ac:dyDescent="0.25">
      <c r="A293" t="s">
        <v>350</v>
      </c>
      <c r="B293" t="s">
        <v>24</v>
      </c>
      <c r="C293" t="s">
        <v>14</v>
      </c>
      <c r="D293" t="s">
        <v>22</v>
      </c>
      <c r="E293" t="s">
        <v>21</v>
      </c>
      <c r="F293" t="s">
        <v>21</v>
      </c>
      <c r="G293">
        <v>381</v>
      </c>
      <c r="H293" s="1">
        <v>45945</v>
      </c>
      <c r="I293">
        <v>2025</v>
      </c>
      <c r="J293">
        <v>10</v>
      </c>
      <c r="K293" t="s">
        <v>36</v>
      </c>
      <c r="L293" t="s">
        <v>21</v>
      </c>
      <c r="M293">
        <v>0</v>
      </c>
    </row>
    <row r="294" spans="1:13" x14ac:dyDescent="0.25">
      <c r="A294" t="s">
        <v>351</v>
      </c>
      <c r="B294" t="s">
        <v>45</v>
      </c>
      <c r="C294" t="s">
        <v>14</v>
      </c>
      <c r="D294" t="s">
        <v>43</v>
      </c>
      <c r="E294">
        <v>100</v>
      </c>
      <c r="F294">
        <v>0.15</v>
      </c>
      <c r="G294">
        <v>434</v>
      </c>
      <c r="H294" s="1">
        <v>45944</v>
      </c>
      <c r="I294">
        <v>2025</v>
      </c>
      <c r="J294">
        <v>10</v>
      </c>
      <c r="K294" t="s">
        <v>36</v>
      </c>
      <c r="L294">
        <v>0</v>
      </c>
      <c r="M294">
        <v>1</v>
      </c>
    </row>
    <row r="295" spans="1:13" x14ac:dyDescent="0.25">
      <c r="A295" t="s">
        <v>267</v>
      </c>
      <c r="B295" t="s">
        <v>13</v>
      </c>
      <c r="C295" t="s">
        <v>14</v>
      </c>
      <c r="D295" t="s">
        <v>15</v>
      </c>
      <c r="E295">
        <v>120</v>
      </c>
      <c r="F295" t="s">
        <v>21</v>
      </c>
      <c r="G295">
        <v>152</v>
      </c>
      <c r="H295" s="1">
        <v>45932</v>
      </c>
      <c r="I295">
        <v>2025</v>
      </c>
      <c r="J295">
        <v>10</v>
      </c>
      <c r="K295" t="s">
        <v>36</v>
      </c>
      <c r="L295" t="s">
        <v>21</v>
      </c>
      <c r="M295">
        <v>1</v>
      </c>
    </row>
    <row r="296" spans="1:13" x14ac:dyDescent="0.25">
      <c r="A296" t="s">
        <v>108</v>
      </c>
      <c r="B296" t="s">
        <v>18</v>
      </c>
      <c r="C296" t="s">
        <v>14</v>
      </c>
      <c r="D296" t="s">
        <v>15</v>
      </c>
      <c r="E296">
        <v>50</v>
      </c>
      <c r="F296" t="s">
        <v>21</v>
      </c>
      <c r="G296">
        <v>26</v>
      </c>
      <c r="H296" s="1">
        <v>45932</v>
      </c>
      <c r="I296">
        <v>2025</v>
      </c>
      <c r="J296">
        <v>10</v>
      </c>
      <c r="K296" t="s">
        <v>30</v>
      </c>
      <c r="L296" t="s">
        <v>21</v>
      </c>
      <c r="M296">
        <v>1</v>
      </c>
    </row>
    <row r="297" spans="1:13" x14ac:dyDescent="0.25">
      <c r="A297" t="s">
        <v>352</v>
      </c>
      <c r="B297" t="s">
        <v>40</v>
      </c>
      <c r="C297" t="s">
        <v>14</v>
      </c>
      <c r="D297" t="s">
        <v>15</v>
      </c>
      <c r="E297">
        <v>500</v>
      </c>
      <c r="F297" t="s">
        <v>21</v>
      </c>
      <c r="G297" t="s">
        <v>21</v>
      </c>
      <c r="H297" s="1">
        <v>45931</v>
      </c>
      <c r="I297">
        <v>2025</v>
      </c>
      <c r="J297">
        <v>10</v>
      </c>
      <c r="K297" t="s">
        <v>22</v>
      </c>
      <c r="L297" t="s">
        <v>21</v>
      </c>
      <c r="M297">
        <v>1</v>
      </c>
    </row>
    <row r="298" spans="1:13" x14ac:dyDescent="0.25">
      <c r="A298" t="s">
        <v>108</v>
      </c>
      <c r="B298" t="s">
        <v>18</v>
      </c>
      <c r="C298" t="s">
        <v>14</v>
      </c>
      <c r="D298" t="s">
        <v>15</v>
      </c>
      <c r="E298">
        <v>100</v>
      </c>
      <c r="F298" t="s">
        <v>21</v>
      </c>
      <c r="G298">
        <v>26</v>
      </c>
      <c r="H298" s="1">
        <v>45931</v>
      </c>
      <c r="I298">
        <v>2025</v>
      </c>
      <c r="J298">
        <v>10</v>
      </c>
      <c r="K298" t="s">
        <v>30</v>
      </c>
      <c r="L298" t="s">
        <v>21</v>
      </c>
      <c r="M298">
        <v>1</v>
      </c>
    </row>
    <row r="299" spans="1:13" x14ac:dyDescent="0.25">
      <c r="A299" t="s">
        <v>353</v>
      </c>
      <c r="B299" t="s">
        <v>77</v>
      </c>
      <c r="C299" t="s">
        <v>48</v>
      </c>
      <c r="D299" t="s">
        <v>33</v>
      </c>
      <c r="E299">
        <v>80</v>
      </c>
      <c r="F299" t="s">
        <v>21</v>
      </c>
      <c r="G299">
        <v>72</v>
      </c>
      <c r="H299" s="1">
        <v>45931</v>
      </c>
      <c r="I299">
        <v>2025</v>
      </c>
      <c r="J299">
        <v>10</v>
      </c>
      <c r="K299" t="s">
        <v>30</v>
      </c>
      <c r="L299" t="s">
        <v>21</v>
      </c>
      <c r="M299">
        <v>1</v>
      </c>
    </row>
    <row r="300" spans="1:13" x14ac:dyDescent="0.25">
      <c r="A300" t="s">
        <v>354</v>
      </c>
      <c r="B300" t="s">
        <v>95</v>
      </c>
      <c r="C300" t="s">
        <v>74</v>
      </c>
      <c r="D300" t="s">
        <v>20</v>
      </c>
      <c r="E300">
        <v>450</v>
      </c>
      <c r="F300">
        <v>0.05</v>
      </c>
      <c r="G300">
        <v>129</v>
      </c>
      <c r="H300" s="1">
        <v>45925</v>
      </c>
      <c r="I300">
        <v>2025</v>
      </c>
      <c r="J300">
        <v>9</v>
      </c>
      <c r="K300" t="s">
        <v>36</v>
      </c>
      <c r="L300">
        <v>0</v>
      </c>
      <c r="M300">
        <v>1</v>
      </c>
    </row>
    <row r="301" spans="1:13" x14ac:dyDescent="0.25">
      <c r="A301" t="s">
        <v>355</v>
      </c>
      <c r="B301" t="s">
        <v>77</v>
      </c>
      <c r="C301" t="s">
        <v>356</v>
      </c>
      <c r="D301" t="s">
        <v>22</v>
      </c>
      <c r="E301">
        <v>280</v>
      </c>
      <c r="F301" t="s">
        <v>21</v>
      </c>
      <c r="G301" t="s">
        <v>21</v>
      </c>
      <c r="H301" s="1">
        <v>45923</v>
      </c>
      <c r="I301">
        <v>2025</v>
      </c>
      <c r="J301">
        <v>9</v>
      </c>
      <c r="K301" t="s">
        <v>22</v>
      </c>
      <c r="L301" t="s">
        <v>21</v>
      </c>
      <c r="M301">
        <v>1</v>
      </c>
    </row>
    <row r="302" spans="1:13" x14ac:dyDescent="0.25">
      <c r="A302" t="s">
        <v>330</v>
      </c>
      <c r="B302" t="s">
        <v>18</v>
      </c>
      <c r="C302" t="s">
        <v>48</v>
      </c>
      <c r="D302" t="s">
        <v>22</v>
      </c>
      <c r="E302">
        <v>120</v>
      </c>
      <c r="F302" t="s">
        <v>21</v>
      </c>
      <c r="G302" t="s">
        <v>21</v>
      </c>
      <c r="H302" s="1">
        <v>45918</v>
      </c>
      <c r="I302">
        <v>2025</v>
      </c>
      <c r="J302">
        <v>9</v>
      </c>
      <c r="K302" t="s">
        <v>22</v>
      </c>
      <c r="L302" t="s">
        <v>21</v>
      </c>
      <c r="M302">
        <v>1</v>
      </c>
    </row>
    <row r="303" spans="1:13" x14ac:dyDescent="0.25">
      <c r="A303" t="s">
        <v>357</v>
      </c>
      <c r="B303" t="s">
        <v>45</v>
      </c>
      <c r="C303" t="s">
        <v>14</v>
      </c>
      <c r="D303" t="s">
        <v>15</v>
      </c>
      <c r="E303">
        <v>80</v>
      </c>
      <c r="F303" t="s">
        <v>21</v>
      </c>
      <c r="G303">
        <v>769</v>
      </c>
      <c r="H303" s="1">
        <v>45916</v>
      </c>
      <c r="I303">
        <v>2025</v>
      </c>
      <c r="J303">
        <v>9</v>
      </c>
      <c r="K303" t="s">
        <v>36</v>
      </c>
      <c r="L303" t="s">
        <v>21</v>
      </c>
      <c r="M303">
        <v>1</v>
      </c>
    </row>
    <row r="304" spans="1:13" x14ac:dyDescent="0.25">
      <c r="A304" t="s">
        <v>358</v>
      </c>
      <c r="B304" t="s">
        <v>13</v>
      </c>
      <c r="C304" t="s">
        <v>29</v>
      </c>
      <c r="D304" t="s">
        <v>15</v>
      </c>
      <c r="E304">
        <v>250</v>
      </c>
      <c r="F304">
        <v>0.3</v>
      </c>
      <c r="G304">
        <v>111</v>
      </c>
      <c r="H304" s="1">
        <v>45915</v>
      </c>
      <c r="I304">
        <v>2025</v>
      </c>
      <c r="J304">
        <v>9</v>
      </c>
      <c r="K304" t="s">
        <v>36</v>
      </c>
      <c r="L304">
        <v>0</v>
      </c>
      <c r="M304">
        <v>1</v>
      </c>
    </row>
    <row r="305" spans="1:13" x14ac:dyDescent="0.25">
      <c r="A305" t="s">
        <v>359</v>
      </c>
      <c r="B305" t="s">
        <v>77</v>
      </c>
      <c r="C305" t="s">
        <v>29</v>
      </c>
      <c r="D305" t="s">
        <v>68</v>
      </c>
      <c r="E305" t="s">
        <v>21</v>
      </c>
      <c r="F305" t="s">
        <v>21</v>
      </c>
      <c r="G305">
        <v>58</v>
      </c>
      <c r="H305" s="1">
        <v>45914</v>
      </c>
      <c r="I305">
        <v>2025</v>
      </c>
      <c r="J305">
        <v>9</v>
      </c>
      <c r="K305" t="s">
        <v>30</v>
      </c>
      <c r="L305" t="s">
        <v>21</v>
      </c>
      <c r="M305">
        <v>0</v>
      </c>
    </row>
    <row r="306" spans="1:13" x14ac:dyDescent="0.25">
      <c r="A306" t="s">
        <v>360</v>
      </c>
      <c r="B306" t="s">
        <v>18</v>
      </c>
      <c r="C306" t="s">
        <v>48</v>
      </c>
      <c r="D306" t="s">
        <v>22</v>
      </c>
      <c r="E306" t="s">
        <v>21</v>
      </c>
      <c r="F306">
        <v>1</v>
      </c>
      <c r="G306">
        <v>261</v>
      </c>
      <c r="H306" s="1">
        <v>45913</v>
      </c>
      <c r="I306">
        <v>2025</v>
      </c>
      <c r="J306">
        <v>9</v>
      </c>
      <c r="K306" t="s">
        <v>36</v>
      </c>
      <c r="L306">
        <v>1</v>
      </c>
      <c r="M306">
        <v>1</v>
      </c>
    </row>
    <row r="307" spans="1:13" x14ac:dyDescent="0.25">
      <c r="A307" t="s">
        <v>361</v>
      </c>
      <c r="B307" t="s">
        <v>93</v>
      </c>
      <c r="C307" t="s">
        <v>14</v>
      </c>
      <c r="D307" t="s">
        <v>22</v>
      </c>
      <c r="E307">
        <v>500</v>
      </c>
      <c r="F307" t="s">
        <v>21</v>
      </c>
      <c r="G307">
        <v>22700</v>
      </c>
      <c r="H307" s="1">
        <v>45912</v>
      </c>
      <c r="I307">
        <v>2025</v>
      </c>
      <c r="J307">
        <v>9</v>
      </c>
      <c r="K307" t="s">
        <v>26</v>
      </c>
      <c r="L307" t="s">
        <v>21</v>
      </c>
      <c r="M307">
        <v>1</v>
      </c>
    </row>
    <row r="308" spans="1:13" x14ac:dyDescent="0.25">
      <c r="A308" t="s">
        <v>271</v>
      </c>
      <c r="B308" t="s">
        <v>18</v>
      </c>
      <c r="C308" t="s">
        <v>48</v>
      </c>
      <c r="D308" t="s">
        <v>33</v>
      </c>
      <c r="E308">
        <v>170</v>
      </c>
      <c r="F308">
        <v>0.3</v>
      </c>
      <c r="G308">
        <v>121</v>
      </c>
      <c r="H308" s="1">
        <v>45911</v>
      </c>
      <c r="I308">
        <v>2025</v>
      </c>
      <c r="J308">
        <v>9</v>
      </c>
      <c r="K308" t="s">
        <v>36</v>
      </c>
      <c r="L308">
        <v>0</v>
      </c>
      <c r="M308">
        <v>1</v>
      </c>
    </row>
    <row r="309" spans="1:13" x14ac:dyDescent="0.25">
      <c r="A309" t="s">
        <v>233</v>
      </c>
      <c r="B309" t="s">
        <v>13</v>
      </c>
      <c r="C309" t="s">
        <v>42</v>
      </c>
      <c r="D309" t="s">
        <v>15</v>
      </c>
      <c r="E309">
        <v>200</v>
      </c>
      <c r="F309" t="s">
        <v>21</v>
      </c>
      <c r="G309">
        <v>210</v>
      </c>
      <c r="H309" s="1">
        <v>45910</v>
      </c>
      <c r="I309">
        <v>2025</v>
      </c>
      <c r="J309">
        <v>9</v>
      </c>
      <c r="K309" t="s">
        <v>36</v>
      </c>
      <c r="L309" t="s">
        <v>21</v>
      </c>
      <c r="M309">
        <v>1</v>
      </c>
    </row>
    <row r="310" spans="1:13" x14ac:dyDescent="0.25">
      <c r="A310" t="s">
        <v>362</v>
      </c>
      <c r="B310" t="s">
        <v>38</v>
      </c>
      <c r="C310" t="s">
        <v>14</v>
      </c>
      <c r="D310" t="s">
        <v>111</v>
      </c>
      <c r="E310">
        <v>22</v>
      </c>
      <c r="F310" t="s">
        <v>21</v>
      </c>
      <c r="G310">
        <v>569</v>
      </c>
      <c r="H310" s="1">
        <v>45910</v>
      </c>
      <c r="I310">
        <v>2025</v>
      </c>
      <c r="J310">
        <v>9</v>
      </c>
      <c r="K310" t="s">
        <v>36</v>
      </c>
      <c r="L310" t="s">
        <v>21</v>
      </c>
      <c r="M310">
        <v>1</v>
      </c>
    </row>
    <row r="311" spans="1:13" x14ac:dyDescent="0.25">
      <c r="A311" t="s">
        <v>12</v>
      </c>
      <c r="B311" t="s">
        <v>13</v>
      </c>
      <c r="C311" t="s">
        <v>14</v>
      </c>
      <c r="D311" t="s">
        <v>15</v>
      </c>
      <c r="E311">
        <v>42</v>
      </c>
      <c r="F311" t="s">
        <v>21</v>
      </c>
      <c r="G311">
        <v>1</v>
      </c>
      <c r="H311" s="1">
        <v>45908</v>
      </c>
      <c r="I311">
        <v>2025</v>
      </c>
      <c r="J311">
        <v>9</v>
      </c>
      <c r="K311" t="s">
        <v>16</v>
      </c>
      <c r="L311" t="s">
        <v>21</v>
      </c>
      <c r="M311">
        <v>1</v>
      </c>
    </row>
    <row r="312" spans="1:13" x14ac:dyDescent="0.25">
      <c r="A312" t="s">
        <v>85</v>
      </c>
      <c r="B312" t="s">
        <v>66</v>
      </c>
      <c r="C312" t="s">
        <v>14</v>
      </c>
      <c r="D312" t="s">
        <v>15</v>
      </c>
      <c r="E312">
        <v>200</v>
      </c>
      <c r="F312">
        <v>0.01</v>
      </c>
      <c r="G312">
        <v>10700</v>
      </c>
      <c r="H312" s="1">
        <v>45905</v>
      </c>
      <c r="I312">
        <v>2025</v>
      </c>
      <c r="J312">
        <v>9</v>
      </c>
      <c r="K312" t="s">
        <v>26</v>
      </c>
      <c r="L312">
        <v>0</v>
      </c>
      <c r="M312">
        <v>1</v>
      </c>
    </row>
    <row r="313" spans="1:13" x14ac:dyDescent="0.25">
      <c r="A313" t="s">
        <v>363</v>
      </c>
      <c r="B313" t="s">
        <v>217</v>
      </c>
      <c r="C313" t="s">
        <v>14</v>
      </c>
      <c r="D313" t="s">
        <v>33</v>
      </c>
      <c r="E313" t="s">
        <v>21</v>
      </c>
      <c r="F313" t="s">
        <v>21</v>
      </c>
      <c r="G313">
        <v>45</v>
      </c>
      <c r="H313" s="1">
        <v>45905</v>
      </c>
      <c r="I313">
        <v>2025</v>
      </c>
      <c r="J313">
        <v>9</v>
      </c>
      <c r="K313" t="s">
        <v>30</v>
      </c>
      <c r="L313" t="s">
        <v>21</v>
      </c>
      <c r="M313">
        <v>0</v>
      </c>
    </row>
    <row r="314" spans="1:13" x14ac:dyDescent="0.25">
      <c r="A314" t="s">
        <v>364</v>
      </c>
      <c r="B314" t="s">
        <v>18</v>
      </c>
      <c r="C314" t="s">
        <v>48</v>
      </c>
      <c r="D314" t="s">
        <v>81</v>
      </c>
      <c r="E314">
        <v>500</v>
      </c>
      <c r="F314" t="s">
        <v>21</v>
      </c>
      <c r="G314">
        <v>74</v>
      </c>
      <c r="H314" s="1">
        <v>45904</v>
      </c>
      <c r="I314">
        <v>2025</v>
      </c>
      <c r="J314">
        <v>9</v>
      </c>
      <c r="K314" t="s">
        <v>30</v>
      </c>
      <c r="L314" t="s">
        <v>21</v>
      </c>
      <c r="M314">
        <v>1</v>
      </c>
    </row>
    <row r="315" spans="1:13" x14ac:dyDescent="0.25">
      <c r="A315" t="s">
        <v>98</v>
      </c>
      <c r="B315" t="s">
        <v>99</v>
      </c>
      <c r="C315" t="s">
        <v>14</v>
      </c>
      <c r="D315" t="s">
        <v>15</v>
      </c>
      <c r="E315">
        <v>262</v>
      </c>
      <c r="F315" t="s">
        <v>21</v>
      </c>
      <c r="G315">
        <v>65</v>
      </c>
      <c r="H315" s="1">
        <v>45904</v>
      </c>
      <c r="I315">
        <v>2025</v>
      </c>
      <c r="J315">
        <v>9</v>
      </c>
      <c r="K315" t="s">
        <v>30</v>
      </c>
      <c r="L315" t="s">
        <v>21</v>
      </c>
      <c r="M315">
        <v>1</v>
      </c>
    </row>
    <row r="316" spans="1:13" x14ac:dyDescent="0.25">
      <c r="A316" t="s">
        <v>60</v>
      </c>
      <c r="B316" t="s">
        <v>13</v>
      </c>
      <c r="C316" t="s">
        <v>14</v>
      </c>
      <c r="D316" t="s">
        <v>15</v>
      </c>
      <c r="E316">
        <v>254</v>
      </c>
      <c r="F316" t="s">
        <v>21</v>
      </c>
      <c r="G316" t="s">
        <v>21</v>
      </c>
      <c r="H316" s="1">
        <v>45904</v>
      </c>
      <c r="I316">
        <v>2025</v>
      </c>
      <c r="J316">
        <v>9</v>
      </c>
      <c r="K316" t="s">
        <v>22</v>
      </c>
      <c r="L316" t="s">
        <v>21</v>
      </c>
      <c r="M316">
        <v>1</v>
      </c>
    </row>
    <row r="317" spans="1:13" x14ac:dyDescent="0.25">
      <c r="A317" t="s">
        <v>365</v>
      </c>
      <c r="B317" t="s">
        <v>13</v>
      </c>
      <c r="C317" t="s">
        <v>48</v>
      </c>
      <c r="D317" t="s">
        <v>43</v>
      </c>
      <c r="E317">
        <v>100</v>
      </c>
      <c r="F317" t="s">
        <v>21</v>
      </c>
      <c r="G317">
        <v>484</v>
      </c>
      <c r="H317" s="1">
        <v>45904</v>
      </c>
      <c r="I317">
        <v>2025</v>
      </c>
      <c r="J317">
        <v>9</v>
      </c>
      <c r="K317" t="s">
        <v>36</v>
      </c>
      <c r="L317" t="s">
        <v>21</v>
      </c>
      <c r="M317">
        <v>1</v>
      </c>
    </row>
    <row r="318" spans="1:13" x14ac:dyDescent="0.25">
      <c r="A318" t="s">
        <v>366</v>
      </c>
      <c r="B318" t="s">
        <v>18</v>
      </c>
      <c r="C318" t="s">
        <v>48</v>
      </c>
      <c r="D318" t="s">
        <v>22</v>
      </c>
      <c r="E318">
        <v>50</v>
      </c>
      <c r="F318" t="s">
        <v>21</v>
      </c>
      <c r="G318">
        <v>59</v>
      </c>
      <c r="H318" s="1">
        <v>45904</v>
      </c>
      <c r="I318">
        <v>2025</v>
      </c>
      <c r="J318">
        <v>9</v>
      </c>
      <c r="K318" t="s">
        <v>30</v>
      </c>
      <c r="L318" t="s">
        <v>21</v>
      </c>
      <c r="M318">
        <v>1</v>
      </c>
    </row>
    <row r="319" spans="1:13" x14ac:dyDescent="0.25">
      <c r="A319" t="s">
        <v>60</v>
      </c>
      <c r="B319" t="s">
        <v>13</v>
      </c>
      <c r="C319" t="s">
        <v>14</v>
      </c>
      <c r="D319" t="s">
        <v>15</v>
      </c>
      <c r="E319">
        <v>101</v>
      </c>
      <c r="F319" t="s">
        <v>21</v>
      </c>
      <c r="G319" t="s">
        <v>21</v>
      </c>
      <c r="H319" s="1">
        <v>45903</v>
      </c>
      <c r="I319">
        <v>2025</v>
      </c>
      <c r="J319">
        <v>9</v>
      </c>
      <c r="K319" t="s">
        <v>22</v>
      </c>
      <c r="L319" t="s">
        <v>21</v>
      </c>
      <c r="M319">
        <v>1</v>
      </c>
    </row>
    <row r="320" spans="1:13" x14ac:dyDescent="0.25">
      <c r="A320" t="s">
        <v>98</v>
      </c>
      <c r="B320" t="s">
        <v>99</v>
      </c>
      <c r="C320" t="s">
        <v>14</v>
      </c>
      <c r="D320" t="s">
        <v>15</v>
      </c>
      <c r="E320">
        <v>93</v>
      </c>
      <c r="F320" t="s">
        <v>21</v>
      </c>
      <c r="G320">
        <v>65</v>
      </c>
      <c r="H320" s="1">
        <v>45903</v>
      </c>
      <c r="I320">
        <v>2025</v>
      </c>
      <c r="J320">
        <v>9</v>
      </c>
      <c r="K320" t="s">
        <v>30</v>
      </c>
      <c r="L320" t="s">
        <v>21</v>
      </c>
      <c r="M320">
        <v>1</v>
      </c>
    </row>
    <row r="321" spans="1:13" x14ac:dyDescent="0.25">
      <c r="A321" t="s">
        <v>98</v>
      </c>
      <c r="B321" t="s">
        <v>99</v>
      </c>
      <c r="C321" t="s">
        <v>14</v>
      </c>
      <c r="D321" t="s">
        <v>15</v>
      </c>
      <c r="E321">
        <v>30</v>
      </c>
      <c r="F321" t="s">
        <v>21</v>
      </c>
      <c r="G321">
        <v>65</v>
      </c>
      <c r="H321" s="1">
        <v>45903</v>
      </c>
      <c r="I321">
        <v>2025</v>
      </c>
      <c r="J321">
        <v>9</v>
      </c>
      <c r="K321" t="s">
        <v>30</v>
      </c>
      <c r="L321" t="s">
        <v>21</v>
      </c>
      <c r="M321">
        <v>1</v>
      </c>
    </row>
    <row r="322" spans="1:13" x14ac:dyDescent="0.25">
      <c r="A322" t="s">
        <v>367</v>
      </c>
      <c r="B322" t="s">
        <v>13</v>
      </c>
      <c r="C322" t="s">
        <v>29</v>
      </c>
      <c r="D322" t="s">
        <v>49</v>
      </c>
      <c r="E322" t="s">
        <v>21</v>
      </c>
      <c r="F322">
        <v>1</v>
      </c>
      <c r="G322">
        <v>7</v>
      </c>
      <c r="H322" s="1">
        <v>45903</v>
      </c>
      <c r="I322">
        <v>2025</v>
      </c>
      <c r="J322">
        <v>9</v>
      </c>
      <c r="K322" t="s">
        <v>16</v>
      </c>
      <c r="L322">
        <v>1</v>
      </c>
      <c r="M322">
        <v>1</v>
      </c>
    </row>
    <row r="323" spans="1:13" x14ac:dyDescent="0.25">
      <c r="A323" t="s">
        <v>368</v>
      </c>
      <c r="B323" t="s">
        <v>13</v>
      </c>
      <c r="C323" t="s">
        <v>29</v>
      </c>
      <c r="D323" t="s">
        <v>49</v>
      </c>
      <c r="E323" t="s">
        <v>21</v>
      </c>
      <c r="F323">
        <v>1</v>
      </c>
      <c r="G323">
        <v>7</v>
      </c>
      <c r="H323" s="1">
        <v>45903</v>
      </c>
      <c r="I323">
        <v>2025</v>
      </c>
      <c r="J323">
        <v>9</v>
      </c>
      <c r="K323" t="s">
        <v>16</v>
      </c>
      <c r="L323">
        <v>1</v>
      </c>
      <c r="M323">
        <v>1</v>
      </c>
    </row>
    <row r="324" spans="1:13" x14ac:dyDescent="0.25">
      <c r="A324" t="s">
        <v>210</v>
      </c>
      <c r="B324" t="s">
        <v>18</v>
      </c>
      <c r="C324" t="s">
        <v>14</v>
      </c>
      <c r="D324" t="s">
        <v>15</v>
      </c>
      <c r="E324" t="s">
        <v>21</v>
      </c>
      <c r="F324">
        <v>0.1</v>
      </c>
      <c r="G324">
        <v>450</v>
      </c>
      <c r="H324" s="1">
        <v>45903</v>
      </c>
      <c r="I324">
        <v>2025</v>
      </c>
      <c r="J324">
        <v>9</v>
      </c>
      <c r="K324" t="s">
        <v>36</v>
      </c>
      <c r="L324">
        <v>0</v>
      </c>
      <c r="M324">
        <v>1</v>
      </c>
    </row>
    <row r="325" spans="1:13" x14ac:dyDescent="0.25">
      <c r="A325" t="s">
        <v>60</v>
      </c>
      <c r="B325" t="s">
        <v>13</v>
      </c>
      <c r="C325" t="s">
        <v>14</v>
      </c>
      <c r="D325" t="s">
        <v>15</v>
      </c>
      <c r="E325" t="s">
        <v>21</v>
      </c>
      <c r="F325" t="s">
        <v>21</v>
      </c>
      <c r="G325" t="s">
        <v>21</v>
      </c>
      <c r="H325" s="1">
        <v>45902</v>
      </c>
      <c r="I325">
        <v>2025</v>
      </c>
      <c r="J325">
        <v>9</v>
      </c>
      <c r="K325" t="s">
        <v>22</v>
      </c>
      <c r="L325" t="s">
        <v>21</v>
      </c>
      <c r="M325">
        <v>0</v>
      </c>
    </row>
    <row r="326" spans="1:13" x14ac:dyDescent="0.25">
      <c r="A326" t="s">
        <v>369</v>
      </c>
      <c r="B326" t="s">
        <v>18</v>
      </c>
      <c r="C326" t="s">
        <v>48</v>
      </c>
      <c r="D326" t="s">
        <v>22</v>
      </c>
      <c r="E326">
        <v>400</v>
      </c>
      <c r="F326" t="s">
        <v>21</v>
      </c>
      <c r="G326">
        <v>75</v>
      </c>
      <c r="H326" s="1">
        <v>45901</v>
      </c>
      <c r="I326">
        <v>2025</v>
      </c>
      <c r="J326">
        <v>9</v>
      </c>
      <c r="K326" t="s">
        <v>30</v>
      </c>
      <c r="L326" t="s">
        <v>21</v>
      </c>
      <c r="M326">
        <v>1</v>
      </c>
    </row>
    <row r="327" spans="1:13" x14ac:dyDescent="0.25">
      <c r="A327" t="s">
        <v>370</v>
      </c>
      <c r="B327" t="s">
        <v>18</v>
      </c>
      <c r="C327" t="s">
        <v>48</v>
      </c>
      <c r="D327" t="s">
        <v>111</v>
      </c>
      <c r="E327">
        <v>300</v>
      </c>
      <c r="F327" t="s">
        <v>21</v>
      </c>
      <c r="G327">
        <v>375</v>
      </c>
      <c r="H327" s="1">
        <v>45901</v>
      </c>
      <c r="I327">
        <v>2025</v>
      </c>
      <c r="J327">
        <v>9</v>
      </c>
      <c r="K327" t="s">
        <v>36</v>
      </c>
      <c r="L327" t="s">
        <v>21</v>
      </c>
      <c r="M327">
        <v>1</v>
      </c>
    </row>
    <row r="328" spans="1:13" x14ac:dyDescent="0.25">
      <c r="A328" t="s">
        <v>371</v>
      </c>
      <c r="B328" t="s">
        <v>93</v>
      </c>
      <c r="C328" t="s">
        <v>48</v>
      </c>
      <c r="D328" t="s">
        <v>22</v>
      </c>
      <c r="E328">
        <v>50</v>
      </c>
      <c r="F328" t="s">
        <v>21</v>
      </c>
      <c r="G328">
        <v>304</v>
      </c>
      <c r="H328" s="1">
        <v>45901</v>
      </c>
      <c r="I328">
        <v>2025</v>
      </c>
      <c r="J328">
        <v>9</v>
      </c>
      <c r="K328" t="s">
        <v>36</v>
      </c>
      <c r="L328" t="s">
        <v>21</v>
      </c>
      <c r="M328">
        <v>1</v>
      </c>
    </row>
    <row r="329" spans="1:13" x14ac:dyDescent="0.25">
      <c r="A329" t="s">
        <v>98</v>
      </c>
      <c r="B329" t="s">
        <v>99</v>
      </c>
      <c r="C329" t="s">
        <v>14</v>
      </c>
      <c r="D329" t="s">
        <v>15</v>
      </c>
      <c r="E329">
        <v>4000</v>
      </c>
      <c r="F329" t="s">
        <v>21</v>
      </c>
      <c r="G329">
        <v>65</v>
      </c>
      <c r="H329" s="1">
        <v>45900</v>
      </c>
      <c r="I329">
        <v>2025</v>
      </c>
      <c r="J329">
        <v>8</v>
      </c>
      <c r="K329" t="s">
        <v>30</v>
      </c>
      <c r="L329" t="s">
        <v>21</v>
      </c>
      <c r="M329">
        <v>1</v>
      </c>
    </row>
    <row r="330" spans="1:13" x14ac:dyDescent="0.25">
      <c r="A330" t="s">
        <v>372</v>
      </c>
      <c r="B330" t="s">
        <v>18</v>
      </c>
      <c r="C330" t="s">
        <v>14</v>
      </c>
      <c r="D330" t="s">
        <v>46</v>
      </c>
      <c r="E330" t="s">
        <v>21</v>
      </c>
      <c r="F330">
        <v>1</v>
      </c>
      <c r="G330">
        <v>294</v>
      </c>
      <c r="H330" s="1">
        <v>45898</v>
      </c>
      <c r="I330">
        <v>2025</v>
      </c>
      <c r="J330">
        <v>8</v>
      </c>
      <c r="K330" t="s">
        <v>36</v>
      </c>
      <c r="L330">
        <v>1</v>
      </c>
      <c r="M330">
        <v>1</v>
      </c>
    </row>
    <row r="331" spans="1:13" x14ac:dyDescent="0.25">
      <c r="A331" t="s">
        <v>214</v>
      </c>
      <c r="B331" t="s">
        <v>18</v>
      </c>
      <c r="C331" t="s">
        <v>14</v>
      </c>
      <c r="D331" t="s">
        <v>43</v>
      </c>
      <c r="E331">
        <v>141</v>
      </c>
      <c r="F331" t="s">
        <v>21</v>
      </c>
      <c r="G331">
        <v>294</v>
      </c>
      <c r="H331" s="1">
        <v>45896</v>
      </c>
      <c r="I331">
        <v>2025</v>
      </c>
      <c r="J331">
        <v>8</v>
      </c>
      <c r="K331" t="s">
        <v>36</v>
      </c>
      <c r="L331" t="s">
        <v>21</v>
      </c>
      <c r="M331">
        <v>1</v>
      </c>
    </row>
    <row r="332" spans="1:13" x14ac:dyDescent="0.25">
      <c r="A332" t="s">
        <v>100</v>
      </c>
      <c r="B332" t="s">
        <v>35</v>
      </c>
      <c r="C332" t="s">
        <v>14</v>
      </c>
      <c r="D332" t="s">
        <v>97</v>
      </c>
      <c r="E332" t="s">
        <v>21</v>
      </c>
      <c r="F332" t="s">
        <v>21</v>
      </c>
      <c r="G332">
        <v>3500</v>
      </c>
      <c r="H332" s="1">
        <v>45895</v>
      </c>
      <c r="I332">
        <v>2025</v>
      </c>
      <c r="J332">
        <v>8</v>
      </c>
      <c r="K332" t="s">
        <v>26</v>
      </c>
      <c r="L332" t="s">
        <v>21</v>
      </c>
      <c r="M332">
        <v>0</v>
      </c>
    </row>
    <row r="333" spans="1:13" x14ac:dyDescent="0.25">
      <c r="A333" t="s">
        <v>373</v>
      </c>
      <c r="B333" t="s">
        <v>54</v>
      </c>
      <c r="C333" t="s">
        <v>14</v>
      </c>
      <c r="D333" t="s">
        <v>22</v>
      </c>
      <c r="E333" t="s">
        <v>21</v>
      </c>
      <c r="F333" t="s">
        <v>21</v>
      </c>
      <c r="G333">
        <v>778</v>
      </c>
      <c r="H333" s="1">
        <v>45894</v>
      </c>
      <c r="I333">
        <v>2025</v>
      </c>
      <c r="J333">
        <v>8</v>
      </c>
      <c r="K333" t="s">
        <v>36</v>
      </c>
      <c r="L333" t="s">
        <v>21</v>
      </c>
      <c r="M333">
        <v>0</v>
      </c>
    </row>
    <row r="334" spans="1:13" x14ac:dyDescent="0.25">
      <c r="A334" t="s">
        <v>374</v>
      </c>
      <c r="B334" t="s">
        <v>24</v>
      </c>
      <c r="C334" t="s">
        <v>48</v>
      </c>
      <c r="D334" t="s">
        <v>68</v>
      </c>
      <c r="E334">
        <v>150</v>
      </c>
      <c r="F334">
        <v>1</v>
      </c>
      <c r="G334">
        <v>19</v>
      </c>
      <c r="H334" s="1">
        <v>45892</v>
      </c>
      <c r="I334">
        <v>2025</v>
      </c>
      <c r="J334">
        <v>8</v>
      </c>
      <c r="K334" t="s">
        <v>30</v>
      </c>
      <c r="L334">
        <v>1</v>
      </c>
      <c r="M334">
        <v>1</v>
      </c>
    </row>
    <row r="335" spans="1:13" x14ac:dyDescent="0.25">
      <c r="A335" t="s">
        <v>17</v>
      </c>
      <c r="B335" t="s">
        <v>18</v>
      </c>
      <c r="C335" t="s">
        <v>80</v>
      </c>
      <c r="D335" t="s">
        <v>20</v>
      </c>
      <c r="E335" t="s">
        <v>21</v>
      </c>
      <c r="F335" t="s">
        <v>21</v>
      </c>
      <c r="G335" t="s">
        <v>21</v>
      </c>
      <c r="H335" s="1">
        <v>45891</v>
      </c>
      <c r="I335">
        <v>2025</v>
      </c>
      <c r="J335">
        <v>8</v>
      </c>
      <c r="K335" t="s">
        <v>22</v>
      </c>
      <c r="L335" t="s">
        <v>21</v>
      </c>
      <c r="M335">
        <v>0</v>
      </c>
    </row>
    <row r="336" spans="1:13" x14ac:dyDescent="0.25">
      <c r="A336" t="s">
        <v>139</v>
      </c>
      <c r="B336" t="s">
        <v>140</v>
      </c>
      <c r="C336" t="s">
        <v>14</v>
      </c>
      <c r="D336" t="s">
        <v>15</v>
      </c>
      <c r="E336">
        <v>221</v>
      </c>
      <c r="F336" t="s">
        <v>21</v>
      </c>
      <c r="G336">
        <v>2</v>
      </c>
      <c r="H336" s="1">
        <v>45888</v>
      </c>
      <c r="I336">
        <v>2025</v>
      </c>
      <c r="J336">
        <v>8</v>
      </c>
      <c r="K336" t="s">
        <v>16</v>
      </c>
      <c r="L336" t="s">
        <v>21</v>
      </c>
      <c r="M336">
        <v>1</v>
      </c>
    </row>
    <row r="337" spans="1:13" x14ac:dyDescent="0.25">
      <c r="A337" t="s">
        <v>60</v>
      </c>
      <c r="B337" t="s">
        <v>13</v>
      </c>
      <c r="C337" t="s">
        <v>14</v>
      </c>
      <c r="D337" t="s">
        <v>15</v>
      </c>
      <c r="E337">
        <v>101</v>
      </c>
      <c r="F337" t="s">
        <v>21</v>
      </c>
      <c r="G337" t="s">
        <v>21</v>
      </c>
      <c r="H337" s="1">
        <v>45888</v>
      </c>
      <c r="I337">
        <v>2025</v>
      </c>
      <c r="J337">
        <v>8</v>
      </c>
      <c r="K337" t="s">
        <v>22</v>
      </c>
      <c r="L337" t="s">
        <v>21</v>
      </c>
      <c r="M337">
        <v>1</v>
      </c>
    </row>
    <row r="338" spans="1:13" x14ac:dyDescent="0.25">
      <c r="A338" t="s">
        <v>375</v>
      </c>
      <c r="B338" t="s">
        <v>66</v>
      </c>
      <c r="C338" t="s">
        <v>14</v>
      </c>
      <c r="D338" t="s">
        <v>22</v>
      </c>
      <c r="E338" t="s">
        <v>21</v>
      </c>
      <c r="F338">
        <v>1</v>
      </c>
      <c r="G338">
        <v>548</v>
      </c>
      <c r="H338" s="1">
        <v>45884</v>
      </c>
      <c r="I338">
        <v>2025</v>
      </c>
      <c r="J338">
        <v>8</v>
      </c>
      <c r="K338" t="s">
        <v>36</v>
      </c>
      <c r="L338">
        <v>1</v>
      </c>
      <c r="M338">
        <v>1</v>
      </c>
    </row>
    <row r="339" spans="1:13" x14ac:dyDescent="0.25">
      <c r="A339" t="s">
        <v>376</v>
      </c>
      <c r="B339" t="s">
        <v>95</v>
      </c>
      <c r="C339" t="s">
        <v>14</v>
      </c>
      <c r="D339" t="s">
        <v>46</v>
      </c>
      <c r="E339">
        <v>100</v>
      </c>
      <c r="F339">
        <v>0.09</v>
      </c>
      <c r="G339">
        <v>127</v>
      </c>
      <c r="H339" s="1">
        <v>45883</v>
      </c>
      <c r="I339">
        <v>2025</v>
      </c>
      <c r="J339">
        <v>8</v>
      </c>
      <c r="K339" t="s">
        <v>36</v>
      </c>
      <c r="L339">
        <v>0</v>
      </c>
      <c r="M339">
        <v>1</v>
      </c>
    </row>
    <row r="340" spans="1:13" x14ac:dyDescent="0.25">
      <c r="A340" t="s">
        <v>60</v>
      </c>
      <c r="B340" t="s">
        <v>13</v>
      </c>
      <c r="C340" t="s">
        <v>14</v>
      </c>
      <c r="D340" t="s">
        <v>15</v>
      </c>
      <c r="E340">
        <v>289</v>
      </c>
      <c r="F340" t="s">
        <v>21</v>
      </c>
      <c r="G340" t="s">
        <v>21</v>
      </c>
      <c r="H340" s="1">
        <v>45882</v>
      </c>
      <c r="I340">
        <v>2025</v>
      </c>
      <c r="J340">
        <v>8</v>
      </c>
      <c r="K340" t="s">
        <v>22</v>
      </c>
      <c r="L340" t="s">
        <v>21</v>
      </c>
      <c r="M340">
        <v>1</v>
      </c>
    </row>
    <row r="341" spans="1:13" x14ac:dyDescent="0.25">
      <c r="A341" t="s">
        <v>60</v>
      </c>
      <c r="B341" t="s">
        <v>13</v>
      </c>
      <c r="C341" t="s">
        <v>14</v>
      </c>
      <c r="D341" t="s">
        <v>15</v>
      </c>
      <c r="E341">
        <v>188</v>
      </c>
      <c r="F341" t="s">
        <v>21</v>
      </c>
      <c r="G341" t="s">
        <v>21</v>
      </c>
      <c r="H341" s="1">
        <v>45882</v>
      </c>
      <c r="I341">
        <v>2025</v>
      </c>
      <c r="J341">
        <v>8</v>
      </c>
      <c r="K341" t="s">
        <v>22</v>
      </c>
      <c r="L341" t="s">
        <v>21</v>
      </c>
      <c r="M341">
        <v>1</v>
      </c>
    </row>
    <row r="342" spans="1:13" x14ac:dyDescent="0.25">
      <c r="A342" t="s">
        <v>60</v>
      </c>
      <c r="B342" t="s">
        <v>13</v>
      </c>
      <c r="C342" t="s">
        <v>14</v>
      </c>
      <c r="D342" t="s">
        <v>15</v>
      </c>
      <c r="E342">
        <v>161</v>
      </c>
      <c r="F342" t="s">
        <v>21</v>
      </c>
      <c r="G342" t="s">
        <v>21</v>
      </c>
      <c r="H342" s="1">
        <v>45882</v>
      </c>
      <c r="I342">
        <v>2025</v>
      </c>
      <c r="J342">
        <v>8</v>
      </c>
      <c r="K342" t="s">
        <v>22</v>
      </c>
      <c r="L342" t="s">
        <v>21</v>
      </c>
      <c r="M342">
        <v>1</v>
      </c>
    </row>
    <row r="343" spans="1:13" x14ac:dyDescent="0.25">
      <c r="A343" t="s">
        <v>377</v>
      </c>
      <c r="B343" t="s">
        <v>28</v>
      </c>
      <c r="C343" t="s">
        <v>14</v>
      </c>
      <c r="D343" t="s">
        <v>15</v>
      </c>
      <c r="E343">
        <v>106</v>
      </c>
      <c r="F343">
        <v>0.02</v>
      </c>
      <c r="G343" t="s">
        <v>21</v>
      </c>
      <c r="H343" s="1">
        <v>45882</v>
      </c>
      <c r="I343">
        <v>2025</v>
      </c>
      <c r="J343">
        <v>8</v>
      </c>
      <c r="K343" t="s">
        <v>22</v>
      </c>
      <c r="L343">
        <v>0</v>
      </c>
      <c r="M343">
        <v>1</v>
      </c>
    </row>
    <row r="344" spans="1:13" x14ac:dyDescent="0.25">
      <c r="A344" t="s">
        <v>378</v>
      </c>
      <c r="B344" t="s">
        <v>70</v>
      </c>
      <c r="C344" t="s">
        <v>14</v>
      </c>
      <c r="D344" t="s">
        <v>15</v>
      </c>
      <c r="E344">
        <v>300</v>
      </c>
      <c r="F344" t="s">
        <v>21</v>
      </c>
      <c r="G344">
        <v>50</v>
      </c>
      <c r="H344" s="1">
        <v>45881</v>
      </c>
      <c r="I344">
        <v>2025</v>
      </c>
      <c r="J344">
        <v>8</v>
      </c>
      <c r="K344" t="s">
        <v>30</v>
      </c>
      <c r="L344" t="s">
        <v>21</v>
      </c>
      <c r="M344">
        <v>1</v>
      </c>
    </row>
    <row r="345" spans="1:13" x14ac:dyDescent="0.25">
      <c r="A345" t="s">
        <v>379</v>
      </c>
      <c r="B345" t="s">
        <v>35</v>
      </c>
      <c r="C345" t="s">
        <v>174</v>
      </c>
      <c r="D345" t="s">
        <v>55</v>
      </c>
      <c r="E345">
        <v>83</v>
      </c>
      <c r="F345">
        <v>0.23</v>
      </c>
      <c r="G345">
        <v>164</v>
      </c>
      <c r="H345" s="1">
        <v>45881</v>
      </c>
      <c r="I345">
        <v>2025</v>
      </c>
      <c r="J345">
        <v>8</v>
      </c>
      <c r="K345" t="s">
        <v>36</v>
      </c>
      <c r="L345">
        <v>0</v>
      </c>
      <c r="M345">
        <v>1</v>
      </c>
    </row>
    <row r="346" spans="1:13" x14ac:dyDescent="0.25">
      <c r="A346" t="s">
        <v>122</v>
      </c>
      <c r="B346" t="s">
        <v>89</v>
      </c>
      <c r="C346" t="s">
        <v>14</v>
      </c>
      <c r="D346" t="s">
        <v>15</v>
      </c>
      <c r="E346" t="s">
        <v>21</v>
      </c>
      <c r="F346" t="s">
        <v>21</v>
      </c>
      <c r="G346" t="s">
        <v>21</v>
      </c>
      <c r="H346" s="1">
        <v>45881</v>
      </c>
      <c r="I346">
        <v>2025</v>
      </c>
      <c r="J346">
        <v>8</v>
      </c>
      <c r="K346" t="s">
        <v>22</v>
      </c>
      <c r="L346" t="s">
        <v>21</v>
      </c>
      <c r="M346">
        <v>0</v>
      </c>
    </row>
    <row r="347" spans="1:13" x14ac:dyDescent="0.25">
      <c r="A347" t="s">
        <v>380</v>
      </c>
      <c r="B347" t="s">
        <v>32</v>
      </c>
      <c r="C347" t="s">
        <v>381</v>
      </c>
      <c r="D347" t="s">
        <v>20</v>
      </c>
      <c r="E347" t="s">
        <v>21</v>
      </c>
      <c r="F347" t="s">
        <v>21</v>
      </c>
      <c r="G347">
        <v>26</v>
      </c>
      <c r="H347" s="1">
        <v>45881</v>
      </c>
      <c r="I347">
        <v>2025</v>
      </c>
      <c r="J347">
        <v>8</v>
      </c>
      <c r="K347" t="s">
        <v>30</v>
      </c>
      <c r="L347" t="s">
        <v>21</v>
      </c>
      <c r="M347">
        <v>0</v>
      </c>
    </row>
    <row r="348" spans="1:13" x14ac:dyDescent="0.25">
      <c r="A348" t="s">
        <v>382</v>
      </c>
      <c r="B348" t="s">
        <v>32</v>
      </c>
      <c r="C348" t="s">
        <v>14</v>
      </c>
      <c r="D348" t="s">
        <v>15</v>
      </c>
      <c r="E348">
        <v>70</v>
      </c>
      <c r="F348">
        <v>0.1</v>
      </c>
      <c r="G348">
        <v>166</v>
      </c>
      <c r="H348" s="1">
        <v>45876</v>
      </c>
      <c r="I348">
        <v>2025</v>
      </c>
      <c r="J348">
        <v>8</v>
      </c>
      <c r="K348" t="s">
        <v>36</v>
      </c>
      <c r="L348">
        <v>0</v>
      </c>
      <c r="M348">
        <v>1</v>
      </c>
    </row>
    <row r="349" spans="1:13" x14ac:dyDescent="0.25">
      <c r="A349" t="s">
        <v>383</v>
      </c>
      <c r="B349" t="s">
        <v>18</v>
      </c>
      <c r="C349" t="s">
        <v>14</v>
      </c>
      <c r="D349" t="s">
        <v>15</v>
      </c>
      <c r="E349">
        <v>67</v>
      </c>
      <c r="F349">
        <v>0.12</v>
      </c>
      <c r="G349">
        <v>736</v>
      </c>
      <c r="H349" s="1">
        <v>45876</v>
      </c>
      <c r="I349">
        <v>2025</v>
      </c>
      <c r="J349">
        <v>8</v>
      </c>
      <c r="K349" t="s">
        <v>36</v>
      </c>
      <c r="L349">
        <v>0</v>
      </c>
      <c r="M349">
        <v>1</v>
      </c>
    </row>
    <row r="350" spans="1:13" x14ac:dyDescent="0.25">
      <c r="A350" t="s">
        <v>272</v>
      </c>
      <c r="B350" t="s">
        <v>207</v>
      </c>
      <c r="C350" t="s">
        <v>14</v>
      </c>
      <c r="D350" t="s">
        <v>15</v>
      </c>
      <c r="E350" t="s">
        <v>21</v>
      </c>
      <c r="F350">
        <v>0.06</v>
      </c>
      <c r="G350">
        <v>1900</v>
      </c>
      <c r="H350" s="1">
        <v>45876</v>
      </c>
      <c r="I350">
        <v>2025</v>
      </c>
      <c r="J350">
        <v>8</v>
      </c>
      <c r="K350" t="s">
        <v>26</v>
      </c>
      <c r="L350">
        <v>0</v>
      </c>
      <c r="M350">
        <v>1</v>
      </c>
    </row>
    <row r="351" spans="1:13" x14ac:dyDescent="0.25">
      <c r="A351" t="s">
        <v>384</v>
      </c>
      <c r="B351" t="s">
        <v>54</v>
      </c>
      <c r="C351" t="s">
        <v>14</v>
      </c>
      <c r="D351" t="s">
        <v>22</v>
      </c>
      <c r="E351">
        <v>200</v>
      </c>
      <c r="F351">
        <v>0.34</v>
      </c>
      <c r="G351">
        <v>436</v>
      </c>
      <c r="H351" s="1">
        <v>45874</v>
      </c>
      <c r="I351">
        <v>2025</v>
      </c>
      <c r="J351">
        <v>8</v>
      </c>
      <c r="K351" t="s">
        <v>36</v>
      </c>
      <c r="L351">
        <v>0</v>
      </c>
      <c r="M351">
        <v>1</v>
      </c>
    </row>
    <row r="352" spans="1:13" x14ac:dyDescent="0.25">
      <c r="A352" t="s">
        <v>385</v>
      </c>
      <c r="B352" t="s">
        <v>93</v>
      </c>
      <c r="C352" t="s">
        <v>14</v>
      </c>
      <c r="D352" t="s">
        <v>20</v>
      </c>
      <c r="E352">
        <v>30</v>
      </c>
      <c r="F352" t="s">
        <v>21</v>
      </c>
      <c r="G352">
        <v>243</v>
      </c>
      <c r="H352" s="1">
        <v>45874</v>
      </c>
      <c r="I352">
        <v>2025</v>
      </c>
      <c r="J352">
        <v>8</v>
      </c>
      <c r="K352" t="s">
        <v>36</v>
      </c>
      <c r="L352" t="s">
        <v>21</v>
      </c>
      <c r="M352">
        <v>1</v>
      </c>
    </row>
    <row r="353" spans="1:13" x14ac:dyDescent="0.25">
      <c r="A353" t="s">
        <v>386</v>
      </c>
      <c r="B353" t="s">
        <v>32</v>
      </c>
      <c r="C353" t="s">
        <v>14</v>
      </c>
      <c r="D353" t="s">
        <v>20</v>
      </c>
      <c r="E353">
        <v>100</v>
      </c>
      <c r="F353" t="s">
        <v>21</v>
      </c>
      <c r="G353">
        <v>15</v>
      </c>
      <c r="H353" s="1">
        <v>45873</v>
      </c>
      <c r="I353">
        <v>2025</v>
      </c>
      <c r="J353">
        <v>8</v>
      </c>
      <c r="K353" t="s">
        <v>30</v>
      </c>
      <c r="L353" t="s">
        <v>21</v>
      </c>
      <c r="M353">
        <v>1</v>
      </c>
    </row>
    <row r="354" spans="1:13" x14ac:dyDescent="0.25">
      <c r="A354" t="s">
        <v>387</v>
      </c>
      <c r="B354" t="s">
        <v>77</v>
      </c>
      <c r="C354" t="s">
        <v>48</v>
      </c>
      <c r="D354" t="s">
        <v>46</v>
      </c>
      <c r="E354">
        <v>145</v>
      </c>
      <c r="F354">
        <v>0.16</v>
      </c>
      <c r="G354">
        <v>140</v>
      </c>
      <c r="H354" s="1">
        <v>45870</v>
      </c>
      <c r="I354">
        <v>2025</v>
      </c>
      <c r="J354">
        <v>8</v>
      </c>
      <c r="K354" t="s">
        <v>36</v>
      </c>
      <c r="L354">
        <v>0</v>
      </c>
      <c r="M354">
        <v>1</v>
      </c>
    </row>
    <row r="355" spans="1:13" x14ac:dyDescent="0.25">
      <c r="A355" t="s">
        <v>233</v>
      </c>
      <c r="B355" t="s">
        <v>13</v>
      </c>
      <c r="C355" t="s">
        <v>42</v>
      </c>
      <c r="D355" t="s">
        <v>15</v>
      </c>
      <c r="E355">
        <v>150</v>
      </c>
      <c r="F355" t="s">
        <v>21</v>
      </c>
      <c r="G355">
        <v>210</v>
      </c>
      <c r="H355" s="1">
        <v>45868</v>
      </c>
      <c r="I355">
        <v>2025</v>
      </c>
      <c r="J355">
        <v>7</v>
      </c>
      <c r="K355" t="s">
        <v>36</v>
      </c>
      <c r="L355" t="s">
        <v>21</v>
      </c>
      <c r="M355">
        <v>1</v>
      </c>
    </row>
    <row r="356" spans="1:13" x14ac:dyDescent="0.25">
      <c r="A356" t="s">
        <v>388</v>
      </c>
      <c r="B356" t="s">
        <v>99</v>
      </c>
      <c r="C356" t="s">
        <v>48</v>
      </c>
      <c r="D356" t="s">
        <v>22</v>
      </c>
      <c r="E356">
        <v>106</v>
      </c>
      <c r="F356">
        <v>1</v>
      </c>
      <c r="G356" t="s">
        <v>21</v>
      </c>
      <c r="H356" s="1">
        <v>45866</v>
      </c>
      <c r="I356">
        <v>2025</v>
      </c>
      <c r="J356">
        <v>7</v>
      </c>
      <c r="K356" t="s">
        <v>22</v>
      </c>
      <c r="L356">
        <v>1</v>
      </c>
      <c r="M356">
        <v>1</v>
      </c>
    </row>
    <row r="357" spans="1:13" x14ac:dyDescent="0.25">
      <c r="A357" t="s">
        <v>371</v>
      </c>
      <c r="B357" t="s">
        <v>93</v>
      </c>
      <c r="C357" t="s">
        <v>48</v>
      </c>
      <c r="D357" t="s">
        <v>22</v>
      </c>
      <c r="E357">
        <v>100</v>
      </c>
      <c r="F357" t="s">
        <v>21</v>
      </c>
      <c r="G357">
        <v>304</v>
      </c>
      <c r="H357" s="1">
        <v>45866</v>
      </c>
      <c r="I357">
        <v>2025</v>
      </c>
      <c r="J357">
        <v>7</v>
      </c>
      <c r="K357" t="s">
        <v>36</v>
      </c>
      <c r="L357" t="s">
        <v>21</v>
      </c>
      <c r="M357">
        <v>1</v>
      </c>
    </row>
    <row r="358" spans="1:13" x14ac:dyDescent="0.25">
      <c r="A358" t="s">
        <v>389</v>
      </c>
      <c r="B358" t="s">
        <v>22</v>
      </c>
      <c r="C358" t="s">
        <v>83</v>
      </c>
      <c r="D358" t="s">
        <v>22</v>
      </c>
      <c r="E358" t="s">
        <v>21</v>
      </c>
      <c r="F358">
        <v>0.4</v>
      </c>
      <c r="G358" t="s">
        <v>21</v>
      </c>
      <c r="H358" s="1">
        <v>45866</v>
      </c>
      <c r="I358">
        <v>2025</v>
      </c>
      <c r="J358">
        <v>7</v>
      </c>
      <c r="K358" t="s">
        <v>22</v>
      </c>
      <c r="L358">
        <v>0</v>
      </c>
      <c r="M358">
        <v>1</v>
      </c>
    </row>
    <row r="359" spans="1:13" x14ac:dyDescent="0.25">
      <c r="A359" t="s">
        <v>390</v>
      </c>
      <c r="B359" t="s">
        <v>66</v>
      </c>
      <c r="C359" t="s">
        <v>48</v>
      </c>
      <c r="D359" t="s">
        <v>49</v>
      </c>
      <c r="E359" t="s">
        <v>21</v>
      </c>
      <c r="F359">
        <v>1</v>
      </c>
      <c r="G359" t="s">
        <v>21</v>
      </c>
      <c r="H359" s="1">
        <v>45862</v>
      </c>
      <c r="I359">
        <v>2025</v>
      </c>
      <c r="J359">
        <v>7</v>
      </c>
      <c r="K359" t="s">
        <v>22</v>
      </c>
      <c r="L359">
        <v>1</v>
      </c>
      <c r="M359">
        <v>1</v>
      </c>
    </row>
    <row r="360" spans="1:13" x14ac:dyDescent="0.25">
      <c r="A360" t="s">
        <v>286</v>
      </c>
      <c r="B360" t="s">
        <v>77</v>
      </c>
      <c r="C360" t="s">
        <v>14</v>
      </c>
      <c r="D360" t="s">
        <v>43</v>
      </c>
      <c r="E360" t="s">
        <v>21</v>
      </c>
      <c r="F360" t="s">
        <v>21</v>
      </c>
      <c r="G360">
        <v>565</v>
      </c>
      <c r="H360" s="1">
        <v>45862</v>
      </c>
      <c r="I360">
        <v>2025</v>
      </c>
      <c r="J360">
        <v>7</v>
      </c>
      <c r="K360" t="s">
        <v>36</v>
      </c>
      <c r="L360" t="s">
        <v>21</v>
      </c>
      <c r="M360">
        <v>0</v>
      </c>
    </row>
    <row r="361" spans="1:13" x14ac:dyDescent="0.25">
      <c r="A361" t="s">
        <v>27</v>
      </c>
      <c r="B361" t="s">
        <v>28</v>
      </c>
      <c r="C361" t="s">
        <v>29</v>
      </c>
      <c r="D361" t="s">
        <v>20</v>
      </c>
      <c r="E361">
        <v>65</v>
      </c>
      <c r="F361">
        <v>0.36</v>
      </c>
      <c r="G361">
        <v>25</v>
      </c>
      <c r="H361" s="1">
        <v>45861</v>
      </c>
      <c r="I361">
        <v>2025</v>
      </c>
      <c r="J361">
        <v>7</v>
      </c>
      <c r="K361" t="s">
        <v>30</v>
      </c>
      <c r="L361">
        <v>0</v>
      </c>
      <c r="M361">
        <v>1</v>
      </c>
    </row>
    <row r="362" spans="1:13" x14ac:dyDescent="0.25">
      <c r="A362" t="s">
        <v>250</v>
      </c>
      <c r="B362" t="s">
        <v>117</v>
      </c>
      <c r="C362" t="s">
        <v>42</v>
      </c>
      <c r="D362" t="s">
        <v>15</v>
      </c>
      <c r="E362" t="s">
        <v>21</v>
      </c>
      <c r="F362" t="s">
        <v>21</v>
      </c>
      <c r="G362">
        <v>3000</v>
      </c>
      <c r="H362" s="1">
        <v>45861</v>
      </c>
      <c r="I362">
        <v>2025</v>
      </c>
      <c r="J362">
        <v>7</v>
      </c>
      <c r="K362" t="s">
        <v>26</v>
      </c>
      <c r="L362" t="s">
        <v>21</v>
      </c>
      <c r="M362">
        <v>0</v>
      </c>
    </row>
    <row r="363" spans="1:13" x14ac:dyDescent="0.25">
      <c r="A363" t="s">
        <v>391</v>
      </c>
      <c r="B363" t="s">
        <v>52</v>
      </c>
      <c r="C363" t="s">
        <v>14</v>
      </c>
      <c r="D363" t="s">
        <v>55</v>
      </c>
      <c r="E363">
        <v>47</v>
      </c>
      <c r="F363">
        <v>7.0000000000000007E-2</v>
      </c>
      <c r="G363">
        <v>726</v>
      </c>
      <c r="H363" s="1">
        <v>45860</v>
      </c>
      <c r="I363">
        <v>2025</v>
      </c>
      <c r="J363">
        <v>7</v>
      </c>
      <c r="K363" t="s">
        <v>36</v>
      </c>
      <c r="L363">
        <v>0</v>
      </c>
      <c r="M363">
        <v>1</v>
      </c>
    </row>
    <row r="364" spans="1:13" x14ac:dyDescent="0.25">
      <c r="A364" t="s">
        <v>392</v>
      </c>
      <c r="B364" t="s">
        <v>18</v>
      </c>
      <c r="C364" t="s">
        <v>14</v>
      </c>
      <c r="D364" t="s">
        <v>22</v>
      </c>
      <c r="E364" t="s">
        <v>21</v>
      </c>
      <c r="F364">
        <v>1</v>
      </c>
      <c r="G364">
        <v>9</v>
      </c>
      <c r="H364" s="1">
        <v>45859</v>
      </c>
      <c r="I364">
        <v>2025</v>
      </c>
      <c r="J364">
        <v>7</v>
      </c>
      <c r="K364" t="s">
        <v>16</v>
      </c>
      <c r="L364">
        <v>1</v>
      </c>
      <c r="M364">
        <v>1</v>
      </c>
    </row>
    <row r="365" spans="1:13" x14ac:dyDescent="0.25">
      <c r="A365" t="s">
        <v>393</v>
      </c>
      <c r="B365" t="s">
        <v>91</v>
      </c>
      <c r="C365" t="s">
        <v>14</v>
      </c>
      <c r="D365" t="s">
        <v>15</v>
      </c>
      <c r="E365" t="s">
        <v>21</v>
      </c>
      <c r="F365">
        <v>0.02</v>
      </c>
      <c r="G365">
        <v>5200</v>
      </c>
      <c r="H365" s="1">
        <v>45856</v>
      </c>
      <c r="I365">
        <v>2025</v>
      </c>
      <c r="J365">
        <v>7</v>
      </c>
      <c r="K365" t="s">
        <v>26</v>
      </c>
      <c r="L365">
        <v>0</v>
      </c>
      <c r="M365">
        <v>1</v>
      </c>
    </row>
    <row r="366" spans="1:13" x14ac:dyDescent="0.25">
      <c r="A366" t="s">
        <v>394</v>
      </c>
      <c r="B366" t="s">
        <v>35</v>
      </c>
      <c r="C366" t="s">
        <v>14</v>
      </c>
      <c r="D366" t="s">
        <v>111</v>
      </c>
      <c r="E366">
        <v>35</v>
      </c>
      <c r="F366">
        <v>0.22</v>
      </c>
      <c r="G366">
        <v>206</v>
      </c>
      <c r="H366" s="1">
        <v>45855</v>
      </c>
      <c r="I366">
        <v>2025</v>
      </c>
      <c r="J366">
        <v>7</v>
      </c>
      <c r="K366" t="s">
        <v>36</v>
      </c>
      <c r="L366">
        <v>0</v>
      </c>
      <c r="M366">
        <v>1</v>
      </c>
    </row>
    <row r="367" spans="1:13" x14ac:dyDescent="0.25">
      <c r="A367" t="s">
        <v>240</v>
      </c>
      <c r="B367" t="s">
        <v>24</v>
      </c>
      <c r="C367" t="s">
        <v>14</v>
      </c>
      <c r="D367" t="s">
        <v>15</v>
      </c>
      <c r="E367" t="s">
        <v>21</v>
      </c>
      <c r="F367" t="s">
        <v>21</v>
      </c>
      <c r="G367">
        <v>8100</v>
      </c>
      <c r="H367" s="1">
        <v>45855</v>
      </c>
      <c r="I367">
        <v>2025</v>
      </c>
      <c r="J367">
        <v>7</v>
      </c>
      <c r="K367" t="s">
        <v>26</v>
      </c>
      <c r="L367" t="s">
        <v>21</v>
      </c>
      <c r="M367">
        <v>0</v>
      </c>
    </row>
    <row r="368" spans="1:13" x14ac:dyDescent="0.25">
      <c r="A368" t="s">
        <v>395</v>
      </c>
      <c r="B368" t="s">
        <v>24</v>
      </c>
      <c r="C368" t="s">
        <v>14</v>
      </c>
      <c r="D368" t="s">
        <v>49</v>
      </c>
      <c r="E368" t="s">
        <v>21</v>
      </c>
      <c r="F368">
        <v>1</v>
      </c>
      <c r="G368">
        <v>5</v>
      </c>
      <c r="H368" s="1">
        <v>45855</v>
      </c>
      <c r="I368">
        <v>2025</v>
      </c>
      <c r="J368">
        <v>7</v>
      </c>
      <c r="K368" t="s">
        <v>16</v>
      </c>
      <c r="L368">
        <v>1</v>
      </c>
      <c r="M368">
        <v>1</v>
      </c>
    </row>
    <row r="369" spans="1:13" x14ac:dyDescent="0.25">
      <c r="A369" t="s">
        <v>396</v>
      </c>
      <c r="B369" t="s">
        <v>114</v>
      </c>
      <c r="C369" t="s">
        <v>48</v>
      </c>
      <c r="D369" t="s">
        <v>49</v>
      </c>
      <c r="E369" t="s">
        <v>21</v>
      </c>
      <c r="F369">
        <v>1</v>
      </c>
      <c r="G369" t="s">
        <v>21</v>
      </c>
      <c r="H369" s="1">
        <v>45855</v>
      </c>
      <c r="I369">
        <v>2025</v>
      </c>
      <c r="J369">
        <v>7</v>
      </c>
      <c r="K369" t="s">
        <v>22</v>
      </c>
      <c r="L369">
        <v>1</v>
      </c>
      <c r="M369">
        <v>1</v>
      </c>
    </row>
    <row r="370" spans="1:13" x14ac:dyDescent="0.25">
      <c r="A370" t="s">
        <v>397</v>
      </c>
      <c r="B370" t="s">
        <v>38</v>
      </c>
      <c r="C370" t="s">
        <v>14</v>
      </c>
      <c r="D370" t="s">
        <v>111</v>
      </c>
      <c r="E370">
        <v>200</v>
      </c>
      <c r="F370">
        <v>0.14000000000000001</v>
      </c>
      <c r="G370">
        <v>602</v>
      </c>
      <c r="H370" s="1">
        <v>45854</v>
      </c>
      <c r="I370">
        <v>2025</v>
      </c>
      <c r="J370">
        <v>7</v>
      </c>
      <c r="K370" t="s">
        <v>36</v>
      </c>
      <c r="L370">
        <v>0</v>
      </c>
      <c r="M370">
        <v>1</v>
      </c>
    </row>
    <row r="371" spans="1:13" x14ac:dyDescent="0.25">
      <c r="A371" t="s">
        <v>398</v>
      </c>
      <c r="B371" t="s">
        <v>70</v>
      </c>
      <c r="C371" t="s">
        <v>14</v>
      </c>
      <c r="D371" t="s">
        <v>15</v>
      </c>
      <c r="E371">
        <v>100</v>
      </c>
      <c r="F371">
        <v>0.03</v>
      </c>
      <c r="G371">
        <v>850</v>
      </c>
      <c r="H371" s="1">
        <v>45854</v>
      </c>
      <c r="I371">
        <v>2025</v>
      </c>
      <c r="J371">
        <v>7</v>
      </c>
      <c r="K371" t="s">
        <v>36</v>
      </c>
      <c r="L371">
        <v>0</v>
      </c>
      <c r="M371">
        <v>1</v>
      </c>
    </row>
    <row r="372" spans="1:13" x14ac:dyDescent="0.25">
      <c r="A372" t="s">
        <v>399</v>
      </c>
      <c r="B372" t="s">
        <v>13</v>
      </c>
      <c r="C372" t="s">
        <v>14</v>
      </c>
      <c r="D372" t="s">
        <v>15</v>
      </c>
      <c r="E372">
        <v>166</v>
      </c>
      <c r="F372">
        <v>0.06</v>
      </c>
      <c r="G372">
        <v>332</v>
      </c>
      <c r="H372" s="1">
        <v>45853</v>
      </c>
      <c r="I372">
        <v>2025</v>
      </c>
      <c r="J372">
        <v>7</v>
      </c>
      <c r="K372" t="s">
        <v>36</v>
      </c>
      <c r="L372">
        <v>0</v>
      </c>
      <c r="M372">
        <v>1</v>
      </c>
    </row>
    <row r="373" spans="1:13" x14ac:dyDescent="0.25">
      <c r="A373" t="s">
        <v>400</v>
      </c>
      <c r="B373" t="s">
        <v>18</v>
      </c>
      <c r="C373" t="s">
        <v>161</v>
      </c>
      <c r="D373" t="s">
        <v>20</v>
      </c>
      <c r="E373">
        <v>200</v>
      </c>
      <c r="F373" t="s">
        <v>21</v>
      </c>
      <c r="G373">
        <v>84</v>
      </c>
      <c r="H373" s="1">
        <v>45852</v>
      </c>
      <c r="I373">
        <v>2025</v>
      </c>
      <c r="J373">
        <v>7</v>
      </c>
      <c r="K373" t="s">
        <v>30</v>
      </c>
      <c r="L373" t="s">
        <v>21</v>
      </c>
      <c r="M373">
        <v>1</v>
      </c>
    </row>
    <row r="374" spans="1:13" x14ac:dyDescent="0.25">
      <c r="A374" t="s">
        <v>401</v>
      </c>
      <c r="B374" t="s">
        <v>24</v>
      </c>
      <c r="C374" t="s">
        <v>48</v>
      </c>
      <c r="D374" t="s">
        <v>22</v>
      </c>
      <c r="E374" t="s">
        <v>21</v>
      </c>
      <c r="F374">
        <v>1</v>
      </c>
      <c r="G374" t="s">
        <v>21</v>
      </c>
      <c r="H374" s="1">
        <v>45850</v>
      </c>
      <c r="I374">
        <v>2025</v>
      </c>
      <c r="J374">
        <v>7</v>
      </c>
      <c r="K374" t="s">
        <v>22</v>
      </c>
      <c r="L374">
        <v>1</v>
      </c>
      <c r="M374">
        <v>1</v>
      </c>
    </row>
    <row r="375" spans="1:13" x14ac:dyDescent="0.25">
      <c r="A375" t="s">
        <v>402</v>
      </c>
      <c r="B375" t="s">
        <v>70</v>
      </c>
      <c r="C375" t="s">
        <v>14</v>
      </c>
      <c r="D375" t="s">
        <v>15</v>
      </c>
      <c r="E375">
        <v>5000</v>
      </c>
      <c r="F375" t="s">
        <v>21</v>
      </c>
      <c r="G375">
        <v>12</v>
      </c>
      <c r="H375" s="1">
        <v>45849</v>
      </c>
      <c r="I375">
        <v>2025</v>
      </c>
      <c r="J375">
        <v>7</v>
      </c>
      <c r="K375" t="s">
        <v>30</v>
      </c>
      <c r="L375" t="s">
        <v>21</v>
      </c>
      <c r="M375">
        <v>1</v>
      </c>
    </row>
    <row r="376" spans="1:13" x14ac:dyDescent="0.25">
      <c r="A376" t="s">
        <v>403</v>
      </c>
      <c r="B376" t="s">
        <v>54</v>
      </c>
      <c r="C376" t="s">
        <v>14</v>
      </c>
      <c r="D376" t="s">
        <v>20</v>
      </c>
      <c r="E376" t="s">
        <v>21</v>
      </c>
      <c r="F376" t="s">
        <v>21</v>
      </c>
      <c r="G376">
        <v>16</v>
      </c>
      <c r="H376" s="1">
        <v>45849</v>
      </c>
      <c r="I376">
        <v>2025</v>
      </c>
      <c r="J376">
        <v>7</v>
      </c>
      <c r="K376" t="s">
        <v>30</v>
      </c>
      <c r="L376" t="s">
        <v>21</v>
      </c>
      <c r="M376">
        <v>0</v>
      </c>
    </row>
    <row r="377" spans="1:13" x14ac:dyDescent="0.25">
      <c r="A377" t="s">
        <v>404</v>
      </c>
      <c r="B377" t="s">
        <v>40</v>
      </c>
      <c r="C377" t="s">
        <v>14</v>
      </c>
      <c r="D377" t="s">
        <v>20</v>
      </c>
      <c r="E377">
        <v>1300</v>
      </c>
      <c r="F377" t="s">
        <v>21</v>
      </c>
      <c r="G377">
        <v>5</v>
      </c>
      <c r="H377" s="1">
        <v>45848</v>
      </c>
      <c r="I377">
        <v>2025</v>
      </c>
      <c r="J377">
        <v>7</v>
      </c>
      <c r="K377" t="s">
        <v>16</v>
      </c>
      <c r="L377" t="s">
        <v>21</v>
      </c>
      <c r="M377">
        <v>1</v>
      </c>
    </row>
    <row r="378" spans="1:13" x14ac:dyDescent="0.25">
      <c r="A378" t="s">
        <v>405</v>
      </c>
      <c r="B378" t="s">
        <v>102</v>
      </c>
      <c r="C378" t="s">
        <v>14</v>
      </c>
      <c r="D378" t="s">
        <v>111</v>
      </c>
      <c r="E378">
        <v>60</v>
      </c>
      <c r="F378">
        <v>0.18</v>
      </c>
      <c r="G378">
        <v>274</v>
      </c>
      <c r="H378" s="1">
        <v>45848</v>
      </c>
      <c r="I378">
        <v>2025</v>
      </c>
      <c r="J378">
        <v>7</v>
      </c>
      <c r="K378" t="s">
        <v>36</v>
      </c>
      <c r="L378">
        <v>0</v>
      </c>
      <c r="M378">
        <v>1</v>
      </c>
    </row>
    <row r="379" spans="1:13" x14ac:dyDescent="0.25">
      <c r="A379" t="s">
        <v>406</v>
      </c>
      <c r="B379" t="s">
        <v>52</v>
      </c>
      <c r="C379" t="s">
        <v>14</v>
      </c>
      <c r="D379" t="s">
        <v>22</v>
      </c>
      <c r="E379">
        <v>29</v>
      </c>
      <c r="F379">
        <v>0.25</v>
      </c>
      <c r="G379">
        <v>234</v>
      </c>
      <c r="H379" s="1">
        <v>45846</v>
      </c>
      <c r="I379">
        <v>2025</v>
      </c>
      <c r="J379">
        <v>7</v>
      </c>
      <c r="K379" t="s">
        <v>36</v>
      </c>
      <c r="L379">
        <v>0</v>
      </c>
      <c r="M379">
        <v>1</v>
      </c>
    </row>
    <row r="380" spans="1:13" x14ac:dyDescent="0.25">
      <c r="A380" t="s">
        <v>191</v>
      </c>
      <c r="B380" t="s">
        <v>77</v>
      </c>
      <c r="C380" t="s">
        <v>29</v>
      </c>
      <c r="D380" t="s">
        <v>15</v>
      </c>
      <c r="E380">
        <v>70</v>
      </c>
      <c r="F380">
        <v>0.06</v>
      </c>
      <c r="G380">
        <v>245</v>
      </c>
      <c r="H380" s="1">
        <v>45845</v>
      </c>
      <c r="I380">
        <v>2025</v>
      </c>
      <c r="J380">
        <v>7</v>
      </c>
      <c r="K380" t="s">
        <v>36</v>
      </c>
      <c r="L380">
        <v>0</v>
      </c>
      <c r="M380">
        <v>1</v>
      </c>
    </row>
    <row r="381" spans="1:13" x14ac:dyDescent="0.25">
      <c r="A381" t="s">
        <v>407</v>
      </c>
      <c r="B381" t="s">
        <v>93</v>
      </c>
      <c r="C381" t="s">
        <v>48</v>
      </c>
      <c r="D381" t="s">
        <v>49</v>
      </c>
      <c r="E381" t="s">
        <v>21</v>
      </c>
      <c r="F381">
        <v>1</v>
      </c>
      <c r="G381" t="s">
        <v>21</v>
      </c>
      <c r="H381" s="1">
        <v>45841</v>
      </c>
      <c r="I381">
        <v>2025</v>
      </c>
      <c r="J381">
        <v>7</v>
      </c>
      <c r="K381" t="s">
        <v>22</v>
      </c>
      <c r="L381">
        <v>1</v>
      </c>
      <c r="M381">
        <v>1</v>
      </c>
    </row>
    <row r="382" spans="1:13" x14ac:dyDescent="0.25">
      <c r="A382" t="s">
        <v>12</v>
      </c>
      <c r="B382" t="s">
        <v>13</v>
      </c>
      <c r="C382" t="s">
        <v>14</v>
      </c>
      <c r="D382" t="s">
        <v>15</v>
      </c>
      <c r="E382">
        <v>9000</v>
      </c>
      <c r="F382">
        <v>0.04</v>
      </c>
      <c r="G382">
        <v>1</v>
      </c>
      <c r="H382" s="1">
        <v>45840</v>
      </c>
      <c r="I382">
        <v>2025</v>
      </c>
      <c r="J382">
        <v>7</v>
      </c>
      <c r="K382" t="s">
        <v>16</v>
      </c>
      <c r="L382">
        <v>0</v>
      </c>
      <c r="M382">
        <v>1</v>
      </c>
    </row>
    <row r="383" spans="1:13" x14ac:dyDescent="0.25">
      <c r="A383" t="s">
        <v>408</v>
      </c>
      <c r="B383" t="s">
        <v>40</v>
      </c>
      <c r="C383" t="s">
        <v>29</v>
      </c>
      <c r="D383" t="s">
        <v>22</v>
      </c>
      <c r="E383">
        <v>20</v>
      </c>
      <c r="F383">
        <v>1</v>
      </c>
      <c r="G383">
        <v>34</v>
      </c>
      <c r="H383" s="1">
        <v>45840</v>
      </c>
      <c r="I383">
        <v>2025</v>
      </c>
      <c r="J383">
        <v>7</v>
      </c>
      <c r="K383" t="s">
        <v>30</v>
      </c>
      <c r="L383">
        <v>1</v>
      </c>
      <c r="M383">
        <v>1</v>
      </c>
    </row>
    <row r="384" spans="1:13" x14ac:dyDescent="0.25">
      <c r="A384" t="s">
        <v>409</v>
      </c>
      <c r="B384" t="s">
        <v>77</v>
      </c>
      <c r="C384" t="s">
        <v>143</v>
      </c>
      <c r="D384" t="s">
        <v>68</v>
      </c>
      <c r="E384" t="s">
        <v>21</v>
      </c>
      <c r="F384">
        <v>1</v>
      </c>
      <c r="G384">
        <v>12</v>
      </c>
      <c r="H384" s="1">
        <v>45840</v>
      </c>
      <c r="I384">
        <v>2025</v>
      </c>
      <c r="J384">
        <v>7</v>
      </c>
      <c r="K384" t="s">
        <v>30</v>
      </c>
      <c r="L384">
        <v>1</v>
      </c>
      <c r="M384">
        <v>1</v>
      </c>
    </row>
    <row r="385" spans="1:13" x14ac:dyDescent="0.25">
      <c r="A385" t="s">
        <v>17</v>
      </c>
      <c r="B385" t="s">
        <v>18</v>
      </c>
      <c r="C385" t="s">
        <v>19</v>
      </c>
      <c r="D385" t="s">
        <v>20</v>
      </c>
      <c r="E385" t="s">
        <v>21</v>
      </c>
      <c r="F385" t="s">
        <v>21</v>
      </c>
      <c r="G385" t="s">
        <v>21</v>
      </c>
      <c r="H385" s="1">
        <v>45840</v>
      </c>
      <c r="I385">
        <v>2025</v>
      </c>
      <c r="J385">
        <v>7</v>
      </c>
      <c r="K385" t="s">
        <v>22</v>
      </c>
      <c r="L385" t="s">
        <v>21</v>
      </c>
      <c r="M385">
        <v>0</v>
      </c>
    </row>
    <row r="386" spans="1:13" x14ac:dyDescent="0.25">
      <c r="A386" t="s">
        <v>410</v>
      </c>
      <c r="B386" t="s">
        <v>13</v>
      </c>
      <c r="C386" t="s">
        <v>74</v>
      </c>
      <c r="D386" t="s">
        <v>15</v>
      </c>
      <c r="E386">
        <v>300</v>
      </c>
      <c r="F386">
        <v>0.1</v>
      </c>
      <c r="G386">
        <v>430</v>
      </c>
      <c r="H386" s="1">
        <v>45838</v>
      </c>
      <c r="I386">
        <v>2025</v>
      </c>
      <c r="J386">
        <v>6</v>
      </c>
      <c r="K386" t="s">
        <v>36</v>
      </c>
      <c r="L386">
        <v>0</v>
      </c>
      <c r="M386">
        <v>1</v>
      </c>
    </row>
    <row r="387" spans="1:13" x14ac:dyDescent="0.25">
      <c r="A387" t="s">
        <v>85</v>
      </c>
      <c r="B387" t="s">
        <v>66</v>
      </c>
      <c r="C387" t="s">
        <v>14</v>
      </c>
      <c r="D387" t="s">
        <v>15</v>
      </c>
      <c r="E387">
        <v>140</v>
      </c>
      <c r="F387">
        <v>0.01</v>
      </c>
      <c r="G387">
        <v>10700</v>
      </c>
      <c r="H387" s="1">
        <v>45834</v>
      </c>
      <c r="I387">
        <v>2025</v>
      </c>
      <c r="J387">
        <v>6</v>
      </c>
      <c r="K387" t="s">
        <v>26</v>
      </c>
      <c r="L387">
        <v>0</v>
      </c>
      <c r="M387">
        <v>1</v>
      </c>
    </row>
    <row r="388" spans="1:13" x14ac:dyDescent="0.25">
      <c r="A388" t="s">
        <v>411</v>
      </c>
      <c r="B388" t="s">
        <v>18</v>
      </c>
      <c r="C388" t="s">
        <v>14</v>
      </c>
      <c r="D388" t="s">
        <v>15</v>
      </c>
      <c r="E388">
        <v>240</v>
      </c>
      <c r="F388">
        <v>0.3</v>
      </c>
      <c r="G388">
        <v>313</v>
      </c>
      <c r="H388" s="1">
        <v>45833</v>
      </c>
      <c r="I388">
        <v>2025</v>
      </c>
      <c r="J388">
        <v>6</v>
      </c>
      <c r="K388" t="s">
        <v>36</v>
      </c>
      <c r="L388">
        <v>0</v>
      </c>
      <c r="M388">
        <v>1</v>
      </c>
    </row>
    <row r="389" spans="1:13" x14ac:dyDescent="0.25">
      <c r="A389" t="s">
        <v>412</v>
      </c>
      <c r="B389" t="s">
        <v>99</v>
      </c>
      <c r="C389" t="s">
        <v>174</v>
      </c>
      <c r="D389" t="s">
        <v>33</v>
      </c>
      <c r="E389">
        <v>85</v>
      </c>
      <c r="F389">
        <v>0.4</v>
      </c>
      <c r="G389">
        <v>83</v>
      </c>
      <c r="H389" s="1">
        <v>45833</v>
      </c>
      <c r="I389">
        <v>2025</v>
      </c>
      <c r="J389">
        <v>6</v>
      </c>
      <c r="K389" t="s">
        <v>30</v>
      </c>
      <c r="L389">
        <v>0</v>
      </c>
      <c r="M389">
        <v>1</v>
      </c>
    </row>
    <row r="390" spans="1:13" x14ac:dyDescent="0.25">
      <c r="A390" t="s">
        <v>108</v>
      </c>
      <c r="B390" t="s">
        <v>18</v>
      </c>
      <c r="C390" t="s">
        <v>14</v>
      </c>
      <c r="D390" t="s">
        <v>15</v>
      </c>
      <c r="E390">
        <v>75</v>
      </c>
      <c r="F390" t="s">
        <v>21</v>
      </c>
      <c r="G390">
        <v>26</v>
      </c>
      <c r="H390" s="1">
        <v>45832</v>
      </c>
      <c r="I390">
        <v>2025</v>
      </c>
      <c r="J390">
        <v>6</v>
      </c>
      <c r="K390" t="s">
        <v>30</v>
      </c>
      <c r="L390" t="s">
        <v>21</v>
      </c>
      <c r="M390">
        <v>1</v>
      </c>
    </row>
    <row r="391" spans="1:13" x14ac:dyDescent="0.25">
      <c r="A391" t="s">
        <v>402</v>
      </c>
      <c r="B391" t="s">
        <v>70</v>
      </c>
      <c r="C391" t="s">
        <v>14</v>
      </c>
      <c r="D391" t="s">
        <v>15</v>
      </c>
      <c r="E391" t="s">
        <v>21</v>
      </c>
      <c r="F391" t="s">
        <v>21</v>
      </c>
      <c r="G391">
        <v>12</v>
      </c>
      <c r="H391" s="1">
        <v>45832</v>
      </c>
      <c r="I391">
        <v>2025</v>
      </c>
      <c r="J391">
        <v>6</v>
      </c>
      <c r="K391" t="s">
        <v>30</v>
      </c>
      <c r="L391" t="s">
        <v>21</v>
      </c>
      <c r="M391">
        <v>0</v>
      </c>
    </row>
    <row r="392" spans="1:13" x14ac:dyDescent="0.25">
      <c r="A392" t="s">
        <v>12</v>
      </c>
      <c r="B392" t="s">
        <v>13</v>
      </c>
      <c r="C392" t="s">
        <v>14</v>
      </c>
      <c r="D392" t="s">
        <v>15</v>
      </c>
      <c r="E392" t="s">
        <v>21</v>
      </c>
      <c r="F392" t="s">
        <v>21</v>
      </c>
      <c r="G392">
        <v>1</v>
      </c>
      <c r="H392" s="1">
        <v>45832</v>
      </c>
      <c r="I392">
        <v>2025</v>
      </c>
      <c r="J392">
        <v>6</v>
      </c>
      <c r="K392" t="s">
        <v>16</v>
      </c>
      <c r="L392" t="s">
        <v>21</v>
      </c>
      <c r="M392">
        <v>0</v>
      </c>
    </row>
    <row r="393" spans="1:13" x14ac:dyDescent="0.25">
      <c r="A393" t="s">
        <v>413</v>
      </c>
      <c r="B393" t="s">
        <v>106</v>
      </c>
      <c r="C393" t="s">
        <v>14</v>
      </c>
      <c r="D393" t="s">
        <v>20</v>
      </c>
      <c r="E393" t="s">
        <v>21</v>
      </c>
      <c r="F393">
        <v>0.17</v>
      </c>
      <c r="G393">
        <v>192</v>
      </c>
      <c r="H393" s="1">
        <v>45832</v>
      </c>
      <c r="I393">
        <v>2025</v>
      </c>
      <c r="J393">
        <v>6</v>
      </c>
      <c r="K393" t="s">
        <v>36</v>
      </c>
      <c r="L393">
        <v>0</v>
      </c>
      <c r="M393">
        <v>1</v>
      </c>
    </row>
    <row r="394" spans="1:13" x14ac:dyDescent="0.25">
      <c r="A394" t="s">
        <v>414</v>
      </c>
      <c r="B394" t="s">
        <v>99</v>
      </c>
      <c r="C394" t="s">
        <v>14</v>
      </c>
      <c r="D394" t="s">
        <v>81</v>
      </c>
      <c r="E394">
        <v>116</v>
      </c>
      <c r="F394" t="s">
        <v>21</v>
      </c>
      <c r="G394">
        <v>138</v>
      </c>
      <c r="H394" s="1">
        <v>45828</v>
      </c>
      <c r="I394">
        <v>2025</v>
      </c>
      <c r="J394">
        <v>6</v>
      </c>
      <c r="K394" t="s">
        <v>36</v>
      </c>
      <c r="L394" t="s">
        <v>21</v>
      </c>
      <c r="M394">
        <v>1</v>
      </c>
    </row>
    <row r="395" spans="1:13" x14ac:dyDescent="0.25">
      <c r="A395" t="s">
        <v>415</v>
      </c>
      <c r="B395" t="s">
        <v>24</v>
      </c>
      <c r="C395" t="s">
        <v>143</v>
      </c>
      <c r="D395" t="s">
        <v>33</v>
      </c>
      <c r="E395">
        <v>50</v>
      </c>
      <c r="F395">
        <v>0.2</v>
      </c>
      <c r="G395">
        <v>66</v>
      </c>
      <c r="H395" s="1">
        <v>45827</v>
      </c>
      <c r="I395">
        <v>2025</v>
      </c>
      <c r="J395">
        <v>6</v>
      </c>
      <c r="K395" t="s">
        <v>30</v>
      </c>
      <c r="L395">
        <v>0</v>
      </c>
      <c r="M395">
        <v>1</v>
      </c>
    </row>
    <row r="396" spans="1:13" x14ac:dyDescent="0.25">
      <c r="A396" t="s">
        <v>402</v>
      </c>
      <c r="B396" t="s">
        <v>70</v>
      </c>
      <c r="C396" t="s">
        <v>29</v>
      </c>
      <c r="D396" t="s">
        <v>15</v>
      </c>
      <c r="E396" t="s">
        <v>21</v>
      </c>
      <c r="F396" t="s">
        <v>21</v>
      </c>
      <c r="G396">
        <v>12</v>
      </c>
      <c r="H396" s="1">
        <v>45825</v>
      </c>
      <c r="I396">
        <v>2025</v>
      </c>
      <c r="J396">
        <v>6</v>
      </c>
      <c r="K396" t="s">
        <v>30</v>
      </c>
      <c r="L396" t="s">
        <v>21</v>
      </c>
      <c r="M396">
        <v>0</v>
      </c>
    </row>
    <row r="397" spans="1:13" x14ac:dyDescent="0.25">
      <c r="A397" t="s">
        <v>416</v>
      </c>
      <c r="B397" t="s">
        <v>13</v>
      </c>
      <c r="C397" t="s">
        <v>29</v>
      </c>
      <c r="D397" t="s">
        <v>33</v>
      </c>
      <c r="E397">
        <v>30</v>
      </c>
      <c r="F397">
        <v>0.5</v>
      </c>
      <c r="G397">
        <v>69</v>
      </c>
      <c r="H397" s="1">
        <v>45818</v>
      </c>
      <c r="I397">
        <v>2025</v>
      </c>
      <c r="J397">
        <v>6</v>
      </c>
      <c r="K397" t="s">
        <v>30</v>
      </c>
      <c r="L397">
        <v>0</v>
      </c>
      <c r="M397">
        <v>1</v>
      </c>
    </row>
    <row r="398" spans="1:13" x14ac:dyDescent="0.25">
      <c r="A398" t="s">
        <v>151</v>
      </c>
      <c r="B398" t="s">
        <v>99</v>
      </c>
      <c r="C398" t="s">
        <v>174</v>
      </c>
      <c r="D398" t="s">
        <v>15</v>
      </c>
      <c r="E398">
        <v>150</v>
      </c>
      <c r="F398">
        <v>0.04</v>
      </c>
      <c r="G398">
        <v>7</v>
      </c>
      <c r="H398" s="1">
        <v>45817</v>
      </c>
      <c r="I398">
        <v>2025</v>
      </c>
      <c r="J398">
        <v>6</v>
      </c>
      <c r="K398" t="s">
        <v>16</v>
      </c>
      <c r="L398">
        <v>0</v>
      </c>
      <c r="M398">
        <v>1</v>
      </c>
    </row>
    <row r="399" spans="1:13" x14ac:dyDescent="0.25">
      <c r="A399" t="s">
        <v>288</v>
      </c>
      <c r="B399" t="s">
        <v>18</v>
      </c>
      <c r="C399" t="s">
        <v>29</v>
      </c>
      <c r="D399" t="s">
        <v>15</v>
      </c>
      <c r="E399">
        <v>90</v>
      </c>
      <c r="F399" t="s">
        <v>21</v>
      </c>
      <c r="G399" t="s">
        <v>21</v>
      </c>
      <c r="H399" s="1">
        <v>45813</v>
      </c>
      <c r="I399">
        <v>2025</v>
      </c>
      <c r="J399">
        <v>6</v>
      </c>
      <c r="K399" t="s">
        <v>22</v>
      </c>
      <c r="L399" t="s">
        <v>21</v>
      </c>
      <c r="M399">
        <v>1</v>
      </c>
    </row>
    <row r="400" spans="1:13" x14ac:dyDescent="0.25">
      <c r="A400" t="s">
        <v>417</v>
      </c>
      <c r="B400" t="s">
        <v>18</v>
      </c>
      <c r="C400" t="s">
        <v>14</v>
      </c>
      <c r="D400" t="s">
        <v>33</v>
      </c>
      <c r="E400">
        <v>25</v>
      </c>
      <c r="F400">
        <v>0.43</v>
      </c>
      <c r="G400">
        <v>33</v>
      </c>
      <c r="H400" s="1">
        <v>45812</v>
      </c>
      <c r="I400">
        <v>2025</v>
      </c>
      <c r="J400">
        <v>6</v>
      </c>
      <c r="K400" t="s">
        <v>30</v>
      </c>
      <c r="L400">
        <v>0</v>
      </c>
      <c r="M400">
        <v>1</v>
      </c>
    </row>
    <row r="401" spans="1:13" x14ac:dyDescent="0.25">
      <c r="A401" t="s">
        <v>12</v>
      </c>
      <c r="B401" t="s">
        <v>13</v>
      </c>
      <c r="C401" t="s">
        <v>14</v>
      </c>
      <c r="D401" t="s">
        <v>15</v>
      </c>
      <c r="E401">
        <v>305</v>
      </c>
      <c r="F401">
        <v>0.03</v>
      </c>
      <c r="G401">
        <v>1</v>
      </c>
      <c r="H401" s="1">
        <v>45810</v>
      </c>
      <c r="I401">
        <v>2025</v>
      </c>
      <c r="J401">
        <v>6</v>
      </c>
      <c r="K401" t="s">
        <v>16</v>
      </c>
      <c r="L401">
        <v>0</v>
      </c>
      <c r="M401">
        <v>1</v>
      </c>
    </row>
    <row r="402" spans="1:13" x14ac:dyDescent="0.25">
      <c r="A402" t="s">
        <v>418</v>
      </c>
      <c r="B402" t="s">
        <v>35</v>
      </c>
      <c r="C402" t="s">
        <v>14</v>
      </c>
      <c r="D402" t="s">
        <v>15</v>
      </c>
      <c r="E402">
        <v>68</v>
      </c>
      <c r="F402">
        <v>0.04</v>
      </c>
      <c r="G402">
        <v>1200</v>
      </c>
      <c r="H402" s="1">
        <v>45807</v>
      </c>
      <c r="I402">
        <v>2025</v>
      </c>
      <c r="J402">
        <v>5</v>
      </c>
      <c r="K402" t="s">
        <v>26</v>
      </c>
      <c r="L402">
        <v>0</v>
      </c>
      <c r="M402">
        <v>1</v>
      </c>
    </row>
    <row r="403" spans="1:13" x14ac:dyDescent="0.25">
      <c r="A403" t="s">
        <v>419</v>
      </c>
      <c r="B403" t="s">
        <v>32</v>
      </c>
      <c r="C403" t="s">
        <v>14</v>
      </c>
      <c r="D403" t="s">
        <v>20</v>
      </c>
      <c r="E403" t="s">
        <v>21</v>
      </c>
      <c r="F403">
        <v>0.2</v>
      </c>
      <c r="G403">
        <v>56</v>
      </c>
      <c r="H403" s="1">
        <v>45806</v>
      </c>
      <c r="I403">
        <v>2025</v>
      </c>
      <c r="J403">
        <v>5</v>
      </c>
      <c r="K403" t="s">
        <v>30</v>
      </c>
      <c r="L403">
        <v>0</v>
      </c>
      <c r="M403">
        <v>1</v>
      </c>
    </row>
    <row r="404" spans="1:13" x14ac:dyDescent="0.25">
      <c r="A404" t="s">
        <v>247</v>
      </c>
      <c r="B404" t="s">
        <v>24</v>
      </c>
      <c r="C404" t="s">
        <v>29</v>
      </c>
      <c r="D404" t="s">
        <v>15</v>
      </c>
      <c r="E404">
        <v>200</v>
      </c>
      <c r="F404" t="s">
        <v>21</v>
      </c>
      <c r="G404">
        <v>1200</v>
      </c>
      <c r="H404" s="1">
        <v>45805</v>
      </c>
      <c r="I404">
        <v>2025</v>
      </c>
      <c r="J404">
        <v>5</v>
      </c>
      <c r="K404" t="s">
        <v>26</v>
      </c>
      <c r="L404" t="s">
        <v>21</v>
      </c>
      <c r="M404">
        <v>1</v>
      </c>
    </row>
    <row r="405" spans="1:13" x14ac:dyDescent="0.25">
      <c r="A405" t="s">
        <v>420</v>
      </c>
      <c r="B405" t="s">
        <v>66</v>
      </c>
      <c r="C405" t="s">
        <v>48</v>
      </c>
      <c r="D405" t="s">
        <v>194</v>
      </c>
      <c r="E405">
        <v>120</v>
      </c>
      <c r="F405" t="s">
        <v>21</v>
      </c>
      <c r="G405">
        <v>1300</v>
      </c>
      <c r="H405" s="1">
        <v>45804</v>
      </c>
      <c r="I405">
        <v>2025</v>
      </c>
      <c r="J405">
        <v>5</v>
      </c>
      <c r="K405" t="s">
        <v>26</v>
      </c>
      <c r="L405" t="s">
        <v>21</v>
      </c>
      <c r="M405">
        <v>1</v>
      </c>
    </row>
    <row r="406" spans="1:13" x14ac:dyDescent="0.25">
      <c r="A406" t="s">
        <v>421</v>
      </c>
      <c r="B406" t="s">
        <v>77</v>
      </c>
      <c r="C406" t="s">
        <v>14</v>
      </c>
      <c r="D406" t="s">
        <v>15</v>
      </c>
      <c r="E406" t="s">
        <v>21</v>
      </c>
      <c r="F406">
        <v>7.0000000000000007E-2</v>
      </c>
      <c r="G406">
        <v>1100</v>
      </c>
      <c r="H406" s="1">
        <v>45804</v>
      </c>
      <c r="I406">
        <v>2025</v>
      </c>
      <c r="J406">
        <v>5</v>
      </c>
      <c r="K406" t="s">
        <v>26</v>
      </c>
      <c r="L406">
        <v>0</v>
      </c>
      <c r="M406">
        <v>1</v>
      </c>
    </row>
    <row r="407" spans="1:13" x14ac:dyDescent="0.25">
      <c r="A407" t="s">
        <v>422</v>
      </c>
      <c r="B407" t="s">
        <v>95</v>
      </c>
      <c r="C407" t="s">
        <v>48</v>
      </c>
      <c r="D407" t="s">
        <v>33</v>
      </c>
      <c r="E407">
        <v>300</v>
      </c>
      <c r="F407">
        <v>1</v>
      </c>
      <c r="G407">
        <v>44</v>
      </c>
      <c r="H407" s="1">
        <v>45800</v>
      </c>
      <c r="I407">
        <v>2025</v>
      </c>
      <c r="J407">
        <v>5</v>
      </c>
      <c r="K407" t="s">
        <v>30</v>
      </c>
      <c r="L407">
        <v>1</v>
      </c>
      <c r="M407">
        <v>1</v>
      </c>
    </row>
    <row r="408" spans="1:13" x14ac:dyDescent="0.25">
      <c r="A408" t="s">
        <v>423</v>
      </c>
      <c r="B408" t="s">
        <v>66</v>
      </c>
      <c r="C408" t="s">
        <v>174</v>
      </c>
      <c r="D408" t="s">
        <v>15</v>
      </c>
      <c r="E408">
        <v>138</v>
      </c>
      <c r="F408">
        <v>0.95</v>
      </c>
      <c r="G408">
        <v>402</v>
      </c>
      <c r="H408" s="1">
        <v>45799</v>
      </c>
      <c r="I408">
        <v>2025</v>
      </c>
      <c r="J408">
        <v>5</v>
      </c>
      <c r="K408" t="s">
        <v>36</v>
      </c>
      <c r="L408">
        <v>0</v>
      </c>
      <c r="M408">
        <v>1</v>
      </c>
    </row>
    <row r="409" spans="1:13" x14ac:dyDescent="0.25">
      <c r="A409" t="s">
        <v>424</v>
      </c>
      <c r="B409" t="s">
        <v>217</v>
      </c>
      <c r="C409" t="s">
        <v>62</v>
      </c>
      <c r="D409" t="s">
        <v>81</v>
      </c>
      <c r="E409">
        <v>106</v>
      </c>
      <c r="F409">
        <v>0.22</v>
      </c>
      <c r="G409">
        <v>734</v>
      </c>
      <c r="H409" s="1">
        <v>45798</v>
      </c>
      <c r="I409">
        <v>2025</v>
      </c>
      <c r="J409">
        <v>5</v>
      </c>
      <c r="K409" t="s">
        <v>36</v>
      </c>
      <c r="L409">
        <v>0</v>
      </c>
      <c r="M409">
        <v>1</v>
      </c>
    </row>
    <row r="410" spans="1:13" x14ac:dyDescent="0.25">
      <c r="A410" t="s">
        <v>425</v>
      </c>
      <c r="B410" t="s">
        <v>93</v>
      </c>
      <c r="C410" t="s">
        <v>80</v>
      </c>
      <c r="D410" t="s">
        <v>55</v>
      </c>
      <c r="E410" t="s">
        <v>21</v>
      </c>
      <c r="F410">
        <v>1</v>
      </c>
      <c r="G410">
        <v>445</v>
      </c>
      <c r="H410" s="1">
        <v>45797</v>
      </c>
      <c r="I410">
        <v>2025</v>
      </c>
      <c r="J410">
        <v>5</v>
      </c>
      <c r="K410" t="s">
        <v>36</v>
      </c>
      <c r="L410">
        <v>1</v>
      </c>
      <c r="M410">
        <v>1</v>
      </c>
    </row>
    <row r="411" spans="1:13" x14ac:dyDescent="0.25">
      <c r="A411" t="s">
        <v>426</v>
      </c>
      <c r="B411" t="s">
        <v>66</v>
      </c>
      <c r="C411" t="s">
        <v>14</v>
      </c>
      <c r="D411" t="s">
        <v>15</v>
      </c>
      <c r="E411" t="s">
        <v>21</v>
      </c>
      <c r="F411" t="s">
        <v>21</v>
      </c>
      <c r="G411">
        <v>780</v>
      </c>
      <c r="H411" s="1">
        <v>45797</v>
      </c>
      <c r="I411">
        <v>2025</v>
      </c>
      <c r="J411">
        <v>5</v>
      </c>
      <c r="K411" t="s">
        <v>36</v>
      </c>
      <c r="L411" t="s">
        <v>21</v>
      </c>
      <c r="M411">
        <v>0</v>
      </c>
    </row>
    <row r="412" spans="1:13" x14ac:dyDescent="0.25">
      <c r="A412" t="s">
        <v>427</v>
      </c>
      <c r="B412" t="s">
        <v>13</v>
      </c>
      <c r="C412" t="s">
        <v>14</v>
      </c>
      <c r="D412" t="s">
        <v>15</v>
      </c>
      <c r="E412" t="s">
        <v>21</v>
      </c>
      <c r="F412">
        <v>0.2</v>
      </c>
      <c r="G412">
        <v>110</v>
      </c>
      <c r="H412" s="1">
        <v>45796</v>
      </c>
      <c r="I412">
        <v>2025</v>
      </c>
      <c r="J412">
        <v>5</v>
      </c>
      <c r="K412" t="s">
        <v>36</v>
      </c>
      <c r="L412">
        <v>0</v>
      </c>
      <c r="M412">
        <v>1</v>
      </c>
    </row>
    <row r="413" spans="1:13" x14ac:dyDescent="0.25">
      <c r="A413" t="s">
        <v>428</v>
      </c>
      <c r="B413" t="s">
        <v>32</v>
      </c>
      <c r="C413" t="s">
        <v>48</v>
      </c>
      <c r="D413" t="s">
        <v>429</v>
      </c>
      <c r="E413">
        <v>350</v>
      </c>
      <c r="F413" t="s">
        <v>21</v>
      </c>
      <c r="G413">
        <v>1700</v>
      </c>
      <c r="H413" s="1">
        <v>45795</v>
      </c>
      <c r="I413">
        <v>2025</v>
      </c>
      <c r="J413">
        <v>5</v>
      </c>
      <c r="K413" t="s">
        <v>26</v>
      </c>
      <c r="L413" t="s">
        <v>21</v>
      </c>
      <c r="M413">
        <v>1</v>
      </c>
    </row>
    <row r="414" spans="1:13" x14ac:dyDescent="0.25">
      <c r="A414" t="s">
        <v>430</v>
      </c>
      <c r="B414" t="s">
        <v>35</v>
      </c>
      <c r="C414" t="s">
        <v>14</v>
      </c>
      <c r="D414" t="s">
        <v>68</v>
      </c>
      <c r="E414">
        <v>97</v>
      </c>
      <c r="F414" t="s">
        <v>21</v>
      </c>
      <c r="G414">
        <v>17</v>
      </c>
      <c r="H414" s="1">
        <v>45792</v>
      </c>
      <c r="I414">
        <v>2025</v>
      </c>
      <c r="J414">
        <v>5</v>
      </c>
      <c r="K414" t="s">
        <v>30</v>
      </c>
      <c r="L414" t="s">
        <v>21</v>
      </c>
      <c r="M414">
        <v>1</v>
      </c>
    </row>
    <row r="415" spans="1:13" x14ac:dyDescent="0.25">
      <c r="A415" t="s">
        <v>431</v>
      </c>
      <c r="B415" t="s">
        <v>93</v>
      </c>
      <c r="C415" t="s">
        <v>29</v>
      </c>
      <c r="D415" t="s">
        <v>68</v>
      </c>
      <c r="E415">
        <v>10</v>
      </c>
      <c r="F415">
        <v>1</v>
      </c>
      <c r="G415">
        <v>28</v>
      </c>
      <c r="H415" s="1">
        <v>45792</v>
      </c>
      <c r="I415">
        <v>2025</v>
      </c>
      <c r="J415">
        <v>5</v>
      </c>
      <c r="K415" t="s">
        <v>30</v>
      </c>
      <c r="L415">
        <v>1</v>
      </c>
      <c r="M415">
        <v>1</v>
      </c>
    </row>
    <row r="416" spans="1:13" x14ac:dyDescent="0.25">
      <c r="A416" t="s">
        <v>240</v>
      </c>
      <c r="B416" t="s">
        <v>24</v>
      </c>
      <c r="C416" t="s">
        <v>14</v>
      </c>
      <c r="D416" t="s">
        <v>15</v>
      </c>
      <c r="E416">
        <v>100</v>
      </c>
      <c r="F416" t="s">
        <v>21</v>
      </c>
      <c r="G416">
        <v>8100</v>
      </c>
      <c r="H416" s="1">
        <v>45791</v>
      </c>
      <c r="I416">
        <v>2025</v>
      </c>
      <c r="J416">
        <v>5</v>
      </c>
      <c r="K416" t="s">
        <v>26</v>
      </c>
      <c r="L416" t="s">
        <v>21</v>
      </c>
      <c r="M416">
        <v>1</v>
      </c>
    </row>
    <row r="417" spans="1:13" x14ac:dyDescent="0.25">
      <c r="A417" t="s">
        <v>12</v>
      </c>
      <c r="B417" t="s">
        <v>13</v>
      </c>
      <c r="C417" t="s">
        <v>14</v>
      </c>
      <c r="D417" t="s">
        <v>15</v>
      </c>
      <c r="E417">
        <v>6000</v>
      </c>
      <c r="F417">
        <v>0.03</v>
      </c>
      <c r="G417">
        <v>1</v>
      </c>
      <c r="H417" s="1">
        <v>45790</v>
      </c>
      <c r="I417">
        <v>2025</v>
      </c>
      <c r="J417">
        <v>5</v>
      </c>
      <c r="K417" t="s">
        <v>16</v>
      </c>
      <c r="L417">
        <v>0</v>
      </c>
      <c r="M417">
        <v>1</v>
      </c>
    </row>
    <row r="418" spans="1:13" x14ac:dyDescent="0.25">
      <c r="A418" t="s">
        <v>338</v>
      </c>
      <c r="B418" t="s">
        <v>106</v>
      </c>
      <c r="C418" t="s">
        <v>14</v>
      </c>
      <c r="D418" t="s">
        <v>15</v>
      </c>
      <c r="E418">
        <v>248</v>
      </c>
      <c r="F418">
        <v>0.22</v>
      </c>
      <c r="G418">
        <v>227</v>
      </c>
      <c r="H418" s="1">
        <v>45789</v>
      </c>
      <c r="I418">
        <v>2025</v>
      </c>
      <c r="J418">
        <v>5</v>
      </c>
      <c r="K418" t="s">
        <v>36</v>
      </c>
      <c r="L418">
        <v>0</v>
      </c>
      <c r="M418">
        <v>1</v>
      </c>
    </row>
    <row r="419" spans="1:13" x14ac:dyDescent="0.25">
      <c r="A419" t="s">
        <v>432</v>
      </c>
      <c r="B419" t="s">
        <v>18</v>
      </c>
      <c r="C419" t="s">
        <v>14</v>
      </c>
      <c r="D419" t="s">
        <v>15</v>
      </c>
      <c r="E419">
        <v>325</v>
      </c>
      <c r="F419">
        <v>0.13</v>
      </c>
      <c r="G419" t="s">
        <v>21</v>
      </c>
      <c r="H419" s="1">
        <v>45785</v>
      </c>
      <c r="I419">
        <v>2025</v>
      </c>
      <c r="J419">
        <v>5</v>
      </c>
      <c r="K419" t="s">
        <v>22</v>
      </c>
      <c r="L419">
        <v>0</v>
      </c>
      <c r="M419">
        <v>1</v>
      </c>
    </row>
    <row r="420" spans="1:13" x14ac:dyDescent="0.25">
      <c r="A420" t="s">
        <v>433</v>
      </c>
      <c r="B420" t="s">
        <v>28</v>
      </c>
      <c r="C420" t="s">
        <v>14</v>
      </c>
      <c r="D420" t="s">
        <v>15</v>
      </c>
      <c r="E420">
        <v>500</v>
      </c>
      <c r="F420">
        <v>0.05</v>
      </c>
      <c r="G420">
        <v>1200</v>
      </c>
      <c r="H420" s="1">
        <v>45784</v>
      </c>
      <c r="I420">
        <v>2025</v>
      </c>
      <c r="J420">
        <v>5</v>
      </c>
      <c r="K420" t="s">
        <v>26</v>
      </c>
      <c r="L420">
        <v>0</v>
      </c>
      <c r="M420">
        <v>1</v>
      </c>
    </row>
    <row r="421" spans="1:13" x14ac:dyDescent="0.25">
      <c r="A421" t="s">
        <v>369</v>
      </c>
      <c r="B421" t="s">
        <v>18</v>
      </c>
      <c r="C421" t="s">
        <v>48</v>
      </c>
      <c r="D421" t="s">
        <v>22</v>
      </c>
      <c r="E421">
        <v>180</v>
      </c>
      <c r="F421" t="s">
        <v>21</v>
      </c>
      <c r="G421">
        <v>75</v>
      </c>
      <c r="H421" s="1">
        <v>45784</v>
      </c>
      <c r="I421">
        <v>2025</v>
      </c>
      <c r="J421">
        <v>5</v>
      </c>
      <c r="K421" t="s">
        <v>30</v>
      </c>
      <c r="L421" t="s">
        <v>21</v>
      </c>
      <c r="M421">
        <v>1</v>
      </c>
    </row>
    <row r="422" spans="1:13" x14ac:dyDescent="0.25">
      <c r="A422" t="s">
        <v>222</v>
      </c>
      <c r="B422" t="s">
        <v>38</v>
      </c>
      <c r="C422" t="s">
        <v>174</v>
      </c>
      <c r="D422" t="s">
        <v>15</v>
      </c>
      <c r="E422">
        <v>1600</v>
      </c>
      <c r="F422" t="s">
        <v>21</v>
      </c>
      <c r="G422">
        <v>1100</v>
      </c>
      <c r="H422" s="1">
        <v>45783</v>
      </c>
      <c r="I422">
        <v>2025</v>
      </c>
      <c r="J422">
        <v>5</v>
      </c>
      <c r="K422" t="s">
        <v>26</v>
      </c>
      <c r="L422" t="s">
        <v>21</v>
      </c>
      <c r="M422">
        <v>1</v>
      </c>
    </row>
    <row r="423" spans="1:13" x14ac:dyDescent="0.25">
      <c r="A423" t="s">
        <v>311</v>
      </c>
      <c r="B423" t="s">
        <v>13</v>
      </c>
      <c r="C423" t="s">
        <v>48</v>
      </c>
      <c r="D423" t="s">
        <v>49</v>
      </c>
      <c r="E423">
        <v>15</v>
      </c>
      <c r="F423">
        <v>0.2</v>
      </c>
      <c r="G423">
        <v>3</v>
      </c>
      <c r="H423" s="1">
        <v>45782</v>
      </c>
      <c r="I423">
        <v>2025</v>
      </c>
      <c r="J423">
        <v>5</v>
      </c>
      <c r="K423" t="s">
        <v>16</v>
      </c>
      <c r="L423">
        <v>0</v>
      </c>
      <c r="M423">
        <v>1</v>
      </c>
    </row>
    <row r="424" spans="1:13" x14ac:dyDescent="0.25">
      <c r="A424" t="s">
        <v>434</v>
      </c>
      <c r="B424" t="s">
        <v>217</v>
      </c>
      <c r="C424" t="s">
        <v>174</v>
      </c>
      <c r="D424" t="s">
        <v>22</v>
      </c>
      <c r="E424" t="s">
        <v>21</v>
      </c>
      <c r="F424">
        <v>0.25</v>
      </c>
      <c r="G424">
        <v>370</v>
      </c>
      <c r="H424" s="1">
        <v>45782</v>
      </c>
      <c r="I424">
        <v>2025</v>
      </c>
      <c r="J424">
        <v>5</v>
      </c>
      <c r="K424" t="s">
        <v>36</v>
      </c>
      <c r="L424">
        <v>0</v>
      </c>
      <c r="M424">
        <v>1</v>
      </c>
    </row>
    <row r="425" spans="1:13" x14ac:dyDescent="0.25">
      <c r="A425" t="s">
        <v>435</v>
      </c>
      <c r="B425" t="s">
        <v>28</v>
      </c>
      <c r="C425" t="s">
        <v>29</v>
      </c>
      <c r="D425" t="s">
        <v>22</v>
      </c>
      <c r="E425">
        <v>20</v>
      </c>
      <c r="F425">
        <v>0.1</v>
      </c>
      <c r="G425">
        <v>322</v>
      </c>
      <c r="H425" s="1">
        <v>45781</v>
      </c>
      <c r="I425">
        <v>2025</v>
      </c>
      <c r="J425">
        <v>5</v>
      </c>
      <c r="K425" t="s">
        <v>36</v>
      </c>
      <c r="L425">
        <v>0</v>
      </c>
      <c r="M425">
        <v>1</v>
      </c>
    </row>
    <row r="426" spans="1:13" x14ac:dyDescent="0.25">
      <c r="A426" t="s">
        <v>436</v>
      </c>
      <c r="B426" t="s">
        <v>102</v>
      </c>
      <c r="C426" t="s">
        <v>48</v>
      </c>
      <c r="D426" t="s">
        <v>33</v>
      </c>
      <c r="E426" t="s">
        <v>21</v>
      </c>
      <c r="F426">
        <v>1</v>
      </c>
      <c r="G426">
        <v>32</v>
      </c>
      <c r="H426" s="1">
        <v>45779</v>
      </c>
      <c r="I426">
        <v>2025</v>
      </c>
      <c r="J426">
        <v>5</v>
      </c>
      <c r="K426" t="s">
        <v>30</v>
      </c>
      <c r="L426">
        <v>1</v>
      </c>
      <c r="M426">
        <v>1</v>
      </c>
    </row>
    <row r="427" spans="1:13" x14ac:dyDescent="0.25">
      <c r="A427" t="s">
        <v>437</v>
      </c>
      <c r="B427" t="s">
        <v>13</v>
      </c>
      <c r="C427" t="s">
        <v>80</v>
      </c>
      <c r="D427" t="s">
        <v>22</v>
      </c>
      <c r="E427">
        <v>200</v>
      </c>
      <c r="F427">
        <v>1</v>
      </c>
      <c r="G427" t="s">
        <v>21</v>
      </c>
      <c r="H427" s="1">
        <v>45778</v>
      </c>
      <c r="I427">
        <v>2025</v>
      </c>
      <c r="J427">
        <v>5</v>
      </c>
      <c r="K427" t="s">
        <v>22</v>
      </c>
      <c r="L427">
        <v>1</v>
      </c>
      <c r="M427">
        <v>1</v>
      </c>
    </row>
    <row r="428" spans="1:13" x14ac:dyDescent="0.25">
      <c r="A428" t="s">
        <v>438</v>
      </c>
      <c r="B428" t="s">
        <v>77</v>
      </c>
      <c r="C428" t="s">
        <v>14</v>
      </c>
      <c r="D428" t="s">
        <v>20</v>
      </c>
      <c r="E428" t="s">
        <v>21</v>
      </c>
      <c r="F428" t="s">
        <v>21</v>
      </c>
      <c r="G428">
        <v>109</v>
      </c>
      <c r="H428" s="1">
        <v>45778</v>
      </c>
      <c r="I428">
        <v>2025</v>
      </c>
      <c r="J428">
        <v>5</v>
      </c>
      <c r="K428" t="s">
        <v>36</v>
      </c>
      <c r="L428" t="s">
        <v>21</v>
      </c>
      <c r="M428">
        <v>0</v>
      </c>
    </row>
    <row r="429" spans="1:13" x14ac:dyDescent="0.25">
      <c r="A429" t="s">
        <v>124</v>
      </c>
      <c r="B429" t="s">
        <v>38</v>
      </c>
      <c r="C429" t="s">
        <v>14</v>
      </c>
      <c r="D429" t="s">
        <v>15</v>
      </c>
      <c r="E429">
        <v>700</v>
      </c>
      <c r="F429">
        <v>0.06</v>
      </c>
      <c r="G429" t="s">
        <v>21</v>
      </c>
      <c r="H429" s="1">
        <v>45777</v>
      </c>
      <c r="I429">
        <v>2025</v>
      </c>
      <c r="J429">
        <v>4</v>
      </c>
      <c r="K429" t="s">
        <v>22</v>
      </c>
      <c r="L429">
        <v>0</v>
      </c>
      <c r="M429">
        <v>1</v>
      </c>
    </row>
    <row r="430" spans="1:13" x14ac:dyDescent="0.25">
      <c r="A430" t="s">
        <v>439</v>
      </c>
      <c r="B430" t="s">
        <v>18</v>
      </c>
      <c r="C430" t="s">
        <v>14</v>
      </c>
      <c r="D430" t="s">
        <v>15</v>
      </c>
      <c r="E430">
        <v>300</v>
      </c>
      <c r="F430" t="s">
        <v>21</v>
      </c>
      <c r="G430">
        <v>2</v>
      </c>
      <c r="H430" s="1">
        <v>45776</v>
      </c>
      <c r="I430">
        <v>2025</v>
      </c>
      <c r="J430">
        <v>4</v>
      </c>
      <c r="K430" t="s">
        <v>16</v>
      </c>
      <c r="L430" t="s">
        <v>21</v>
      </c>
      <c r="M430">
        <v>1</v>
      </c>
    </row>
    <row r="431" spans="1:13" x14ac:dyDescent="0.25">
      <c r="A431" t="s">
        <v>440</v>
      </c>
      <c r="B431" t="s">
        <v>217</v>
      </c>
      <c r="C431" t="s">
        <v>14</v>
      </c>
      <c r="D431" t="s">
        <v>15</v>
      </c>
      <c r="E431" t="s">
        <v>21</v>
      </c>
      <c r="F431">
        <v>0.27</v>
      </c>
      <c r="G431">
        <v>583</v>
      </c>
      <c r="H431" s="1">
        <v>45776</v>
      </c>
      <c r="I431">
        <v>2025</v>
      </c>
      <c r="J431">
        <v>4</v>
      </c>
      <c r="K431" t="s">
        <v>36</v>
      </c>
      <c r="L431">
        <v>0</v>
      </c>
      <c r="M431">
        <v>1</v>
      </c>
    </row>
    <row r="432" spans="1:13" x14ac:dyDescent="0.25">
      <c r="A432" t="s">
        <v>270</v>
      </c>
      <c r="B432" t="s">
        <v>73</v>
      </c>
      <c r="C432" t="s">
        <v>14</v>
      </c>
      <c r="D432" t="s">
        <v>15</v>
      </c>
      <c r="E432" t="s">
        <v>21</v>
      </c>
      <c r="F432">
        <v>0.03</v>
      </c>
      <c r="G432">
        <v>3300</v>
      </c>
      <c r="H432" s="1">
        <v>45775</v>
      </c>
      <c r="I432">
        <v>2025</v>
      </c>
      <c r="J432">
        <v>4</v>
      </c>
      <c r="K432" t="s">
        <v>26</v>
      </c>
      <c r="L432">
        <v>0</v>
      </c>
      <c r="M432">
        <v>1</v>
      </c>
    </row>
    <row r="433" spans="1:13" x14ac:dyDescent="0.25">
      <c r="A433" t="s">
        <v>441</v>
      </c>
      <c r="B433" t="s">
        <v>13</v>
      </c>
      <c r="C433" t="s">
        <v>14</v>
      </c>
      <c r="D433" t="s">
        <v>22</v>
      </c>
      <c r="E433" t="s">
        <v>21</v>
      </c>
      <c r="F433" t="s">
        <v>21</v>
      </c>
      <c r="G433">
        <v>238</v>
      </c>
      <c r="H433" s="1">
        <v>45775</v>
      </c>
      <c r="I433">
        <v>2025</v>
      </c>
      <c r="J433">
        <v>4</v>
      </c>
      <c r="K433" t="s">
        <v>36</v>
      </c>
      <c r="L433" t="s">
        <v>21</v>
      </c>
      <c r="M433">
        <v>0</v>
      </c>
    </row>
    <row r="434" spans="1:13" x14ac:dyDescent="0.25">
      <c r="A434" t="s">
        <v>442</v>
      </c>
      <c r="B434" t="s">
        <v>70</v>
      </c>
      <c r="C434" t="s">
        <v>14</v>
      </c>
      <c r="D434" t="s">
        <v>22</v>
      </c>
      <c r="E434" t="s">
        <v>21</v>
      </c>
      <c r="F434">
        <v>1</v>
      </c>
      <c r="G434" t="s">
        <v>21</v>
      </c>
      <c r="H434" s="1">
        <v>45775</v>
      </c>
      <c r="I434">
        <v>2025</v>
      </c>
      <c r="J434">
        <v>4</v>
      </c>
      <c r="K434" t="s">
        <v>22</v>
      </c>
      <c r="L434">
        <v>1</v>
      </c>
      <c r="M434">
        <v>1</v>
      </c>
    </row>
    <row r="435" spans="1:13" x14ac:dyDescent="0.25">
      <c r="A435" t="s">
        <v>420</v>
      </c>
      <c r="B435" t="s">
        <v>66</v>
      </c>
      <c r="C435" t="s">
        <v>48</v>
      </c>
      <c r="D435" t="s">
        <v>194</v>
      </c>
      <c r="E435">
        <v>200</v>
      </c>
      <c r="F435" t="s">
        <v>21</v>
      </c>
      <c r="G435">
        <v>1300</v>
      </c>
      <c r="H435" s="1">
        <v>45773</v>
      </c>
      <c r="I435">
        <v>2025</v>
      </c>
      <c r="J435">
        <v>4</v>
      </c>
      <c r="K435" t="s">
        <v>26</v>
      </c>
      <c r="L435" t="s">
        <v>21</v>
      </c>
      <c r="M435">
        <v>1</v>
      </c>
    </row>
    <row r="436" spans="1:13" x14ac:dyDescent="0.25">
      <c r="A436" t="s">
        <v>420</v>
      </c>
      <c r="B436" t="s">
        <v>66</v>
      </c>
      <c r="C436" t="s">
        <v>48</v>
      </c>
      <c r="D436" t="s">
        <v>194</v>
      </c>
      <c r="E436">
        <v>200</v>
      </c>
      <c r="F436" t="s">
        <v>21</v>
      </c>
      <c r="G436">
        <v>1300</v>
      </c>
      <c r="H436" s="1">
        <v>45773</v>
      </c>
      <c r="I436">
        <v>2025</v>
      </c>
      <c r="J436">
        <v>4</v>
      </c>
      <c r="K436" t="s">
        <v>26</v>
      </c>
      <c r="L436" t="s">
        <v>21</v>
      </c>
      <c r="M436">
        <v>1</v>
      </c>
    </row>
    <row r="437" spans="1:13" x14ac:dyDescent="0.25">
      <c r="A437" t="s">
        <v>443</v>
      </c>
      <c r="B437" t="s">
        <v>93</v>
      </c>
      <c r="C437" t="s">
        <v>14</v>
      </c>
      <c r="D437" t="s">
        <v>55</v>
      </c>
      <c r="E437">
        <v>77</v>
      </c>
      <c r="F437">
        <v>0.15</v>
      </c>
      <c r="G437">
        <v>1100</v>
      </c>
      <c r="H437" s="1">
        <v>45772</v>
      </c>
      <c r="I437">
        <v>2025</v>
      </c>
      <c r="J437">
        <v>4</v>
      </c>
      <c r="K437" t="s">
        <v>26</v>
      </c>
      <c r="L437">
        <v>0</v>
      </c>
      <c r="M437">
        <v>1</v>
      </c>
    </row>
    <row r="438" spans="1:13" x14ac:dyDescent="0.25">
      <c r="A438" t="s">
        <v>131</v>
      </c>
      <c r="B438" t="s">
        <v>18</v>
      </c>
      <c r="C438" t="s">
        <v>14</v>
      </c>
      <c r="D438" t="s">
        <v>15</v>
      </c>
      <c r="E438">
        <v>100</v>
      </c>
      <c r="F438" t="s">
        <v>21</v>
      </c>
      <c r="G438">
        <v>26000</v>
      </c>
      <c r="H438" s="1">
        <v>45771</v>
      </c>
      <c r="I438">
        <v>2025</v>
      </c>
      <c r="J438">
        <v>4</v>
      </c>
      <c r="K438" t="s">
        <v>26</v>
      </c>
      <c r="L438" t="s">
        <v>21</v>
      </c>
      <c r="M438">
        <v>1</v>
      </c>
    </row>
    <row r="439" spans="1:13" x14ac:dyDescent="0.25">
      <c r="A439" t="s">
        <v>444</v>
      </c>
      <c r="B439" t="s">
        <v>13</v>
      </c>
      <c r="C439" t="s">
        <v>356</v>
      </c>
      <c r="D439" t="s">
        <v>33</v>
      </c>
      <c r="E439">
        <v>75</v>
      </c>
      <c r="F439" t="s">
        <v>21</v>
      </c>
      <c r="G439">
        <v>67</v>
      </c>
      <c r="H439" s="1">
        <v>45771</v>
      </c>
      <c r="I439">
        <v>2025</v>
      </c>
      <c r="J439">
        <v>4</v>
      </c>
      <c r="K439" t="s">
        <v>30</v>
      </c>
      <c r="L439" t="s">
        <v>21</v>
      </c>
      <c r="M439">
        <v>1</v>
      </c>
    </row>
    <row r="440" spans="1:13" x14ac:dyDescent="0.25">
      <c r="A440" t="s">
        <v>402</v>
      </c>
      <c r="B440" t="s">
        <v>70</v>
      </c>
      <c r="C440" t="s">
        <v>14</v>
      </c>
      <c r="D440" t="s">
        <v>15</v>
      </c>
      <c r="E440">
        <v>22000</v>
      </c>
      <c r="F440">
        <v>0.2</v>
      </c>
      <c r="G440">
        <v>12</v>
      </c>
      <c r="H440" s="1">
        <v>45770</v>
      </c>
      <c r="I440">
        <v>2025</v>
      </c>
      <c r="J440">
        <v>4</v>
      </c>
      <c r="K440" t="s">
        <v>30</v>
      </c>
      <c r="L440">
        <v>0</v>
      </c>
      <c r="M440">
        <v>1</v>
      </c>
    </row>
    <row r="441" spans="1:13" x14ac:dyDescent="0.25">
      <c r="A441" t="s">
        <v>445</v>
      </c>
      <c r="B441" t="s">
        <v>77</v>
      </c>
      <c r="C441" t="s">
        <v>48</v>
      </c>
      <c r="D441" t="s">
        <v>55</v>
      </c>
      <c r="E441">
        <v>100</v>
      </c>
      <c r="F441" t="s">
        <v>21</v>
      </c>
      <c r="G441">
        <v>125</v>
      </c>
      <c r="H441" s="1">
        <v>45764</v>
      </c>
      <c r="I441">
        <v>2025</v>
      </c>
      <c r="J441">
        <v>4</v>
      </c>
      <c r="K441" t="s">
        <v>36</v>
      </c>
      <c r="L441" t="s">
        <v>21</v>
      </c>
      <c r="M441">
        <v>1</v>
      </c>
    </row>
    <row r="442" spans="1:13" x14ac:dyDescent="0.25">
      <c r="A442" t="s">
        <v>446</v>
      </c>
      <c r="B442" t="s">
        <v>66</v>
      </c>
      <c r="C442" t="s">
        <v>14</v>
      </c>
      <c r="D442" t="s">
        <v>111</v>
      </c>
      <c r="E442">
        <v>150</v>
      </c>
      <c r="F442">
        <v>0.17</v>
      </c>
      <c r="G442">
        <v>467</v>
      </c>
      <c r="H442" s="1">
        <v>45763</v>
      </c>
      <c r="I442">
        <v>2025</v>
      </c>
      <c r="J442">
        <v>4</v>
      </c>
      <c r="K442" t="s">
        <v>36</v>
      </c>
      <c r="L442">
        <v>0</v>
      </c>
      <c r="M442">
        <v>1</v>
      </c>
    </row>
    <row r="443" spans="1:13" x14ac:dyDescent="0.25">
      <c r="A443" t="s">
        <v>447</v>
      </c>
      <c r="B443" t="s">
        <v>54</v>
      </c>
      <c r="C443" t="s">
        <v>14</v>
      </c>
      <c r="D443" t="s">
        <v>15</v>
      </c>
      <c r="E443">
        <v>97</v>
      </c>
      <c r="F443" t="s">
        <v>21</v>
      </c>
      <c r="G443">
        <v>1600</v>
      </c>
      <c r="H443" s="1">
        <v>45763</v>
      </c>
      <c r="I443">
        <v>2025</v>
      </c>
      <c r="J443">
        <v>4</v>
      </c>
      <c r="K443" t="s">
        <v>26</v>
      </c>
      <c r="L443" t="s">
        <v>21</v>
      </c>
      <c r="M443">
        <v>1</v>
      </c>
    </row>
    <row r="444" spans="1:13" x14ac:dyDescent="0.25">
      <c r="A444" t="s">
        <v>448</v>
      </c>
      <c r="B444" t="s">
        <v>18</v>
      </c>
      <c r="C444" t="s">
        <v>14</v>
      </c>
      <c r="D444" t="s">
        <v>49</v>
      </c>
      <c r="E444">
        <v>7</v>
      </c>
      <c r="F444">
        <v>1</v>
      </c>
      <c r="G444">
        <v>3</v>
      </c>
      <c r="H444" s="1">
        <v>45763</v>
      </c>
      <c r="I444">
        <v>2025</v>
      </c>
      <c r="J444">
        <v>4</v>
      </c>
      <c r="K444" t="s">
        <v>16</v>
      </c>
      <c r="L444">
        <v>1</v>
      </c>
      <c r="M444">
        <v>1</v>
      </c>
    </row>
    <row r="445" spans="1:13" x14ac:dyDescent="0.25">
      <c r="A445" t="s">
        <v>365</v>
      </c>
      <c r="B445" t="s">
        <v>13</v>
      </c>
      <c r="C445" t="s">
        <v>48</v>
      </c>
      <c r="D445" t="s">
        <v>43</v>
      </c>
      <c r="E445">
        <v>200</v>
      </c>
      <c r="F445" t="s">
        <v>21</v>
      </c>
      <c r="G445">
        <v>484</v>
      </c>
      <c r="H445" s="1">
        <v>45762</v>
      </c>
      <c r="I445">
        <v>2025</v>
      </c>
      <c r="J445">
        <v>4</v>
      </c>
      <c r="K445" t="s">
        <v>36</v>
      </c>
      <c r="L445" t="s">
        <v>21</v>
      </c>
      <c r="M445">
        <v>1</v>
      </c>
    </row>
    <row r="446" spans="1:13" x14ac:dyDescent="0.25">
      <c r="A446" t="s">
        <v>331</v>
      </c>
      <c r="B446" t="s">
        <v>73</v>
      </c>
      <c r="C446" t="s">
        <v>14</v>
      </c>
      <c r="D446" t="s">
        <v>15</v>
      </c>
      <c r="E446" t="s">
        <v>21</v>
      </c>
      <c r="F446" t="s">
        <v>21</v>
      </c>
      <c r="G446">
        <v>839</v>
      </c>
      <c r="H446" s="1">
        <v>45761</v>
      </c>
      <c r="I446">
        <v>2025</v>
      </c>
      <c r="J446">
        <v>4</v>
      </c>
      <c r="K446" t="s">
        <v>36</v>
      </c>
      <c r="L446" t="s">
        <v>21</v>
      </c>
      <c r="M446">
        <v>0</v>
      </c>
    </row>
    <row r="447" spans="1:13" x14ac:dyDescent="0.25">
      <c r="A447" t="s">
        <v>449</v>
      </c>
      <c r="B447" t="s">
        <v>117</v>
      </c>
      <c r="C447" t="s">
        <v>83</v>
      </c>
      <c r="D447" t="s">
        <v>55</v>
      </c>
      <c r="E447">
        <v>200</v>
      </c>
      <c r="F447" t="s">
        <v>21</v>
      </c>
      <c r="G447">
        <v>593</v>
      </c>
      <c r="H447" s="1">
        <v>45759</v>
      </c>
      <c r="I447">
        <v>2025</v>
      </c>
      <c r="J447">
        <v>4</v>
      </c>
      <c r="K447" t="s">
        <v>36</v>
      </c>
      <c r="L447" t="s">
        <v>21</v>
      </c>
      <c r="M447">
        <v>1</v>
      </c>
    </row>
    <row r="448" spans="1:13" x14ac:dyDescent="0.25">
      <c r="A448" t="s">
        <v>108</v>
      </c>
      <c r="B448" t="s">
        <v>18</v>
      </c>
      <c r="C448" t="s">
        <v>14</v>
      </c>
      <c r="D448" t="s">
        <v>15</v>
      </c>
      <c r="E448" t="s">
        <v>21</v>
      </c>
      <c r="F448" t="s">
        <v>21</v>
      </c>
      <c r="G448">
        <v>26</v>
      </c>
      <c r="H448" s="1">
        <v>45758</v>
      </c>
      <c r="I448">
        <v>2025</v>
      </c>
      <c r="J448">
        <v>4</v>
      </c>
      <c r="K448" t="s">
        <v>30</v>
      </c>
      <c r="L448" t="s">
        <v>21</v>
      </c>
      <c r="M448">
        <v>0</v>
      </c>
    </row>
    <row r="449" spans="1:13" x14ac:dyDescent="0.25">
      <c r="A449" t="s">
        <v>450</v>
      </c>
      <c r="B449" t="s">
        <v>54</v>
      </c>
      <c r="C449" t="s">
        <v>14</v>
      </c>
      <c r="D449" t="s">
        <v>15</v>
      </c>
      <c r="E449" t="s">
        <v>21</v>
      </c>
      <c r="F449">
        <v>1</v>
      </c>
      <c r="G449">
        <v>99</v>
      </c>
      <c r="H449" s="1">
        <v>45757</v>
      </c>
      <c r="I449">
        <v>2025</v>
      </c>
      <c r="J449">
        <v>4</v>
      </c>
      <c r="K449" t="s">
        <v>30</v>
      </c>
      <c r="L449">
        <v>1</v>
      </c>
      <c r="M449">
        <v>1</v>
      </c>
    </row>
    <row r="450" spans="1:13" x14ac:dyDescent="0.25">
      <c r="A450" t="s">
        <v>451</v>
      </c>
      <c r="B450" t="s">
        <v>140</v>
      </c>
      <c r="C450" t="s">
        <v>29</v>
      </c>
      <c r="D450" t="s">
        <v>49</v>
      </c>
      <c r="E450" t="s">
        <v>21</v>
      </c>
      <c r="F450">
        <v>1</v>
      </c>
      <c r="G450" t="s">
        <v>21</v>
      </c>
      <c r="H450" s="1">
        <v>45756</v>
      </c>
      <c r="I450">
        <v>2025</v>
      </c>
      <c r="J450">
        <v>4</v>
      </c>
      <c r="K450" t="s">
        <v>22</v>
      </c>
      <c r="L450">
        <v>1</v>
      </c>
      <c r="M450">
        <v>1</v>
      </c>
    </row>
    <row r="451" spans="1:13" x14ac:dyDescent="0.25">
      <c r="A451" t="s">
        <v>452</v>
      </c>
      <c r="B451" t="s">
        <v>99</v>
      </c>
      <c r="C451" t="s">
        <v>29</v>
      </c>
      <c r="D451" t="s">
        <v>49</v>
      </c>
      <c r="E451" t="s">
        <v>21</v>
      </c>
      <c r="F451">
        <v>1</v>
      </c>
      <c r="G451">
        <v>8</v>
      </c>
      <c r="H451" s="1">
        <v>45753</v>
      </c>
      <c r="I451">
        <v>2025</v>
      </c>
      <c r="J451">
        <v>4</v>
      </c>
      <c r="K451" t="s">
        <v>16</v>
      </c>
      <c r="L451">
        <v>1</v>
      </c>
      <c r="M451">
        <v>1</v>
      </c>
    </row>
    <row r="452" spans="1:13" x14ac:dyDescent="0.25">
      <c r="A452" t="s">
        <v>453</v>
      </c>
      <c r="B452" t="s">
        <v>89</v>
      </c>
      <c r="C452" t="s">
        <v>14</v>
      </c>
      <c r="D452" t="s">
        <v>15</v>
      </c>
      <c r="E452">
        <v>123</v>
      </c>
      <c r="F452">
        <v>0.04</v>
      </c>
      <c r="G452">
        <v>862</v>
      </c>
      <c r="H452" s="1">
        <v>45750</v>
      </c>
      <c r="I452">
        <v>2025</v>
      </c>
      <c r="J452">
        <v>4</v>
      </c>
      <c r="K452" t="s">
        <v>36</v>
      </c>
      <c r="L452">
        <v>0</v>
      </c>
      <c r="M452">
        <v>1</v>
      </c>
    </row>
    <row r="453" spans="1:13" x14ac:dyDescent="0.25">
      <c r="A453" t="s">
        <v>454</v>
      </c>
      <c r="B453" t="s">
        <v>91</v>
      </c>
      <c r="C453" t="s">
        <v>80</v>
      </c>
      <c r="D453" t="s">
        <v>22</v>
      </c>
      <c r="E453" t="s">
        <v>21</v>
      </c>
      <c r="F453" t="s">
        <v>21</v>
      </c>
      <c r="G453" t="s">
        <v>21</v>
      </c>
      <c r="H453" s="1">
        <v>45750</v>
      </c>
      <c r="I453">
        <v>2025</v>
      </c>
      <c r="J453">
        <v>4</v>
      </c>
      <c r="K453" t="s">
        <v>22</v>
      </c>
      <c r="L453" t="s">
        <v>21</v>
      </c>
      <c r="M453">
        <v>0</v>
      </c>
    </row>
    <row r="454" spans="1:13" x14ac:dyDescent="0.25">
      <c r="A454" t="s">
        <v>455</v>
      </c>
      <c r="B454" t="s">
        <v>13</v>
      </c>
      <c r="C454" t="s">
        <v>14</v>
      </c>
      <c r="D454" t="s">
        <v>111</v>
      </c>
      <c r="E454">
        <v>281</v>
      </c>
      <c r="F454">
        <v>0.16</v>
      </c>
      <c r="G454">
        <v>986</v>
      </c>
      <c r="H454" s="1">
        <v>45749</v>
      </c>
      <c r="I454">
        <v>2025</v>
      </c>
      <c r="J454">
        <v>4</v>
      </c>
      <c r="K454" t="s">
        <v>36</v>
      </c>
      <c r="L454">
        <v>0</v>
      </c>
      <c r="M454">
        <v>1</v>
      </c>
    </row>
    <row r="455" spans="1:13" x14ac:dyDescent="0.25">
      <c r="A455" t="s">
        <v>456</v>
      </c>
      <c r="B455" t="s">
        <v>18</v>
      </c>
      <c r="C455" t="s">
        <v>42</v>
      </c>
      <c r="D455" t="s">
        <v>22</v>
      </c>
      <c r="E455">
        <v>10</v>
      </c>
      <c r="F455" t="s">
        <v>21</v>
      </c>
      <c r="G455">
        <v>2500</v>
      </c>
      <c r="H455" s="1">
        <v>45749</v>
      </c>
      <c r="I455">
        <v>2025</v>
      </c>
      <c r="J455">
        <v>4</v>
      </c>
      <c r="K455" t="s">
        <v>26</v>
      </c>
      <c r="L455" t="s">
        <v>21</v>
      </c>
      <c r="M455">
        <v>1</v>
      </c>
    </row>
    <row r="456" spans="1:13" x14ac:dyDescent="0.25">
      <c r="A456" t="s">
        <v>457</v>
      </c>
      <c r="B456" t="s">
        <v>38</v>
      </c>
      <c r="C456" t="s">
        <v>42</v>
      </c>
      <c r="D456" t="s">
        <v>49</v>
      </c>
      <c r="E456" t="s">
        <v>21</v>
      </c>
      <c r="F456">
        <v>1</v>
      </c>
      <c r="G456" t="s">
        <v>21</v>
      </c>
      <c r="H456" s="1">
        <v>45749</v>
      </c>
      <c r="I456">
        <v>2025</v>
      </c>
      <c r="J456">
        <v>4</v>
      </c>
      <c r="K456" t="s">
        <v>22</v>
      </c>
      <c r="L456">
        <v>1</v>
      </c>
      <c r="M456">
        <v>1</v>
      </c>
    </row>
    <row r="457" spans="1:13" x14ac:dyDescent="0.25">
      <c r="A457" t="s">
        <v>458</v>
      </c>
      <c r="B457" t="s">
        <v>95</v>
      </c>
      <c r="C457" t="s">
        <v>48</v>
      </c>
      <c r="D457" t="s">
        <v>429</v>
      </c>
      <c r="E457">
        <v>600</v>
      </c>
      <c r="F457" t="s">
        <v>21</v>
      </c>
      <c r="G457">
        <v>914</v>
      </c>
      <c r="H457" s="1">
        <v>45748</v>
      </c>
      <c r="I457">
        <v>2025</v>
      </c>
      <c r="J457">
        <v>4</v>
      </c>
      <c r="K457" t="s">
        <v>36</v>
      </c>
      <c r="L457" t="s">
        <v>21</v>
      </c>
      <c r="M457">
        <v>1</v>
      </c>
    </row>
    <row r="458" spans="1:13" x14ac:dyDescent="0.25">
      <c r="A458" t="s">
        <v>459</v>
      </c>
      <c r="B458" t="s">
        <v>217</v>
      </c>
      <c r="C458" t="s">
        <v>161</v>
      </c>
      <c r="D458" t="s">
        <v>22</v>
      </c>
      <c r="E458">
        <v>2800</v>
      </c>
      <c r="F458">
        <v>0.62</v>
      </c>
      <c r="G458">
        <v>13800</v>
      </c>
      <c r="H458" s="1">
        <v>45747</v>
      </c>
      <c r="I458">
        <v>2025</v>
      </c>
      <c r="J458">
        <v>3</v>
      </c>
      <c r="K458" t="s">
        <v>26</v>
      </c>
      <c r="L458">
        <v>0</v>
      </c>
      <c r="M458">
        <v>1</v>
      </c>
    </row>
    <row r="459" spans="1:13" x14ac:dyDescent="0.25">
      <c r="A459" t="s">
        <v>460</v>
      </c>
      <c r="B459" t="s">
        <v>106</v>
      </c>
      <c r="C459" t="s">
        <v>14</v>
      </c>
      <c r="D459" t="s">
        <v>15</v>
      </c>
      <c r="E459" t="s">
        <v>21</v>
      </c>
      <c r="F459" t="s">
        <v>21</v>
      </c>
      <c r="G459">
        <v>426</v>
      </c>
      <c r="H459" s="1">
        <v>45747</v>
      </c>
      <c r="I459">
        <v>2025</v>
      </c>
      <c r="J459">
        <v>3</v>
      </c>
      <c r="K459" t="s">
        <v>36</v>
      </c>
      <c r="L459" t="s">
        <v>21</v>
      </c>
      <c r="M459">
        <v>0</v>
      </c>
    </row>
    <row r="460" spans="1:13" x14ac:dyDescent="0.25">
      <c r="A460" t="s">
        <v>461</v>
      </c>
      <c r="B460" t="s">
        <v>38</v>
      </c>
      <c r="C460" t="s">
        <v>14</v>
      </c>
      <c r="D460" t="s">
        <v>15</v>
      </c>
      <c r="E460">
        <v>120</v>
      </c>
      <c r="F460" t="s">
        <v>21</v>
      </c>
      <c r="G460">
        <v>3000</v>
      </c>
      <c r="H460" s="1">
        <v>45743</v>
      </c>
      <c r="I460">
        <v>2025</v>
      </c>
      <c r="J460">
        <v>3</v>
      </c>
      <c r="K460" t="s">
        <v>26</v>
      </c>
      <c r="L460" t="s">
        <v>21</v>
      </c>
      <c r="M460">
        <v>1</v>
      </c>
    </row>
    <row r="461" spans="1:13" x14ac:dyDescent="0.25">
      <c r="A461" t="s">
        <v>245</v>
      </c>
      <c r="B461" t="s">
        <v>77</v>
      </c>
      <c r="C461" t="s">
        <v>14</v>
      </c>
      <c r="D461" t="s">
        <v>15</v>
      </c>
      <c r="E461">
        <v>931</v>
      </c>
      <c r="F461">
        <v>0.08</v>
      </c>
      <c r="G461">
        <v>150</v>
      </c>
      <c r="H461" s="1">
        <v>45741</v>
      </c>
      <c r="I461">
        <v>2025</v>
      </c>
      <c r="J461">
        <v>3</v>
      </c>
      <c r="K461" t="s">
        <v>36</v>
      </c>
      <c r="L461">
        <v>0</v>
      </c>
      <c r="M461">
        <v>1</v>
      </c>
    </row>
    <row r="462" spans="1:13" x14ac:dyDescent="0.25">
      <c r="A462" t="s">
        <v>462</v>
      </c>
      <c r="B462" t="s">
        <v>13</v>
      </c>
      <c r="C462" t="s">
        <v>14</v>
      </c>
      <c r="D462" t="s">
        <v>55</v>
      </c>
      <c r="E462">
        <v>68</v>
      </c>
      <c r="F462" t="s">
        <v>21</v>
      </c>
      <c r="G462">
        <v>770</v>
      </c>
      <c r="H462" s="1">
        <v>45741</v>
      </c>
      <c r="I462">
        <v>2025</v>
      </c>
      <c r="J462">
        <v>3</v>
      </c>
      <c r="K462" t="s">
        <v>36</v>
      </c>
      <c r="L462" t="s">
        <v>21</v>
      </c>
      <c r="M462">
        <v>1</v>
      </c>
    </row>
    <row r="463" spans="1:13" x14ac:dyDescent="0.25">
      <c r="A463" t="s">
        <v>463</v>
      </c>
      <c r="B463" t="s">
        <v>38</v>
      </c>
      <c r="C463" t="s">
        <v>14</v>
      </c>
      <c r="D463" t="s">
        <v>33</v>
      </c>
      <c r="E463">
        <v>20</v>
      </c>
      <c r="F463" t="s">
        <v>21</v>
      </c>
      <c r="G463">
        <v>47</v>
      </c>
      <c r="H463" s="1">
        <v>45741</v>
      </c>
      <c r="I463">
        <v>2025</v>
      </c>
      <c r="J463">
        <v>3</v>
      </c>
      <c r="K463" t="s">
        <v>30</v>
      </c>
      <c r="L463" t="s">
        <v>21</v>
      </c>
      <c r="M463">
        <v>1</v>
      </c>
    </row>
    <row r="464" spans="1:13" x14ac:dyDescent="0.25">
      <c r="A464" t="s">
        <v>464</v>
      </c>
      <c r="B464" t="s">
        <v>54</v>
      </c>
      <c r="C464" t="s">
        <v>14</v>
      </c>
      <c r="D464" t="s">
        <v>20</v>
      </c>
      <c r="E464">
        <v>198</v>
      </c>
      <c r="F464">
        <v>0.33</v>
      </c>
      <c r="G464">
        <v>145</v>
      </c>
      <c r="H464" s="1">
        <v>45735</v>
      </c>
      <c r="I464">
        <v>2025</v>
      </c>
      <c r="J464">
        <v>3</v>
      </c>
      <c r="K464" t="s">
        <v>36</v>
      </c>
      <c r="L464">
        <v>0</v>
      </c>
      <c r="M464">
        <v>1</v>
      </c>
    </row>
    <row r="465" spans="1:13" x14ac:dyDescent="0.25">
      <c r="A465" t="s">
        <v>465</v>
      </c>
      <c r="B465" t="s">
        <v>54</v>
      </c>
      <c r="C465" t="s">
        <v>14</v>
      </c>
      <c r="D465" t="s">
        <v>15</v>
      </c>
      <c r="E465">
        <v>130</v>
      </c>
      <c r="F465">
        <v>0.03</v>
      </c>
      <c r="G465" t="s">
        <v>21</v>
      </c>
      <c r="H465" s="1">
        <v>45735</v>
      </c>
      <c r="I465">
        <v>2025</v>
      </c>
      <c r="J465">
        <v>3</v>
      </c>
      <c r="K465" t="s">
        <v>22</v>
      </c>
      <c r="L465">
        <v>0</v>
      </c>
      <c r="M465">
        <v>1</v>
      </c>
    </row>
    <row r="466" spans="1:13" x14ac:dyDescent="0.25">
      <c r="A466" t="s">
        <v>466</v>
      </c>
      <c r="B466" t="s">
        <v>95</v>
      </c>
      <c r="C466" t="s">
        <v>14</v>
      </c>
      <c r="D466" t="s">
        <v>15</v>
      </c>
      <c r="E466">
        <v>273</v>
      </c>
      <c r="F466" t="s">
        <v>21</v>
      </c>
      <c r="G466">
        <v>367</v>
      </c>
      <c r="H466" s="1">
        <v>45733</v>
      </c>
      <c r="I466">
        <v>2025</v>
      </c>
      <c r="J466">
        <v>3</v>
      </c>
      <c r="K466" t="s">
        <v>36</v>
      </c>
      <c r="L466" t="s">
        <v>21</v>
      </c>
      <c r="M466">
        <v>1</v>
      </c>
    </row>
    <row r="467" spans="1:13" x14ac:dyDescent="0.25">
      <c r="A467" t="s">
        <v>467</v>
      </c>
      <c r="B467" t="s">
        <v>28</v>
      </c>
      <c r="C467" t="s">
        <v>29</v>
      </c>
      <c r="D467" t="s">
        <v>20</v>
      </c>
      <c r="E467">
        <v>45</v>
      </c>
      <c r="F467">
        <v>0.56000000000000005</v>
      </c>
      <c r="G467" t="s">
        <v>21</v>
      </c>
      <c r="H467" s="1">
        <v>45733</v>
      </c>
      <c r="I467">
        <v>2025</v>
      </c>
      <c r="J467">
        <v>3</v>
      </c>
      <c r="K467" t="s">
        <v>22</v>
      </c>
      <c r="L467">
        <v>0</v>
      </c>
      <c r="M467">
        <v>1</v>
      </c>
    </row>
    <row r="468" spans="1:13" x14ac:dyDescent="0.25">
      <c r="A468" t="s">
        <v>468</v>
      </c>
      <c r="B468" t="s">
        <v>28</v>
      </c>
      <c r="C468" t="s">
        <v>14</v>
      </c>
      <c r="D468" t="s">
        <v>33</v>
      </c>
      <c r="E468">
        <v>22</v>
      </c>
      <c r="F468">
        <v>7.0000000000000007E-2</v>
      </c>
      <c r="G468">
        <v>100</v>
      </c>
      <c r="H468" s="1">
        <v>45729</v>
      </c>
      <c r="I468">
        <v>2025</v>
      </c>
      <c r="J468">
        <v>3</v>
      </c>
      <c r="K468" t="s">
        <v>36</v>
      </c>
      <c r="L468">
        <v>0</v>
      </c>
      <c r="M468">
        <v>1</v>
      </c>
    </row>
    <row r="469" spans="1:13" x14ac:dyDescent="0.25">
      <c r="A469" t="s">
        <v>469</v>
      </c>
      <c r="B469" t="s">
        <v>93</v>
      </c>
      <c r="C469" t="s">
        <v>29</v>
      </c>
      <c r="D469" t="s">
        <v>33</v>
      </c>
      <c r="E469">
        <v>22</v>
      </c>
      <c r="F469">
        <v>0.25</v>
      </c>
      <c r="G469">
        <v>48</v>
      </c>
      <c r="H469" s="1">
        <v>45726</v>
      </c>
      <c r="I469">
        <v>2025</v>
      </c>
      <c r="J469">
        <v>3</v>
      </c>
      <c r="K469" t="s">
        <v>30</v>
      </c>
      <c r="L469">
        <v>0</v>
      </c>
      <c r="M469">
        <v>1</v>
      </c>
    </row>
    <row r="470" spans="1:13" x14ac:dyDescent="0.25">
      <c r="A470" t="s">
        <v>470</v>
      </c>
      <c r="B470" t="s">
        <v>66</v>
      </c>
      <c r="C470" t="s">
        <v>80</v>
      </c>
      <c r="D470" t="s">
        <v>15</v>
      </c>
      <c r="E470" t="s">
        <v>21</v>
      </c>
      <c r="F470">
        <v>1</v>
      </c>
      <c r="G470">
        <v>629</v>
      </c>
      <c r="H470" s="1">
        <v>45726</v>
      </c>
      <c r="I470">
        <v>2025</v>
      </c>
      <c r="J470">
        <v>3</v>
      </c>
      <c r="K470" t="s">
        <v>36</v>
      </c>
      <c r="L470">
        <v>1</v>
      </c>
      <c r="M470">
        <v>1</v>
      </c>
    </row>
    <row r="471" spans="1:13" x14ac:dyDescent="0.25">
      <c r="A471" t="s">
        <v>471</v>
      </c>
      <c r="B471" t="s">
        <v>117</v>
      </c>
      <c r="C471" t="s">
        <v>14</v>
      </c>
      <c r="D471" t="s">
        <v>20</v>
      </c>
      <c r="E471" t="s">
        <v>21</v>
      </c>
      <c r="F471" t="s">
        <v>21</v>
      </c>
      <c r="G471">
        <v>50</v>
      </c>
      <c r="H471" s="1">
        <v>45725</v>
      </c>
      <c r="I471">
        <v>2025</v>
      </c>
      <c r="J471">
        <v>3</v>
      </c>
      <c r="K471" t="s">
        <v>30</v>
      </c>
      <c r="L471" t="s">
        <v>21</v>
      </c>
      <c r="M471">
        <v>0</v>
      </c>
    </row>
    <row r="472" spans="1:13" x14ac:dyDescent="0.25">
      <c r="A472" t="s">
        <v>472</v>
      </c>
      <c r="B472" t="s">
        <v>24</v>
      </c>
      <c r="C472" t="s">
        <v>83</v>
      </c>
      <c r="D472" t="s">
        <v>15</v>
      </c>
      <c r="E472">
        <v>340</v>
      </c>
      <c r="F472" t="s">
        <v>21</v>
      </c>
      <c r="G472">
        <v>1700</v>
      </c>
      <c r="H472" s="1">
        <v>45723</v>
      </c>
      <c r="I472">
        <v>2025</v>
      </c>
      <c r="J472">
        <v>3</v>
      </c>
      <c r="K472" t="s">
        <v>26</v>
      </c>
      <c r="L472" t="s">
        <v>21</v>
      </c>
      <c r="M472">
        <v>1</v>
      </c>
    </row>
    <row r="473" spans="1:13" x14ac:dyDescent="0.25">
      <c r="A473" t="s">
        <v>206</v>
      </c>
      <c r="B473" t="s">
        <v>207</v>
      </c>
      <c r="C473" t="s">
        <v>208</v>
      </c>
      <c r="D473" t="s">
        <v>22</v>
      </c>
      <c r="E473">
        <v>80</v>
      </c>
      <c r="F473">
        <v>0.1</v>
      </c>
      <c r="G473" t="s">
        <v>21</v>
      </c>
      <c r="H473" s="1">
        <v>45723</v>
      </c>
      <c r="I473">
        <v>2025</v>
      </c>
      <c r="J473">
        <v>3</v>
      </c>
      <c r="K473" t="s">
        <v>22</v>
      </c>
      <c r="L473">
        <v>0</v>
      </c>
      <c r="M473">
        <v>1</v>
      </c>
    </row>
    <row r="474" spans="1:13" x14ac:dyDescent="0.25">
      <c r="A474" t="s">
        <v>333</v>
      </c>
      <c r="B474" t="s">
        <v>70</v>
      </c>
      <c r="C474" t="s">
        <v>14</v>
      </c>
      <c r="D474" t="s">
        <v>15</v>
      </c>
      <c r="E474">
        <v>2500</v>
      </c>
      <c r="F474">
        <v>0.05</v>
      </c>
      <c r="G474">
        <v>1400</v>
      </c>
      <c r="H474" s="1">
        <v>45722</v>
      </c>
      <c r="I474">
        <v>2025</v>
      </c>
      <c r="J474">
        <v>3</v>
      </c>
      <c r="K474" t="s">
        <v>26</v>
      </c>
      <c r="L474">
        <v>0</v>
      </c>
      <c r="M474">
        <v>1</v>
      </c>
    </row>
    <row r="475" spans="1:13" x14ac:dyDescent="0.25">
      <c r="A475" t="s">
        <v>17</v>
      </c>
      <c r="B475" t="s">
        <v>18</v>
      </c>
      <c r="C475" t="s">
        <v>19</v>
      </c>
      <c r="D475" t="s">
        <v>20</v>
      </c>
      <c r="E475">
        <v>300</v>
      </c>
      <c r="F475" t="s">
        <v>21</v>
      </c>
      <c r="G475" t="s">
        <v>21</v>
      </c>
      <c r="H475" s="1">
        <v>45722</v>
      </c>
      <c r="I475">
        <v>2025</v>
      </c>
      <c r="J475">
        <v>3</v>
      </c>
      <c r="K475" t="s">
        <v>22</v>
      </c>
      <c r="L475" t="s">
        <v>21</v>
      </c>
      <c r="M475">
        <v>1</v>
      </c>
    </row>
    <row r="476" spans="1:13" x14ac:dyDescent="0.25">
      <c r="A476" t="s">
        <v>473</v>
      </c>
      <c r="B476" t="s">
        <v>54</v>
      </c>
      <c r="C476" t="s">
        <v>14</v>
      </c>
      <c r="D476" t="s">
        <v>15</v>
      </c>
      <c r="E476">
        <v>65</v>
      </c>
      <c r="F476">
        <v>0.05</v>
      </c>
      <c r="G476">
        <v>16</v>
      </c>
      <c r="H476" s="1">
        <v>45721</v>
      </c>
      <c r="I476">
        <v>2025</v>
      </c>
      <c r="J476">
        <v>3</v>
      </c>
      <c r="K476" t="s">
        <v>30</v>
      </c>
      <c r="L476">
        <v>0</v>
      </c>
      <c r="M476">
        <v>1</v>
      </c>
    </row>
    <row r="477" spans="1:13" x14ac:dyDescent="0.25">
      <c r="A477" t="s">
        <v>474</v>
      </c>
      <c r="B477" t="s">
        <v>66</v>
      </c>
      <c r="C477" t="s">
        <v>48</v>
      </c>
      <c r="D477" t="s">
        <v>15</v>
      </c>
      <c r="E477">
        <v>1000</v>
      </c>
      <c r="F477" t="s">
        <v>21</v>
      </c>
      <c r="G477">
        <v>1700</v>
      </c>
      <c r="H477" s="1">
        <v>45719</v>
      </c>
      <c r="I477">
        <v>2025</v>
      </c>
      <c r="J477">
        <v>3</v>
      </c>
      <c r="K477" t="s">
        <v>26</v>
      </c>
      <c r="L477" t="s">
        <v>21</v>
      </c>
      <c r="M477">
        <v>1</v>
      </c>
    </row>
    <row r="478" spans="1:13" x14ac:dyDescent="0.25">
      <c r="A478" t="s">
        <v>214</v>
      </c>
      <c r="B478" t="s">
        <v>18</v>
      </c>
      <c r="C478" t="s">
        <v>14</v>
      </c>
      <c r="D478" t="s">
        <v>43</v>
      </c>
      <c r="E478" t="s">
        <v>21</v>
      </c>
      <c r="F478">
        <v>0.16</v>
      </c>
      <c r="G478">
        <v>294</v>
      </c>
      <c r="H478" s="1">
        <v>45719</v>
      </c>
      <c r="I478">
        <v>2025</v>
      </c>
      <c r="J478">
        <v>3</v>
      </c>
      <c r="K478" t="s">
        <v>36</v>
      </c>
      <c r="L478">
        <v>0</v>
      </c>
      <c r="M478">
        <v>1</v>
      </c>
    </row>
    <row r="479" spans="1:13" x14ac:dyDescent="0.25">
      <c r="A479" t="s">
        <v>475</v>
      </c>
      <c r="B479" t="s">
        <v>24</v>
      </c>
      <c r="C479" t="s">
        <v>48</v>
      </c>
      <c r="D479" t="s">
        <v>20</v>
      </c>
      <c r="E479" t="s">
        <v>21</v>
      </c>
      <c r="F479">
        <v>1</v>
      </c>
      <c r="G479">
        <v>2</v>
      </c>
      <c r="H479" s="1">
        <v>45718</v>
      </c>
      <c r="I479">
        <v>2025</v>
      </c>
      <c r="J479">
        <v>3</v>
      </c>
      <c r="K479" t="s">
        <v>16</v>
      </c>
      <c r="L479">
        <v>1</v>
      </c>
      <c r="M479">
        <v>1</v>
      </c>
    </row>
    <row r="480" spans="1:13" x14ac:dyDescent="0.25">
      <c r="A480" t="s">
        <v>320</v>
      </c>
      <c r="B480" t="s">
        <v>70</v>
      </c>
      <c r="C480" t="s">
        <v>14</v>
      </c>
      <c r="D480" t="s">
        <v>15</v>
      </c>
      <c r="E480">
        <v>4000</v>
      </c>
      <c r="F480">
        <v>0.1</v>
      </c>
      <c r="G480" t="s">
        <v>21</v>
      </c>
      <c r="H480" s="1">
        <v>45716</v>
      </c>
      <c r="I480">
        <v>2025</v>
      </c>
      <c r="J480">
        <v>2</v>
      </c>
      <c r="K480" t="s">
        <v>22</v>
      </c>
      <c r="L480">
        <v>0</v>
      </c>
      <c r="M480">
        <v>1</v>
      </c>
    </row>
    <row r="481" spans="1:13" x14ac:dyDescent="0.25">
      <c r="A481" t="s">
        <v>476</v>
      </c>
      <c r="B481" t="s">
        <v>95</v>
      </c>
      <c r="C481" t="s">
        <v>14</v>
      </c>
      <c r="D481" t="s">
        <v>20</v>
      </c>
      <c r="E481">
        <v>500</v>
      </c>
      <c r="F481">
        <v>0.23</v>
      </c>
      <c r="G481">
        <v>284</v>
      </c>
      <c r="H481" s="1">
        <v>45716</v>
      </c>
      <c r="I481">
        <v>2025</v>
      </c>
      <c r="J481">
        <v>2</v>
      </c>
      <c r="K481" t="s">
        <v>36</v>
      </c>
      <c r="L481">
        <v>0</v>
      </c>
      <c r="M481">
        <v>1</v>
      </c>
    </row>
    <row r="482" spans="1:13" x14ac:dyDescent="0.25">
      <c r="A482" t="s">
        <v>282</v>
      </c>
      <c r="B482" t="s">
        <v>13</v>
      </c>
      <c r="C482" t="s">
        <v>14</v>
      </c>
      <c r="D482" t="s">
        <v>15</v>
      </c>
      <c r="E482">
        <v>1350</v>
      </c>
      <c r="F482">
        <v>0.09</v>
      </c>
      <c r="G482" t="s">
        <v>21</v>
      </c>
      <c r="H482" s="1">
        <v>45715</v>
      </c>
      <c r="I482">
        <v>2025</v>
      </c>
      <c r="J482">
        <v>2</v>
      </c>
      <c r="K482" t="s">
        <v>22</v>
      </c>
      <c r="L482">
        <v>0</v>
      </c>
      <c r="M482">
        <v>1</v>
      </c>
    </row>
    <row r="483" spans="1:13" x14ac:dyDescent="0.25">
      <c r="A483" t="s">
        <v>477</v>
      </c>
      <c r="B483" t="s">
        <v>13</v>
      </c>
      <c r="C483" t="s">
        <v>14</v>
      </c>
      <c r="D483" t="s">
        <v>15</v>
      </c>
      <c r="E483">
        <v>90</v>
      </c>
      <c r="F483">
        <v>0.4</v>
      </c>
      <c r="G483">
        <v>105</v>
      </c>
      <c r="H483" s="1">
        <v>45715</v>
      </c>
      <c r="I483">
        <v>2025</v>
      </c>
      <c r="J483">
        <v>2</v>
      </c>
      <c r="K483" t="s">
        <v>36</v>
      </c>
      <c r="L483">
        <v>0</v>
      </c>
      <c r="M483">
        <v>1</v>
      </c>
    </row>
    <row r="484" spans="1:13" x14ac:dyDescent="0.25">
      <c r="A484" t="s">
        <v>108</v>
      </c>
      <c r="B484" t="s">
        <v>18</v>
      </c>
      <c r="C484" t="s">
        <v>14</v>
      </c>
      <c r="D484" t="s">
        <v>15</v>
      </c>
      <c r="E484" t="s">
        <v>21</v>
      </c>
      <c r="F484" t="s">
        <v>21</v>
      </c>
      <c r="G484">
        <v>26</v>
      </c>
      <c r="H484" s="1">
        <v>45715</v>
      </c>
      <c r="I484">
        <v>2025</v>
      </c>
      <c r="J484">
        <v>2</v>
      </c>
      <c r="K484" t="s">
        <v>30</v>
      </c>
      <c r="L484" t="s">
        <v>21</v>
      </c>
      <c r="M484">
        <v>0</v>
      </c>
    </row>
    <row r="485" spans="1:13" x14ac:dyDescent="0.25">
      <c r="A485" t="s">
        <v>478</v>
      </c>
      <c r="B485" t="s">
        <v>77</v>
      </c>
      <c r="C485" t="s">
        <v>14</v>
      </c>
      <c r="D485" t="s">
        <v>111</v>
      </c>
      <c r="E485">
        <v>125</v>
      </c>
      <c r="F485" t="s">
        <v>21</v>
      </c>
      <c r="G485">
        <v>263</v>
      </c>
      <c r="H485" s="1">
        <v>45714</v>
      </c>
      <c r="I485">
        <v>2025</v>
      </c>
      <c r="J485">
        <v>2</v>
      </c>
      <c r="K485" t="s">
        <v>36</v>
      </c>
      <c r="L485" t="s">
        <v>21</v>
      </c>
      <c r="M485">
        <v>1</v>
      </c>
    </row>
    <row r="486" spans="1:13" x14ac:dyDescent="0.25">
      <c r="A486" t="s">
        <v>247</v>
      </c>
      <c r="B486" t="s">
        <v>24</v>
      </c>
      <c r="C486" t="s">
        <v>29</v>
      </c>
      <c r="D486" t="s">
        <v>15</v>
      </c>
      <c r="E486">
        <v>20</v>
      </c>
      <c r="F486" t="s">
        <v>21</v>
      </c>
      <c r="G486">
        <v>1200</v>
      </c>
      <c r="H486" s="1">
        <v>45714</v>
      </c>
      <c r="I486">
        <v>2025</v>
      </c>
      <c r="J486">
        <v>2</v>
      </c>
      <c r="K486" t="s">
        <v>26</v>
      </c>
      <c r="L486" t="s">
        <v>21</v>
      </c>
      <c r="M486">
        <v>1</v>
      </c>
    </row>
    <row r="487" spans="1:13" x14ac:dyDescent="0.25">
      <c r="A487" t="s">
        <v>479</v>
      </c>
      <c r="B487" t="s">
        <v>24</v>
      </c>
      <c r="C487" t="s">
        <v>83</v>
      </c>
      <c r="D487" t="s">
        <v>46</v>
      </c>
      <c r="E487" t="s">
        <v>21</v>
      </c>
      <c r="F487">
        <v>0.1</v>
      </c>
      <c r="G487">
        <v>119</v>
      </c>
      <c r="H487" s="1">
        <v>45714</v>
      </c>
      <c r="I487">
        <v>2025</v>
      </c>
      <c r="J487">
        <v>2</v>
      </c>
      <c r="K487" t="s">
        <v>36</v>
      </c>
      <c r="L487">
        <v>0</v>
      </c>
      <c r="M487">
        <v>1</v>
      </c>
    </row>
    <row r="488" spans="1:13" x14ac:dyDescent="0.25">
      <c r="A488" t="s">
        <v>263</v>
      </c>
      <c r="B488" t="s">
        <v>40</v>
      </c>
      <c r="C488" t="s">
        <v>174</v>
      </c>
      <c r="D488" t="s">
        <v>15</v>
      </c>
      <c r="E488" t="s">
        <v>21</v>
      </c>
      <c r="F488">
        <v>0.05</v>
      </c>
      <c r="G488">
        <v>40</v>
      </c>
      <c r="H488" s="1">
        <v>45714</v>
      </c>
      <c r="I488">
        <v>2025</v>
      </c>
      <c r="J488">
        <v>2</v>
      </c>
      <c r="K488" t="s">
        <v>30</v>
      </c>
      <c r="L488">
        <v>0</v>
      </c>
      <c r="M488">
        <v>1</v>
      </c>
    </row>
    <row r="489" spans="1:13" x14ac:dyDescent="0.25">
      <c r="A489" t="s">
        <v>270</v>
      </c>
      <c r="B489" t="s">
        <v>73</v>
      </c>
      <c r="C489" t="s">
        <v>14</v>
      </c>
      <c r="D489" t="s">
        <v>15</v>
      </c>
      <c r="E489" t="s">
        <v>21</v>
      </c>
      <c r="F489" t="s">
        <v>21</v>
      </c>
      <c r="G489">
        <v>3300</v>
      </c>
      <c r="H489" s="1">
        <v>45714</v>
      </c>
      <c r="I489">
        <v>2025</v>
      </c>
      <c r="J489">
        <v>2</v>
      </c>
      <c r="K489" t="s">
        <v>26</v>
      </c>
      <c r="L489" t="s">
        <v>21</v>
      </c>
      <c r="M489">
        <v>0</v>
      </c>
    </row>
    <row r="490" spans="1:13" x14ac:dyDescent="0.25">
      <c r="A490" t="s">
        <v>480</v>
      </c>
      <c r="B490" t="s">
        <v>28</v>
      </c>
      <c r="C490" t="s">
        <v>14</v>
      </c>
      <c r="D490" t="s">
        <v>81</v>
      </c>
      <c r="E490">
        <v>300</v>
      </c>
      <c r="F490">
        <v>1</v>
      </c>
      <c r="G490">
        <v>335</v>
      </c>
      <c r="H490" s="1">
        <v>45712</v>
      </c>
      <c r="I490">
        <v>2025</v>
      </c>
      <c r="J490">
        <v>2</v>
      </c>
      <c r="K490" t="s">
        <v>36</v>
      </c>
      <c r="L490">
        <v>1</v>
      </c>
      <c r="M490">
        <v>1</v>
      </c>
    </row>
    <row r="491" spans="1:13" x14ac:dyDescent="0.25">
      <c r="A491" t="s">
        <v>481</v>
      </c>
      <c r="B491" t="s">
        <v>35</v>
      </c>
      <c r="C491" t="s">
        <v>14</v>
      </c>
      <c r="D491" t="s">
        <v>68</v>
      </c>
      <c r="E491" t="s">
        <v>21</v>
      </c>
      <c r="F491">
        <v>1</v>
      </c>
      <c r="G491">
        <v>28</v>
      </c>
      <c r="H491" s="1">
        <v>45712</v>
      </c>
      <c r="I491">
        <v>2025</v>
      </c>
      <c r="J491">
        <v>2</v>
      </c>
      <c r="K491" t="s">
        <v>30</v>
      </c>
      <c r="L491">
        <v>1</v>
      </c>
      <c r="M491">
        <v>1</v>
      </c>
    </row>
    <row r="492" spans="1:13" x14ac:dyDescent="0.25">
      <c r="A492" t="s">
        <v>482</v>
      </c>
      <c r="B492" t="s">
        <v>24</v>
      </c>
      <c r="C492" t="s">
        <v>14</v>
      </c>
      <c r="D492" t="s">
        <v>15</v>
      </c>
      <c r="E492">
        <v>70</v>
      </c>
      <c r="F492">
        <v>0.08</v>
      </c>
      <c r="G492">
        <v>93</v>
      </c>
      <c r="H492" s="1">
        <v>45710</v>
      </c>
      <c r="I492">
        <v>2025</v>
      </c>
      <c r="J492">
        <v>2</v>
      </c>
      <c r="K492" t="s">
        <v>30</v>
      </c>
      <c r="L492">
        <v>0</v>
      </c>
      <c r="M492">
        <v>1</v>
      </c>
    </row>
    <row r="493" spans="1:13" x14ac:dyDescent="0.25">
      <c r="A493" t="s">
        <v>483</v>
      </c>
      <c r="B493" t="s">
        <v>18</v>
      </c>
      <c r="C493" t="s">
        <v>381</v>
      </c>
      <c r="D493" t="s">
        <v>15</v>
      </c>
      <c r="E493" t="s">
        <v>21</v>
      </c>
      <c r="F493" t="s">
        <v>21</v>
      </c>
      <c r="G493" t="s">
        <v>21</v>
      </c>
      <c r="H493" s="1">
        <v>45710</v>
      </c>
      <c r="I493">
        <v>2025</v>
      </c>
      <c r="J493">
        <v>2</v>
      </c>
      <c r="K493" t="s">
        <v>22</v>
      </c>
      <c r="L493" t="s">
        <v>21</v>
      </c>
      <c r="M493">
        <v>0</v>
      </c>
    </row>
    <row r="494" spans="1:13" x14ac:dyDescent="0.25">
      <c r="A494" t="s">
        <v>221</v>
      </c>
      <c r="B494" t="s">
        <v>89</v>
      </c>
      <c r="C494" t="s">
        <v>14</v>
      </c>
      <c r="D494" t="s">
        <v>20</v>
      </c>
      <c r="E494">
        <v>51</v>
      </c>
      <c r="F494" t="s">
        <v>21</v>
      </c>
      <c r="G494">
        <v>85</v>
      </c>
      <c r="H494" s="1">
        <v>45709</v>
      </c>
      <c r="I494">
        <v>2025</v>
      </c>
      <c r="J494">
        <v>2</v>
      </c>
      <c r="K494" t="s">
        <v>30</v>
      </c>
      <c r="L494" t="s">
        <v>21</v>
      </c>
      <c r="M494">
        <v>1</v>
      </c>
    </row>
    <row r="495" spans="1:13" x14ac:dyDescent="0.25">
      <c r="A495" t="s">
        <v>484</v>
      </c>
      <c r="B495" t="s">
        <v>217</v>
      </c>
      <c r="C495" t="s">
        <v>29</v>
      </c>
      <c r="D495" t="s">
        <v>22</v>
      </c>
      <c r="E495" t="s">
        <v>21</v>
      </c>
      <c r="F495">
        <v>1</v>
      </c>
      <c r="G495">
        <v>8</v>
      </c>
      <c r="H495" s="1">
        <v>45709</v>
      </c>
      <c r="I495">
        <v>2025</v>
      </c>
      <c r="J495">
        <v>2</v>
      </c>
      <c r="K495" t="s">
        <v>16</v>
      </c>
      <c r="L495">
        <v>1</v>
      </c>
      <c r="M495">
        <v>1</v>
      </c>
    </row>
    <row r="496" spans="1:13" x14ac:dyDescent="0.25">
      <c r="A496" t="s">
        <v>485</v>
      </c>
      <c r="B496" t="s">
        <v>18</v>
      </c>
      <c r="C496" t="s">
        <v>14</v>
      </c>
      <c r="D496" t="s">
        <v>111</v>
      </c>
      <c r="E496">
        <v>150</v>
      </c>
      <c r="F496">
        <v>0.15</v>
      </c>
      <c r="G496">
        <v>400</v>
      </c>
      <c r="H496" s="1">
        <v>45708</v>
      </c>
      <c r="I496">
        <v>2025</v>
      </c>
      <c r="J496">
        <v>2</v>
      </c>
      <c r="K496" t="s">
        <v>36</v>
      </c>
      <c r="L496">
        <v>0</v>
      </c>
      <c r="M496">
        <v>1</v>
      </c>
    </row>
    <row r="497" spans="1:13" x14ac:dyDescent="0.25">
      <c r="A497" t="s">
        <v>486</v>
      </c>
      <c r="B497" t="s">
        <v>95</v>
      </c>
      <c r="C497" t="s">
        <v>143</v>
      </c>
      <c r="D497" t="s">
        <v>68</v>
      </c>
      <c r="E497">
        <v>120</v>
      </c>
      <c r="F497">
        <v>0.44</v>
      </c>
      <c r="G497">
        <v>43</v>
      </c>
      <c r="H497" s="1">
        <v>45707</v>
      </c>
      <c r="I497">
        <v>2025</v>
      </c>
      <c r="J497">
        <v>2</v>
      </c>
      <c r="K497" t="s">
        <v>30</v>
      </c>
      <c r="L497">
        <v>0</v>
      </c>
      <c r="M497">
        <v>1</v>
      </c>
    </row>
    <row r="498" spans="1:13" x14ac:dyDescent="0.25">
      <c r="A498" t="s">
        <v>487</v>
      </c>
      <c r="B498" t="s">
        <v>24</v>
      </c>
      <c r="C498" t="s">
        <v>14</v>
      </c>
      <c r="D498" t="s">
        <v>15</v>
      </c>
      <c r="E498" t="s">
        <v>21</v>
      </c>
      <c r="F498" t="s">
        <v>21</v>
      </c>
      <c r="G498">
        <v>229</v>
      </c>
      <c r="H498" s="1">
        <v>45707</v>
      </c>
      <c r="I498">
        <v>2025</v>
      </c>
      <c r="J498">
        <v>2</v>
      </c>
      <c r="K498" t="s">
        <v>36</v>
      </c>
      <c r="L498" t="s">
        <v>21</v>
      </c>
      <c r="M498">
        <v>0</v>
      </c>
    </row>
    <row r="499" spans="1:13" x14ac:dyDescent="0.25">
      <c r="A499" t="s">
        <v>488</v>
      </c>
      <c r="B499" t="s">
        <v>93</v>
      </c>
      <c r="C499" t="s">
        <v>80</v>
      </c>
      <c r="D499" t="s">
        <v>68</v>
      </c>
      <c r="E499">
        <v>40</v>
      </c>
      <c r="F499">
        <v>0.2</v>
      </c>
      <c r="G499">
        <v>37</v>
      </c>
      <c r="H499" s="1">
        <v>45705</v>
      </c>
      <c r="I499">
        <v>2025</v>
      </c>
      <c r="J499">
        <v>2</v>
      </c>
      <c r="K499" t="s">
        <v>30</v>
      </c>
      <c r="L499">
        <v>0</v>
      </c>
      <c r="M499">
        <v>1</v>
      </c>
    </row>
    <row r="500" spans="1:13" x14ac:dyDescent="0.25">
      <c r="A500" t="s">
        <v>489</v>
      </c>
      <c r="B500" t="s">
        <v>490</v>
      </c>
      <c r="C500" t="s">
        <v>29</v>
      </c>
      <c r="D500" t="s">
        <v>20</v>
      </c>
      <c r="E500" t="s">
        <v>21</v>
      </c>
      <c r="F500" t="s">
        <v>21</v>
      </c>
      <c r="G500">
        <v>140</v>
      </c>
      <c r="H500" s="1">
        <v>45702</v>
      </c>
      <c r="I500">
        <v>2025</v>
      </c>
      <c r="J500">
        <v>2</v>
      </c>
      <c r="K500" t="s">
        <v>36</v>
      </c>
      <c r="L500" t="s">
        <v>21</v>
      </c>
      <c r="M500">
        <v>0</v>
      </c>
    </row>
    <row r="501" spans="1:13" x14ac:dyDescent="0.25">
      <c r="A501" t="s">
        <v>491</v>
      </c>
      <c r="B501" t="s">
        <v>490</v>
      </c>
      <c r="C501" t="s">
        <v>14</v>
      </c>
      <c r="D501" t="s">
        <v>22</v>
      </c>
      <c r="E501">
        <v>1000</v>
      </c>
      <c r="F501">
        <v>0.1</v>
      </c>
      <c r="G501">
        <v>167</v>
      </c>
      <c r="H501" s="1">
        <v>45701</v>
      </c>
      <c r="I501">
        <v>2025</v>
      </c>
      <c r="J501">
        <v>2</v>
      </c>
      <c r="K501" t="s">
        <v>36</v>
      </c>
      <c r="L501">
        <v>0</v>
      </c>
      <c r="M501">
        <v>1</v>
      </c>
    </row>
    <row r="502" spans="1:13" x14ac:dyDescent="0.25">
      <c r="A502" t="s">
        <v>492</v>
      </c>
      <c r="B502" t="s">
        <v>117</v>
      </c>
      <c r="C502" t="s">
        <v>143</v>
      </c>
      <c r="D502" t="s">
        <v>22</v>
      </c>
      <c r="E502">
        <v>150</v>
      </c>
      <c r="F502" t="s">
        <v>21</v>
      </c>
      <c r="G502">
        <v>64</v>
      </c>
      <c r="H502" s="1">
        <v>45701</v>
      </c>
      <c r="I502">
        <v>2025</v>
      </c>
      <c r="J502">
        <v>2</v>
      </c>
      <c r="K502" t="s">
        <v>30</v>
      </c>
      <c r="L502" t="s">
        <v>21</v>
      </c>
      <c r="M502">
        <v>1</v>
      </c>
    </row>
    <row r="503" spans="1:13" x14ac:dyDescent="0.25">
      <c r="A503" t="s">
        <v>493</v>
      </c>
      <c r="B503" t="s">
        <v>28</v>
      </c>
      <c r="C503" t="s">
        <v>80</v>
      </c>
      <c r="D503" t="s">
        <v>20</v>
      </c>
      <c r="E503" t="s">
        <v>21</v>
      </c>
      <c r="F503">
        <v>0.06</v>
      </c>
      <c r="G503">
        <v>125</v>
      </c>
      <c r="H503" s="1">
        <v>45701</v>
      </c>
      <c r="I503">
        <v>2025</v>
      </c>
      <c r="J503">
        <v>2</v>
      </c>
      <c r="K503" t="s">
        <v>36</v>
      </c>
      <c r="L503">
        <v>0</v>
      </c>
      <c r="M503">
        <v>1</v>
      </c>
    </row>
    <row r="504" spans="1:13" x14ac:dyDescent="0.25">
      <c r="A504" t="s">
        <v>494</v>
      </c>
      <c r="B504" t="s">
        <v>91</v>
      </c>
      <c r="C504" t="s">
        <v>14</v>
      </c>
      <c r="D504" t="s">
        <v>15</v>
      </c>
      <c r="E504">
        <v>450</v>
      </c>
      <c r="F504" t="s">
        <v>21</v>
      </c>
      <c r="G504">
        <v>320</v>
      </c>
      <c r="H504" s="1">
        <v>45700</v>
      </c>
      <c r="I504">
        <v>2025</v>
      </c>
      <c r="J504">
        <v>2</v>
      </c>
      <c r="K504" t="s">
        <v>36</v>
      </c>
      <c r="L504" t="s">
        <v>21</v>
      </c>
      <c r="M504">
        <v>1</v>
      </c>
    </row>
    <row r="505" spans="1:13" x14ac:dyDescent="0.25">
      <c r="A505" t="s">
        <v>495</v>
      </c>
      <c r="B505" t="s">
        <v>77</v>
      </c>
      <c r="C505" t="s">
        <v>80</v>
      </c>
      <c r="D505" t="s">
        <v>111</v>
      </c>
      <c r="E505">
        <v>200</v>
      </c>
      <c r="F505">
        <v>0.2</v>
      </c>
      <c r="G505">
        <v>700</v>
      </c>
      <c r="H505" s="1">
        <v>45700</v>
      </c>
      <c r="I505">
        <v>2025</v>
      </c>
      <c r="J505">
        <v>2</v>
      </c>
      <c r="K505" t="s">
        <v>36</v>
      </c>
      <c r="L505">
        <v>0</v>
      </c>
      <c r="M505">
        <v>1</v>
      </c>
    </row>
    <row r="506" spans="1:13" x14ac:dyDescent="0.25">
      <c r="A506" t="s">
        <v>496</v>
      </c>
      <c r="B506" t="s">
        <v>66</v>
      </c>
      <c r="C506" t="s">
        <v>14</v>
      </c>
      <c r="D506" t="s">
        <v>55</v>
      </c>
      <c r="E506" t="s">
        <v>21</v>
      </c>
      <c r="F506" t="s">
        <v>21</v>
      </c>
      <c r="G506">
        <v>403</v>
      </c>
      <c r="H506" s="1">
        <v>45700</v>
      </c>
      <c r="I506">
        <v>2025</v>
      </c>
      <c r="J506">
        <v>2</v>
      </c>
      <c r="K506" t="s">
        <v>36</v>
      </c>
      <c r="L506" t="s">
        <v>21</v>
      </c>
      <c r="M506">
        <v>0</v>
      </c>
    </row>
    <row r="507" spans="1:13" x14ac:dyDescent="0.25">
      <c r="A507" t="s">
        <v>497</v>
      </c>
      <c r="B507" t="s">
        <v>13</v>
      </c>
      <c r="C507" t="s">
        <v>14</v>
      </c>
      <c r="D507" t="s">
        <v>15</v>
      </c>
      <c r="E507" t="s">
        <v>21</v>
      </c>
      <c r="F507" t="s">
        <v>21</v>
      </c>
      <c r="G507">
        <v>1300</v>
      </c>
      <c r="H507" s="1">
        <v>45699</v>
      </c>
      <c r="I507">
        <v>2025</v>
      </c>
      <c r="J507">
        <v>2</v>
      </c>
      <c r="K507" t="s">
        <v>26</v>
      </c>
      <c r="L507" t="s">
        <v>21</v>
      </c>
      <c r="M507">
        <v>0</v>
      </c>
    </row>
    <row r="508" spans="1:13" x14ac:dyDescent="0.25">
      <c r="A508" t="s">
        <v>131</v>
      </c>
      <c r="B508" t="s">
        <v>18</v>
      </c>
      <c r="C508" t="s">
        <v>14</v>
      </c>
      <c r="D508" t="s">
        <v>15</v>
      </c>
      <c r="E508">
        <v>3600</v>
      </c>
      <c r="F508">
        <v>0.05</v>
      </c>
      <c r="G508">
        <v>26000</v>
      </c>
      <c r="H508" s="1">
        <v>45698</v>
      </c>
      <c r="I508">
        <v>2025</v>
      </c>
      <c r="J508">
        <v>2</v>
      </c>
      <c r="K508" t="s">
        <v>26</v>
      </c>
      <c r="L508">
        <v>0</v>
      </c>
      <c r="M508">
        <v>1</v>
      </c>
    </row>
    <row r="509" spans="1:13" x14ac:dyDescent="0.25">
      <c r="A509" t="s">
        <v>498</v>
      </c>
      <c r="B509" t="s">
        <v>77</v>
      </c>
      <c r="C509" t="s">
        <v>14</v>
      </c>
      <c r="D509" t="s">
        <v>15</v>
      </c>
      <c r="E509">
        <v>300</v>
      </c>
      <c r="F509" t="s">
        <v>21</v>
      </c>
      <c r="G509">
        <v>300</v>
      </c>
      <c r="H509" s="1">
        <v>45698</v>
      </c>
      <c r="I509">
        <v>2025</v>
      </c>
      <c r="J509">
        <v>2</v>
      </c>
      <c r="K509" t="s">
        <v>36</v>
      </c>
      <c r="L509" t="s">
        <v>21</v>
      </c>
      <c r="M509">
        <v>1</v>
      </c>
    </row>
    <row r="510" spans="1:13" x14ac:dyDescent="0.25">
      <c r="A510" t="s">
        <v>499</v>
      </c>
      <c r="B510" t="s">
        <v>40</v>
      </c>
      <c r="C510" t="s">
        <v>14</v>
      </c>
      <c r="D510" t="s">
        <v>22</v>
      </c>
      <c r="E510">
        <v>200</v>
      </c>
      <c r="F510" t="s">
        <v>21</v>
      </c>
      <c r="G510">
        <v>160</v>
      </c>
      <c r="H510" s="1">
        <v>45698</v>
      </c>
      <c r="I510">
        <v>2025</v>
      </c>
      <c r="J510">
        <v>2</v>
      </c>
      <c r="K510" t="s">
        <v>36</v>
      </c>
      <c r="L510" t="s">
        <v>21</v>
      </c>
      <c r="M510">
        <v>1</v>
      </c>
    </row>
    <row r="511" spans="1:13" x14ac:dyDescent="0.25">
      <c r="A511" t="s">
        <v>150</v>
      </c>
      <c r="B511" t="s">
        <v>13</v>
      </c>
      <c r="C511" t="s">
        <v>74</v>
      </c>
      <c r="D511" t="s">
        <v>46</v>
      </c>
      <c r="E511">
        <v>120</v>
      </c>
      <c r="F511">
        <v>0.33</v>
      </c>
      <c r="G511">
        <v>1100</v>
      </c>
      <c r="H511" s="1">
        <v>45698</v>
      </c>
      <c r="I511">
        <v>2025</v>
      </c>
      <c r="J511">
        <v>2</v>
      </c>
      <c r="K511" t="s">
        <v>26</v>
      </c>
      <c r="L511">
        <v>0</v>
      </c>
      <c r="M511">
        <v>1</v>
      </c>
    </row>
    <row r="512" spans="1:13" x14ac:dyDescent="0.25">
      <c r="A512" t="s">
        <v>500</v>
      </c>
      <c r="B512" t="s">
        <v>89</v>
      </c>
      <c r="C512" t="s">
        <v>14</v>
      </c>
      <c r="D512" t="s">
        <v>15</v>
      </c>
      <c r="E512">
        <v>500</v>
      </c>
      <c r="F512">
        <v>0.15</v>
      </c>
      <c r="G512">
        <v>429</v>
      </c>
      <c r="H512" s="1">
        <v>45694</v>
      </c>
      <c r="I512">
        <v>2025</v>
      </c>
      <c r="J512">
        <v>2</v>
      </c>
      <c r="K512" t="s">
        <v>36</v>
      </c>
      <c r="L512">
        <v>0</v>
      </c>
      <c r="M512">
        <v>1</v>
      </c>
    </row>
    <row r="513" spans="1:13" x14ac:dyDescent="0.25">
      <c r="A513" t="s">
        <v>501</v>
      </c>
      <c r="B513" t="s">
        <v>28</v>
      </c>
      <c r="C513" t="s">
        <v>29</v>
      </c>
      <c r="D513" t="s">
        <v>33</v>
      </c>
      <c r="E513" t="s">
        <v>21</v>
      </c>
      <c r="F513">
        <v>1</v>
      </c>
      <c r="G513">
        <v>18</v>
      </c>
      <c r="H513" s="1">
        <v>45694</v>
      </c>
      <c r="I513">
        <v>2025</v>
      </c>
      <c r="J513">
        <v>2</v>
      </c>
      <c r="K513" t="s">
        <v>30</v>
      </c>
      <c r="L513">
        <v>1</v>
      </c>
      <c r="M513">
        <v>1</v>
      </c>
    </row>
    <row r="514" spans="1:13" x14ac:dyDescent="0.25">
      <c r="A514" t="s">
        <v>502</v>
      </c>
      <c r="B514" t="s">
        <v>24</v>
      </c>
      <c r="C514" t="s">
        <v>71</v>
      </c>
      <c r="D514" t="s">
        <v>46</v>
      </c>
      <c r="E514" t="s">
        <v>21</v>
      </c>
      <c r="F514">
        <v>0.2</v>
      </c>
      <c r="G514">
        <v>191</v>
      </c>
      <c r="H514" s="1">
        <v>45694</v>
      </c>
      <c r="I514">
        <v>2025</v>
      </c>
      <c r="J514">
        <v>2</v>
      </c>
      <c r="K514" t="s">
        <v>36</v>
      </c>
      <c r="L514">
        <v>0</v>
      </c>
      <c r="M514">
        <v>1</v>
      </c>
    </row>
    <row r="515" spans="1:13" x14ac:dyDescent="0.25">
      <c r="A515" t="s">
        <v>265</v>
      </c>
      <c r="B515" t="s">
        <v>40</v>
      </c>
      <c r="C515" t="s">
        <v>14</v>
      </c>
      <c r="D515" t="s">
        <v>15</v>
      </c>
      <c r="E515">
        <v>1750</v>
      </c>
      <c r="F515">
        <v>0.08</v>
      </c>
      <c r="G515">
        <v>230</v>
      </c>
      <c r="H515" s="1">
        <v>45693</v>
      </c>
      <c r="I515">
        <v>2025</v>
      </c>
      <c r="J515">
        <v>2</v>
      </c>
      <c r="K515" t="s">
        <v>36</v>
      </c>
      <c r="L515">
        <v>0</v>
      </c>
      <c r="M515">
        <v>1</v>
      </c>
    </row>
    <row r="516" spans="1:13" x14ac:dyDescent="0.25">
      <c r="A516" t="s">
        <v>224</v>
      </c>
      <c r="B516" t="s">
        <v>52</v>
      </c>
      <c r="C516" t="s">
        <v>14</v>
      </c>
      <c r="D516" t="s">
        <v>22</v>
      </c>
      <c r="E516">
        <v>200</v>
      </c>
      <c r="F516" t="s">
        <v>21</v>
      </c>
      <c r="G516">
        <v>423</v>
      </c>
      <c r="H516" s="1">
        <v>45693</v>
      </c>
      <c r="I516">
        <v>2025</v>
      </c>
      <c r="J516">
        <v>2</v>
      </c>
      <c r="K516" t="s">
        <v>36</v>
      </c>
      <c r="L516" t="s">
        <v>21</v>
      </c>
      <c r="M516">
        <v>1</v>
      </c>
    </row>
    <row r="517" spans="1:13" x14ac:dyDescent="0.25">
      <c r="A517" t="s">
        <v>503</v>
      </c>
      <c r="B517" t="s">
        <v>54</v>
      </c>
      <c r="C517" t="s">
        <v>14</v>
      </c>
      <c r="D517" t="s">
        <v>15</v>
      </c>
      <c r="E517">
        <v>200</v>
      </c>
      <c r="F517" t="s">
        <v>21</v>
      </c>
      <c r="G517">
        <v>394</v>
      </c>
      <c r="H517" s="1">
        <v>45693</v>
      </c>
      <c r="I517">
        <v>2025</v>
      </c>
      <c r="J517">
        <v>2</v>
      </c>
      <c r="K517" t="s">
        <v>36</v>
      </c>
      <c r="L517" t="s">
        <v>21</v>
      </c>
      <c r="M517">
        <v>1</v>
      </c>
    </row>
    <row r="518" spans="1:13" x14ac:dyDescent="0.25">
      <c r="A518" t="s">
        <v>56</v>
      </c>
      <c r="B518" t="s">
        <v>18</v>
      </c>
      <c r="C518" t="s">
        <v>14</v>
      </c>
      <c r="D518" t="s">
        <v>15</v>
      </c>
      <c r="E518">
        <v>200</v>
      </c>
      <c r="F518">
        <v>0.12</v>
      </c>
      <c r="G518">
        <v>455.2</v>
      </c>
      <c r="H518" s="1">
        <v>45693</v>
      </c>
      <c r="I518">
        <v>2025</v>
      </c>
      <c r="J518">
        <v>2</v>
      </c>
      <c r="K518" t="s">
        <v>36</v>
      </c>
      <c r="L518">
        <v>0</v>
      </c>
      <c r="M518">
        <v>1</v>
      </c>
    </row>
    <row r="519" spans="1:13" x14ac:dyDescent="0.25">
      <c r="A519" t="s">
        <v>504</v>
      </c>
      <c r="B519" t="s">
        <v>102</v>
      </c>
      <c r="C519" t="s">
        <v>174</v>
      </c>
      <c r="D519" t="s">
        <v>22</v>
      </c>
      <c r="E519">
        <v>140</v>
      </c>
      <c r="F519" t="s">
        <v>21</v>
      </c>
      <c r="G519">
        <v>151</v>
      </c>
      <c r="H519" s="1">
        <v>45693</v>
      </c>
      <c r="I519">
        <v>2025</v>
      </c>
      <c r="J519">
        <v>2</v>
      </c>
      <c r="K519" t="s">
        <v>36</v>
      </c>
      <c r="L519" t="s">
        <v>21</v>
      </c>
      <c r="M519">
        <v>1</v>
      </c>
    </row>
    <row r="520" spans="1:13" x14ac:dyDescent="0.25">
      <c r="A520" t="s">
        <v>505</v>
      </c>
      <c r="B520" t="s">
        <v>93</v>
      </c>
      <c r="C520" t="s">
        <v>29</v>
      </c>
      <c r="D520" t="s">
        <v>33</v>
      </c>
      <c r="E520">
        <v>15</v>
      </c>
      <c r="F520">
        <v>0.18</v>
      </c>
      <c r="G520">
        <v>57</v>
      </c>
      <c r="H520" s="1">
        <v>45693</v>
      </c>
      <c r="I520">
        <v>2025</v>
      </c>
      <c r="J520">
        <v>2</v>
      </c>
      <c r="K520" t="s">
        <v>30</v>
      </c>
      <c r="L520">
        <v>0</v>
      </c>
      <c r="M520">
        <v>1</v>
      </c>
    </row>
    <row r="521" spans="1:13" x14ac:dyDescent="0.25">
      <c r="A521" t="s">
        <v>506</v>
      </c>
      <c r="B521" t="s">
        <v>93</v>
      </c>
      <c r="C521" t="s">
        <v>14</v>
      </c>
      <c r="D521" t="s">
        <v>55</v>
      </c>
      <c r="E521">
        <v>10</v>
      </c>
      <c r="F521">
        <v>0.04</v>
      </c>
      <c r="G521">
        <v>395</v>
      </c>
      <c r="H521" s="1">
        <v>45693</v>
      </c>
      <c r="I521">
        <v>2025</v>
      </c>
      <c r="J521">
        <v>2</v>
      </c>
      <c r="K521" t="s">
        <v>36</v>
      </c>
      <c r="L521">
        <v>0</v>
      </c>
      <c r="M521">
        <v>1</v>
      </c>
    </row>
    <row r="522" spans="1:13" x14ac:dyDescent="0.25">
      <c r="A522" t="s">
        <v>507</v>
      </c>
      <c r="B522" t="s">
        <v>66</v>
      </c>
      <c r="C522" t="s">
        <v>14</v>
      </c>
      <c r="D522" t="s">
        <v>20</v>
      </c>
      <c r="E522">
        <v>1000</v>
      </c>
      <c r="F522">
        <v>0.5</v>
      </c>
      <c r="G522">
        <v>15000</v>
      </c>
      <c r="H522" s="1">
        <v>45692</v>
      </c>
      <c r="I522">
        <v>2025</v>
      </c>
      <c r="J522">
        <v>2</v>
      </c>
      <c r="K522" t="s">
        <v>26</v>
      </c>
      <c r="L522">
        <v>0</v>
      </c>
      <c r="M522">
        <v>1</v>
      </c>
    </row>
    <row r="523" spans="1:13" x14ac:dyDescent="0.25">
      <c r="A523" t="s">
        <v>508</v>
      </c>
      <c r="B523" t="s">
        <v>28</v>
      </c>
      <c r="C523" t="s">
        <v>14</v>
      </c>
      <c r="D523" t="s">
        <v>15</v>
      </c>
      <c r="E523">
        <v>180</v>
      </c>
      <c r="F523">
        <v>0.03</v>
      </c>
      <c r="G523">
        <v>1200</v>
      </c>
      <c r="H523" s="1">
        <v>45692</v>
      </c>
      <c r="I523">
        <v>2025</v>
      </c>
      <c r="J523">
        <v>2</v>
      </c>
      <c r="K523" t="s">
        <v>26</v>
      </c>
      <c r="L523">
        <v>0</v>
      </c>
      <c r="M523">
        <v>1</v>
      </c>
    </row>
    <row r="524" spans="1:13" x14ac:dyDescent="0.25">
      <c r="A524" t="s">
        <v>509</v>
      </c>
      <c r="B524" t="s">
        <v>38</v>
      </c>
      <c r="C524" t="s">
        <v>14</v>
      </c>
      <c r="D524" t="s">
        <v>22</v>
      </c>
      <c r="E524">
        <v>100</v>
      </c>
      <c r="F524">
        <v>7.0000000000000007E-2</v>
      </c>
      <c r="G524">
        <v>293</v>
      </c>
      <c r="H524" s="1">
        <v>45692</v>
      </c>
      <c r="I524">
        <v>2025</v>
      </c>
      <c r="J524">
        <v>2</v>
      </c>
      <c r="K524" t="s">
        <v>36</v>
      </c>
      <c r="L524">
        <v>0</v>
      </c>
      <c r="M524">
        <v>1</v>
      </c>
    </row>
    <row r="525" spans="1:13" x14ac:dyDescent="0.25">
      <c r="A525" t="s">
        <v>510</v>
      </c>
      <c r="B525" t="s">
        <v>13</v>
      </c>
      <c r="C525" t="s">
        <v>14</v>
      </c>
      <c r="D525" t="s">
        <v>15</v>
      </c>
      <c r="E525">
        <v>100</v>
      </c>
      <c r="F525" t="s">
        <v>21</v>
      </c>
      <c r="G525">
        <v>453</v>
      </c>
      <c r="H525" s="1">
        <v>45692</v>
      </c>
      <c r="I525">
        <v>2025</v>
      </c>
      <c r="J525">
        <v>2</v>
      </c>
      <c r="K525" t="s">
        <v>36</v>
      </c>
      <c r="L525" t="s">
        <v>21</v>
      </c>
      <c r="M525">
        <v>1</v>
      </c>
    </row>
    <row r="526" spans="1:13" x14ac:dyDescent="0.25">
      <c r="A526" t="s">
        <v>335</v>
      </c>
      <c r="B526" t="s">
        <v>73</v>
      </c>
      <c r="C526" t="s">
        <v>14</v>
      </c>
      <c r="D526" t="s">
        <v>15</v>
      </c>
      <c r="E526">
        <v>75</v>
      </c>
      <c r="F526" t="s">
        <v>21</v>
      </c>
      <c r="G526">
        <v>3</v>
      </c>
      <c r="H526" s="1">
        <v>45692</v>
      </c>
      <c r="I526">
        <v>2025</v>
      </c>
      <c r="J526">
        <v>2</v>
      </c>
      <c r="K526" t="s">
        <v>16</v>
      </c>
      <c r="L526" t="s">
        <v>21</v>
      </c>
      <c r="M526">
        <v>1</v>
      </c>
    </row>
    <row r="527" spans="1:13" x14ac:dyDescent="0.25">
      <c r="A527" t="s">
        <v>402</v>
      </c>
      <c r="B527" t="s">
        <v>70</v>
      </c>
      <c r="C527" t="s">
        <v>14</v>
      </c>
      <c r="D527" t="s">
        <v>15</v>
      </c>
      <c r="E527">
        <v>58</v>
      </c>
      <c r="F527" t="s">
        <v>21</v>
      </c>
      <c r="G527">
        <v>12</v>
      </c>
      <c r="H527" s="1">
        <v>45692</v>
      </c>
      <c r="I527">
        <v>2025</v>
      </c>
      <c r="J527">
        <v>2</v>
      </c>
      <c r="K527" t="s">
        <v>30</v>
      </c>
      <c r="L527" t="s">
        <v>21</v>
      </c>
      <c r="M527">
        <v>1</v>
      </c>
    </row>
    <row r="528" spans="1:13" x14ac:dyDescent="0.25">
      <c r="A528" t="s">
        <v>511</v>
      </c>
      <c r="B528" t="s">
        <v>66</v>
      </c>
      <c r="C528" t="s">
        <v>29</v>
      </c>
      <c r="D528" t="s">
        <v>15</v>
      </c>
      <c r="E528">
        <v>40</v>
      </c>
      <c r="F528">
        <v>0.09</v>
      </c>
      <c r="G528">
        <v>547</v>
      </c>
      <c r="H528" s="1">
        <v>45692</v>
      </c>
      <c r="I528">
        <v>2025</v>
      </c>
      <c r="J528">
        <v>2</v>
      </c>
      <c r="K528" t="s">
        <v>36</v>
      </c>
      <c r="L528">
        <v>0</v>
      </c>
      <c r="M528">
        <v>1</v>
      </c>
    </row>
    <row r="529" spans="1:13" x14ac:dyDescent="0.25">
      <c r="A529" t="s">
        <v>98</v>
      </c>
      <c r="B529" t="s">
        <v>99</v>
      </c>
      <c r="C529" t="s">
        <v>14</v>
      </c>
      <c r="D529" t="s">
        <v>15</v>
      </c>
      <c r="E529">
        <v>1000</v>
      </c>
      <c r="F529">
        <v>0.01</v>
      </c>
      <c r="G529">
        <v>65</v>
      </c>
      <c r="H529" s="1">
        <v>45691</v>
      </c>
      <c r="I529">
        <v>2025</v>
      </c>
      <c r="J529">
        <v>2</v>
      </c>
      <c r="K529" t="s">
        <v>30</v>
      </c>
      <c r="L529">
        <v>0</v>
      </c>
      <c r="M529">
        <v>1</v>
      </c>
    </row>
    <row r="530" spans="1:13" x14ac:dyDescent="0.25">
      <c r="A530" t="s">
        <v>512</v>
      </c>
      <c r="B530" t="s">
        <v>77</v>
      </c>
      <c r="C530" t="s">
        <v>14</v>
      </c>
      <c r="D530" t="s">
        <v>46</v>
      </c>
      <c r="E530">
        <v>70</v>
      </c>
      <c r="F530" t="s">
        <v>21</v>
      </c>
      <c r="G530">
        <v>123</v>
      </c>
      <c r="H530" s="1">
        <v>45691</v>
      </c>
      <c r="I530">
        <v>2025</v>
      </c>
      <c r="J530">
        <v>2</v>
      </c>
      <c r="K530" t="s">
        <v>36</v>
      </c>
      <c r="L530" t="s">
        <v>21</v>
      </c>
      <c r="M530">
        <v>1</v>
      </c>
    </row>
    <row r="531" spans="1:13" x14ac:dyDescent="0.25">
      <c r="A531" t="s">
        <v>513</v>
      </c>
      <c r="B531" t="s">
        <v>77</v>
      </c>
      <c r="C531" t="s">
        <v>14</v>
      </c>
      <c r="D531" t="s">
        <v>68</v>
      </c>
      <c r="E531" t="s">
        <v>21</v>
      </c>
      <c r="F531">
        <v>1</v>
      </c>
      <c r="G531">
        <v>20</v>
      </c>
      <c r="H531" s="1">
        <v>45687</v>
      </c>
      <c r="I531">
        <v>2025</v>
      </c>
      <c r="J531">
        <v>1</v>
      </c>
      <c r="K531" t="s">
        <v>30</v>
      </c>
      <c r="L531">
        <v>1</v>
      </c>
      <c r="M531">
        <v>1</v>
      </c>
    </row>
    <row r="532" spans="1:13" x14ac:dyDescent="0.25">
      <c r="A532" t="s">
        <v>514</v>
      </c>
      <c r="B532" t="s">
        <v>38</v>
      </c>
      <c r="C532" t="s">
        <v>14</v>
      </c>
      <c r="D532" t="s">
        <v>22</v>
      </c>
      <c r="E532">
        <v>150</v>
      </c>
      <c r="F532">
        <v>0.18</v>
      </c>
      <c r="G532">
        <v>267</v>
      </c>
      <c r="H532" s="1">
        <v>45686</v>
      </c>
      <c r="I532">
        <v>2025</v>
      </c>
      <c r="J532">
        <v>1</v>
      </c>
      <c r="K532" t="s">
        <v>36</v>
      </c>
      <c r="L532">
        <v>0</v>
      </c>
      <c r="M532">
        <v>1</v>
      </c>
    </row>
    <row r="533" spans="1:13" x14ac:dyDescent="0.25">
      <c r="A533" t="s">
        <v>240</v>
      </c>
      <c r="B533" t="s">
        <v>24</v>
      </c>
      <c r="C533" t="s">
        <v>14</v>
      </c>
      <c r="D533" t="s">
        <v>15</v>
      </c>
      <c r="E533" t="s">
        <v>21</v>
      </c>
      <c r="F533" t="s">
        <v>21</v>
      </c>
      <c r="G533">
        <v>8100</v>
      </c>
      <c r="H533" s="1">
        <v>45686</v>
      </c>
      <c r="I533">
        <v>2025</v>
      </c>
      <c r="J533">
        <v>1</v>
      </c>
      <c r="K533" t="s">
        <v>26</v>
      </c>
      <c r="L533" t="s">
        <v>21</v>
      </c>
      <c r="M533">
        <v>0</v>
      </c>
    </row>
    <row r="534" spans="1:13" x14ac:dyDescent="0.25">
      <c r="A534" t="s">
        <v>515</v>
      </c>
      <c r="B534" t="s">
        <v>24</v>
      </c>
      <c r="C534" t="s">
        <v>14</v>
      </c>
      <c r="D534" t="s">
        <v>81</v>
      </c>
      <c r="E534">
        <v>122</v>
      </c>
      <c r="F534" t="s">
        <v>21</v>
      </c>
      <c r="G534">
        <v>50</v>
      </c>
      <c r="H534" s="1">
        <v>45685</v>
      </c>
      <c r="I534">
        <v>2025</v>
      </c>
      <c r="J534">
        <v>1</v>
      </c>
      <c r="K534" t="s">
        <v>30</v>
      </c>
      <c r="L534" t="s">
        <v>21</v>
      </c>
      <c r="M534">
        <v>1</v>
      </c>
    </row>
    <row r="535" spans="1:13" x14ac:dyDescent="0.25">
      <c r="A535" t="s">
        <v>516</v>
      </c>
      <c r="B535" t="s">
        <v>66</v>
      </c>
      <c r="C535" t="s">
        <v>29</v>
      </c>
      <c r="D535" t="s">
        <v>46</v>
      </c>
      <c r="E535">
        <v>45</v>
      </c>
      <c r="F535">
        <v>0.6</v>
      </c>
      <c r="G535">
        <v>97</v>
      </c>
      <c r="H535" s="1">
        <v>45684</v>
      </c>
      <c r="I535">
        <v>2025</v>
      </c>
      <c r="J535">
        <v>1</v>
      </c>
      <c r="K535" t="s">
        <v>30</v>
      </c>
      <c r="L535">
        <v>0</v>
      </c>
      <c r="M535">
        <v>1</v>
      </c>
    </row>
    <row r="536" spans="1:13" x14ac:dyDescent="0.25">
      <c r="A536" t="s">
        <v>278</v>
      </c>
      <c r="B536" t="s">
        <v>18</v>
      </c>
      <c r="C536" t="s">
        <v>29</v>
      </c>
      <c r="D536" t="s">
        <v>22</v>
      </c>
      <c r="E536" t="s">
        <v>21</v>
      </c>
      <c r="F536" t="s">
        <v>21</v>
      </c>
      <c r="G536">
        <v>425</v>
      </c>
      <c r="H536" s="1">
        <v>45684</v>
      </c>
      <c r="I536">
        <v>2025</v>
      </c>
      <c r="J536">
        <v>1</v>
      </c>
      <c r="K536" t="s">
        <v>36</v>
      </c>
      <c r="L536" t="s">
        <v>21</v>
      </c>
      <c r="M536">
        <v>0</v>
      </c>
    </row>
    <row r="537" spans="1:13" x14ac:dyDescent="0.25">
      <c r="A537" t="s">
        <v>517</v>
      </c>
      <c r="B537" t="s">
        <v>77</v>
      </c>
      <c r="C537" t="s">
        <v>14</v>
      </c>
      <c r="D537" t="s">
        <v>518</v>
      </c>
      <c r="E537">
        <v>300</v>
      </c>
      <c r="F537">
        <v>0.03</v>
      </c>
      <c r="G537">
        <v>8700</v>
      </c>
      <c r="H537" s="1">
        <v>45678</v>
      </c>
      <c r="I537">
        <v>2025</v>
      </c>
      <c r="J537">
        <v>1</v>
      </c>
      <c r="K537" t="s">
        <v>26</v>
      </c>
      <c r="L537">
        <v>0</v>
      </c>
      <c r="M537">
        <v>1</v>
      </c>
    </row>
    <row r="538" spans="1:13" x14ac:dyDescent="0.25">
      <c r="A538" t="s">
        <v>519</v>
      </c>
      <c r="B538" t="s">
        <v>114</v>
      </c>
      <c r="C538" t="s">
        <v>80</v>
      </c>
      <c r="D538" t="s">
        <v>49</v>
      </c>
      <c r="E538" t="s">
        <v>21</v>
      </c>
      <c r="F538" t="s">
        <v>21</v>
      </c>
      <c r="G538">
        <v>7</v>
      </c>
      <c r="H538" s="1">
        <v>45678</v>
      </c>
      <c r="I538">
        <v>2025</v>
      </c>
      <c r="J538">
        <v>1</v>
      </c>
      <c r="K538" t="s">
        <v>16</v>
      </c>
      <c r="L538" t="s">
        <v>21</v>
      </c>
      <c r="M538">
        <v>0</v>
      </c>
    </row>
    <row r="539" spans="1:13" x14ac:dyDescent="0.25">
      <c r="A539" t="s">
        <v>520</v>
      </c>
      <c r="B539" t="s">
        <v>89</v>
      </c>
      <c r="C539" t="s">
        <v>521</v>
      </c>
      <c r="D539" t="s">
        <v>46</v>
      </c>
      <c r="E539">
        <v>66</v>
      </c>
      <c r="F539">
        <v>0.25</v>
      </c>
      <c r="G539">
        <v>91</v>
      </c>
      <c r="H539" s="1">
        <v>45677</v>
      </c>
      <c r="I539">
        <v>2025</v>
      </c>
      <c r="J539">
        <v>1</v>
      </c>
      <c r="K539" t="s">
        <v>30</v>
      </c>
      <c r="L539">
        <v>0</v>
      </c>
      <c r="M539">
        <v>1</v>
      </c>
    </row>
    <row r="540" spans="1:13" x14ac:dyDescent="0.25">
      <c r="A540" t="s">
        <v>522</v>
      </c>
      <c r="B540" t="s">
        <v>24</v>
      </c>
      <c r="C540" t="s">
        <v>83</v>
      </c>
      <c r="D540" t="s">
        <v>46</v>
      </c>
      <c r="E540">
        <v>110</v>
      </c>
      <c r="F540">
        <v>0.24</v>
      </c>
      <c r="G540">
        <v>205</v>
      </c>
      <c r="H540" s="1">
        <v>45673</v>
      </c>
      <c r="I540">
        <v>2025</v>
      </c>
      <c r="J540">
        <v>1</v>
      </c>
      <c r="K540" t="s">
        <v>36</v>
      </c>
      <c r="L540">
        <v>0</v>
      </c>
      <c r="M540">
        <v>1</v>
      </c>
    </row>
    <row r="541" spans="1:13" x14ac:dyDescent="0.25">
      <c r="A541" t="s">
        <v>163</v>
      </c>
      <c r="B541" t="s">
        <v>32</v>
      </c>
      <c r="C541" t="s">
        <v>48</v>
      </c>
      <c r="D541" t="s">
        <v>55</v>
      </c>
      <c r="E541">
        <v>75</v>
      </c>
      <c r="F541" t="s">
        <v>21</v>
      </c>
      <c r="G541">
        <v>212</v>
      </c>
      <c r="H541" s="1">
        <v>45673</v>
      </c>
      <c r="I541">
        <v>2025</v>
      </c>
      <c r="J541">
        <v>1</v>
      </c>
      <c r="K541" t="s">
        <v>36</v>
      </c>
      <c r="L541" t="s">
        <v>21</v>
      </c>
      <c r="M541">
        <v>1</v>
      </c>
    </row>
    <row r="542" spans="1:13" x14ac:dyDescent="0.25">
      <c r="A542" t="s">
        <v>523</v>
      </c>
      <c r="B542" t="s">
        <v>217</v>
      </c>
      <c r="C542" t="s">
        <v>14</v>
      </c>
      <c r="D542" t="s">
        <v>55</v>
      </c>
      <c r="E542">
        <v>58</v>
      </c>
      <c r="F542" t="s">
        <v>21</v>
      </c>
      <c r="G542">
        <v>523</v>
      </c>
      <c r="H542" s="1">
        <v>45673</v>
      </c>
      <c r="I542">
        <v>2025</v>
      </c>
      <c r="J542">
        <v>1</v>
      </c>
      <c r="K542" t="s">
        <v>36</v>
      </c>
      <c r="L542" t="s">
        <v>21</v>
      </c>
      <c r="M542">
        <v>1</v>
      </c>
    </row>
    <row r="543" spans="1:13" x14ac:dyDescent="0.25">
      <c r="A543" t="s">
        <v>524</v>
      </c>
      <c r="B543" t="s">
        <v>45</v>
      </c>
      <c r="C543" t="s">
        <v>83</v>
      </c>
      <c r="D543" t="s">
        <v>33</v>
      </c>
      <c r="E543">
        <v>90</v>
      </c>
      <c r="F543" t="s">
        <v>21</v>
      </c>
      <c r="G543">
        <v>62</v>
      </c>
      <c r="H543" s="1">
        <v>45672</v>
      </c>
      <c r="I543">
        <v>2025</v>
      </c>
      <c r="J543">
        <v>1</v>
      </c>
      <c r="K543" t="s">
        <v>30</v>
      </c>
      <c r="L543" t="s">
        <v>21</v>
      </c>
      <c r="M543">
        <v>1</v>
      </c>
    </row>
    <row r="544" spans="1:13" x14ac:dyDescent="0.25">
      <c r="A544" t="s">
        <v>447</v>
      </c>
      <c r="B544" t="s">
        <v>54</v>
      </c>
      <c r="C544" t="s">
        <v>14</v>
      </c>
      <c r="D544" t="s">
        <v>15</v>
      </c>
      <c r="E544">
        <v>89</v>
      </c>
      <c r="F544" t="s">
        <v>21</v>
      </c>
      <c r="G544">
        <v>1600</v>
      </c>
      <c r="H544" s="1">
        <v>45672</v>
      </c>
      <c r="I544">
        <v>2025</v>
      </c>
      <c r="J544">
        <v>1</v>
      </c>
      <c r="K544" t="s">
        <v>26</v>
      </c>
      <c r="L544" t="s">
        <v>21</v>
      </c>
      <c r="M544">
        <v>1</v>
      </c>
    </row>
    <row r="545" spans="1:13" x14ac:dyDescent="0.25">
      <c r="A545" t="s">
        <v>525</v>
      </c>
      <c r="B545" t="s">
        <v>54</v>
      </c>
      <c r="C545" t="s">
        <v>48</v>
      </c>
      <c r="D545" t="s">
        <v>55</v>
      </c>
      <c r="E545">
        <v>27</v>
      </c>
      <c r="F545">
        <v>0.05</v>
      </c>
      <c r="G545">
        <v>222</v>
      </c>
      <c r="H545" s="1">
        <v>45672</v>
      </c>
      <c r="I545">
        <v>2025</v>
      </c>
      <c r="J545">
        <v>1</v>
      </c>
      <c r="K545" t="s">
        <v>36</v>
      </c>
      <c r="L545">
        <v>0</v>
      </c>
      <c r="M545">
        <v>1</v>
      </c>
    </row>
    <row r="546" spans="1:13" x14ac:dyDescent="0.25">
      <c r="A546" t="s">
        <v>526</v>
      </c>
      <c r="B546" t="s">
        <v>45</v>
      </c>
      <c r="C546" t="s">
        <v>14</v>
      </c>
      <c r="D546" t="s">
        <v>22</v>
      </c>
      <c r="E546">
        <v>15</v>
      </c>
      <c r="F546" t="s">
        <v>21</v>
      </c>
      <c r="G546">
        <v>42</v>
      </c>
      <c r="H546" s="1">
        <v>45672</v>
      </c>
      <c r="I546">
        <v>2025</v>
      </c>
      <c r="J546">
        <v>1</v>
      </c>
      <c r="K546" t="s">
        <v>30</v>
      </c>
      <c r="L546" t="s">
        <v>21</v>
      </c>
      <c r="M546">
        <v>1</v>
      </c>
    </row>
    <row r="547" spans="1:13" x14ac:dyDescent="0.25">
      <c r="A547" t="s">
        <v>527</v>
      </c>
      <c r="B547" t="s">
        <v>77</v>
      </c>
      <c r="C547" t="s">
        <v>14</v>
      </c>
      <c r="D547" t="s">
        <v>22</v>
      </c>
      <c r="E547" t="s">
        <v>21</v>
      </c>
      <c r="F547">
        <v>1</v>
      </c>
      <c r="G547">
        <v>31</v>
      </c>
      <c r="H547" s="1">
        <v>45671</v>
      </c>
      <c r="I547">
        <v>2025</v>
      </c>
      <c r="J547">
        <v>1</v>
      </c>
      <c r="K547" t="s">
        <v>30</v>
      </c>
      <c r="L547">
        <v>1</v>
      </c>
      <c r="M547">
        <v>1</v>
      </c>
    </row>
    <row r="548" spans="1:13" x14ac:dyDescent="0.25">
      <c r="A548" t="s">
        <v>12</v>
      </c>
      <c r="B548" t="s">
        <v>13</v>
      </c>
      <c r="C548" t="s">
        <v>14</v>
      </c>
      <c r="D548" t="s">
        <v>15</v>
      </c>
      <c r="E548" t="s">
        <v>21</v>
      </c>
      <c r="F548" t="s">
        <v>21</v>
      </c>
      <c r="G548">
        <v>1</v>
      </c>
      <c r="H548" s="1">
        <v>45671</v>
      </c>
      <c r="I548">
        <v>2025</v>
      </c>
      <c r="J548">
        <v>1</v>
      </c>
      <c r="K548" t="s">
        <v>16</v>
      </c>
      <c r="L548" t="s">
        <v>21</v>
      </c>
      <c r="M548">
        <v>0</v>
      </c>
    </row>
    <row r="549" spans="1:13" x14ac:dyDescent="0.25">
      <c r="A549" t="s">
        <v>528</v>
      </c>
      <c r="B549" t="s">
        <v>32</v>
      </c>
      <c r="C549" t="s">
        <v>14</v>
      </c>
      <c r="D549" t="s">
        <v>20</v>
      </c>
      <c r="E549" t="s">
        <v>21</v>
      </c>
      <c r="F549" t="s">
        <v>21</v>
      </c>
      <c r="G549" t="s">
        <v>21</v>
      </c>
      <c r="H549" s="1">
        <v>45671</v>
      </c>
      <c r="I549">
        <v>2025</v>
      </c>
      <c r="J549">
        <v>1</v>
      </c>
      <c r="K549" t="s">
        <v>22</v>
      </c>
      <c r="L549" t="s">
        <v>21</v>
      </c>
      <c r="M549">
        <v>0</v>
      </c>
    </row>
    <row r="550" spans="1:13" x14ac:dyDescent="0.25">
      <c r="A550" t="s">
        <v>529</v>
      </c>
      <c r="B550" t="s">
        <v>77</v>
      </c>
      <c r="C550" t="s">
        <v>14</v>
      </c>
      <c r="D550" t="s">
        <v>49</v>
      </c>
      <c r="E550" t="s">
        <v>21</v>
      </c>
      <c r="F550">
        <v>1</v>
      </c>
      <c r="G550">
        <v>7</v>
      </c>
      <c r="H550" s="1">
        <v>45670</v>
      </c>
      <c r="I550">
        <v>2025</v>
      </c>
      <c r="J550">
        <v>1</v>
      </c>
      <c r="K550" t="s">
        <v>16</v>
      </c>
      <c r="L550">
        <v>1</v>
      </c>
      <c r="M550">
        <v>1</v>
      </c>
    </row>
    <row r="551" spans="1:13" x14ac:dyDescent="0.25">
      <c r="A551" t="s">
        <v>530</v>
      </c>
      <c r="B551" t="s">
        <v>24</v>
      </c>
      <c r="C551" t="s">
        <v>161</v>
      </c>
      <c r="D551" t="s">
        <v>15</v>
      </c>
      <c r="E551" t="s">
        <v>21</v>
      </c>
      <c r="F551">
        <v>0.1</v>
      </c>
      <c r="G551">
        <v>56</v>
      </c>
      <c r="H551" s="1">
        <v>45670</v>
      </c>
      <c r="I551">
        <v>2025</v>
      </c>
      <c r="J551">
        <v>1</v>
      </c>
      <c r="K551" t="s">
        <v>30</v>
      </c>
      <c r="L551">
        <v>0</v>
      </c>
      <c r="M551">
        <v>1</v>
      </c>
    </row>
    <row r="552" spans="1:13" x14ac:dyDescent="0.25">
      <c r="A552" t="s">
        <v>472</v>
      </c>
      <c r="B552" t="s">
        <v>24</v>
      </c>
      <c r="C552" t="s">
        <v>83</v>
      </c>
      <c r="D552" t="s">
        <v>15</v>
      </c>
      <c r="E552">
        <v>730</v>
      </c>
      <c r="F552">
        <v>0.03</v>
      </c>
      <c r="G552">
        <v>1700</v>
      </c>
      <c r="H552" s="1">
        <v>45667</v>
      </c>
      <c r="I552">
        <v>2025</v>
      </c>
      <c r="J552">
        <v>1</v>
      </c>
      <c r="K552" t="s">
        <v>26</v>
      </c>
      <c r="L552">
        <v>0</v>
      </c>
      <c r="M552">
        <v>1</v>
      </c>
    </row>
    <row r="553" spans="1:13" x14ac:dyDescent="0.25">
      <c r="A553" t="s">
        <v>531</v>
      </c>
      <c r="B553" t="s">
        <v>117</v>
      </c>
      <c r="C553" t="s">
        <v>14</v>
      </c>
      <c r="D553" t="s">
        <v>33</v>
      </c>
      <c r="E553">
        <v>63</v>
      </c>
      <c r="F553">
        <v>1</v>
      </c>
      <c r="G553">
        <v>76</v>
      </c>
      <c r="H553" s="1">
        <v>45667</v>
      </c>
      <c r="I553">
        <v>2025</v>
      </c>
      <c r="J553">
        <v>1</v>
      </c>
      <c r="K553" t="s">
        <v>30</v>
      </c>
      <c r="L553">
        <v>1</v>
      </c>
      <c r="M553">
        <v>1</v>
      </c>
    </row>
    <row r="554" spans="1:13" x14ac:dyDescent="0.25">
      <c r="A554" t="s">
        <v>268</v>
      </c>
      <c r="B554" t="s">
        <v>91</v>
      </c>
      <c r="C554" t="s">
        <v>14</v>
      </c>
      <c r="D554" t="s">
        <v>15</v>
      </c>
      <c r="E554" t="s">
        <v>21</v>
      </c>
      <c r="F554" t="s">
        <v>21</v>
      </c>
      <c r="G554">
        <v>97</v>
      </c>
      <c r="H554" s="1">
        <v>45667</v>
      </c>
      <c r="I554">
        <v>2025</v>
      </c>
      <c r="J554">
        <v>1</v>
      </c>
      <c r="K554" t="s">
        <v>30</v>
      </c>
      <c r="L554" t="s">
        <v>21</v>
      </c>
      <c r="M554">
        <v>0</v>
      </c>
    </row>
    <row r="555" spans="1:13" x14ac:dyDescent="0.25">
      <c r="A555" t="s">
        <v>532</v>
      </c>
      <c r="B555" t="s">
        <v>533</v>
      </c>
      <c r="C555" t="s">
        <v>14</v>
      </c>
      <c r="D555" t="s">
        <v>33</v>
      </c>
      <c r="E555">
        <v>114</v>
      </c>
      <c r="F555" t="s">
        <v>21</v>
      </c>
      <c r="G555">
        <v>451</v>
      </c>
      <c r="H555" s="1">
        <v>45666</v>
      </c>
      <c r="I555">
        <v>2025</v>
      </c>
      <c r="J555">
        <v>1</v>
      </c>
      <c r="K555" t="s">
        <v>36</v>
      </c>
      <c r="L555" t="s">
        <v>21</v>
      </c>
      <c r="M555">
        <v>1</v>
      </c>
    </row>
    <row r="556" spans="1:13" x14ac:dyDescent="0.25">
      <c r="A556" t="s">
        <v>494</v>
      </c>
      <c r="B556" t="s">
        <v>91</v>
      </c>
      <c r="C556" t="s">
        <v>14</v>
      </c>
      <c r="D556" t="s">
        <v>15</v>
      </c>
      <c r="E556">
        <v>46</v>
      </c>
      <c r="F556" t="s">
        <v>21</v>
      </c>
      <c r="G556">
        <v>320</v>
      </c>
      <c r="H556" s="1">
        <v>45666</v>
      </c>
      <c r="I556">
        <v>2025</v>
      </c>
      <c r="J556">
        <v>1</v>
      </c>
      <c r="K556" t="s">
        <v>36</v>
      </c>
      <c r="L556" t="s">
        <v>21</v>
      </c>
      <c r="M556">
        <v>1</v>
      </c>
    </row>
    <row r="557" spans="1:13" x14ac:dyDescent="0.25">
      <c r="A557" t="s">
        <v>344</v>
      </c>
      <c r="B557" t="s">
        <v>77</v>
      </c>
      <c r="C557" t="s">
        <v>14</v>
      </c>
      <c r="D557" t="s">
        <v>111</v>
      </c>
      <c r="E557">
        <v>37</v>
      </c>
      <c r="F557">
        <v>0.1</v>
      </c>
      <c r="G557">
        <v>449</v>
      </c>
      <c r="H557" s="1">
        <v>45664</v>
      </c>
      <c r="I557">
        <v>2025</v>
      </c>
      <c r="J557">
        <v>1</v>
      </c>
      <c r="K557" t="s">
        <v>36</v>
      </c>
      <c r="L557">
        <v>0</v>
      </c>
      <c r="M557">
        <v>1</v>
      </c>
    </row>
    <row r="558" spans="1:13" x14ac:dyDescent="0.25">
      <c r="A558" t="s">
        <v>317</v>
      </c>
      <c r="B558" t="s">
        <v>28</v>
      </c>
      <c r="C558" t="s">
        <v>14</v>
      </c>
      <c r="D558" t="s">
        <v>111</v>
      </c>
      <c r="E558" t="s">
        <v>21</v>
      </c>
      <c r="F558" t="s">
        <v>21</v>
      </c>
      <c r="G558">
        <v>325</v>
      </c>
      <c r="H558" s="1">
        <v>45664</v>
      </c>
      <c r="I558">
        <v>2025</v>
      </c>
      <c r="J558">
        <v>1</v>
      </c>
      <c r="K558" t="s">
        <v>36</v>
      </c>
      <c r="L558" t="s">
        <v>21</v>
      </c>
      <c r="M558">
        <v>0</v>
      </c>
    </row>
    <row r="559" spans="1:13" x14ac:dyDescent="0.25">
      <c r="A559" t="s">
        <v>534</v>
      </c>
      <c r="B559" t="s">
        <v>13</v>
      </c>
      <c r="C559" t="s">
        <v>14</v>
      </c>
      <c r="D559" t="s">
        <v>22</v>
      </c>
      <c r="E559" t="s">
        <v>21</v>
      </c>
      <c r="F559" t="s">
        <v>21</v>
      </c>
      <c r="G559" t="s">
        <v>21</v>
      </c>
      <c r="H559" s="1">
        <v>45664</v>
      </c>
      <c r="I559">
        <v>2025</v>
      </c>
      <c r="J559">
        <v>1</v>
      </c>
      <c r="K559" t="s">
        <v>22</v>
      </c>
      <c r="L559" t="s">
        <v>21</v>
      </c>
      <c r="M559">
        <v>0</v>
      </c>
    </row>
    <row r="560" spans="1:13" x14ac:dyDescent="0.25">
      <c r="A560" t="s">
        <v>12</v>
      </c>
      <c r="B560" t="s">
        <v>13</v>
      </c>
      <c r="C560" t="s">
        <v>14</v>
      </c>
      <c r="D560" t="s">
        <v>15</v>
      </c>
      <c r="E560" t="s">
        <v>21</v>
      </c>
      <c r="F560" t="s">
        <v>21</v>
      </c>
      <c r="G560">
        <v>1</v>
      </c>
      <c r="H560" s="1">
        <v>45664</v>
      </c>
      <c r="I560">
        <v>2025</v>
      </c>
      <c r="J560">
        <v>1</v>
      </c>
      <c r="K560" t="s">
        <v>16</v>
      </c>
      <c r="L560" t="s">
        <v>21</v>
      </c>
      <c r="M560">
        <v>0</v>
      </c>
    </row>
    <row r="561" spans="1:13" x14ac:dyDescent="0.25">
      <c r="A561" t="s">
        <v>535</v>
      </c>
      <c r="B561" t="s">
        <v>217</v>
      </c>
      <c r="C561" t="s">
        <v>29</v>
      </c>
      <c r="D561" t="s">
        <v>15</v>
      </c>
      <c r="E561">
        <v>400</v>
      </c>
      <c r="F561" t="s">
        <v>21</v>
      </c>
      <c r="G561">
        <v>155</v>
      </c>
      <c r="H561" s="1">
        <v>45663</v>
      </c>
      <c r="I561">
        <v>2025</v>
      </c>
      <c r="J561">
        <v>1</v>
      </c>
      <c r="K561" t="s">
        <v>36</v>
      </c>
      <c r="L561" t="s">
        <v>21</v>
      </c>
      <c r="M561">
        <v>1</v>
      </c>
    </row>
    <row r="562" spans="1:13" x14ac:dyDescent="0.25">
      <c r="A562" t="s">
        <v>536</v>
      </c>
      <c r="B562" t="s">
        <v>77</v>
      </c>
      <c r="C562" t="s">
        <v>14</v>
      </c>
      <c r="D562" t="s">
        <v>33</v>
      </c>
      <c r="E562" t="s">
        <v>21</v>
      </c>
      <c r="F562">
        <v>1</v>
      </c>
      <c r="G562">
        <v>27</v>
      </c>
      <c r="H562" s="1">
        <v>45659</v>
      </c>
      <c r="I562">
        <v>2025</v>
      </c>
      <c r="J562">
        <v>1</v>
      </c>
      <c r="K562" t="s">
        <v>30</v>
      </c>
      <c r="L562">
        <v>1</v>
      </c>
      <c r="M562">
        <v>1</v>
      </c>
    </row>
    <row r="563" spans="1:13" x14ac:dyDescent="0.25">
      <c r="A563" t="s">
        <v>365</v>
      </c>
      <c r="B563" t="s">
        <v>13</v>
      </c>
      <c r="C563" t="s">
        <v>48</v>
      </c>
      <c r="D563" t="s">
        <v>43</v>
      </c>
      <c r="E563">
        <v>300</v>
      </c>
      <c r="F563" t="s">
        <v>21</v>
      </c>
      <c r="G563">
        <v>484</v>
      </c>
      <c r="H563" s="1">
        <v>45657</v>
      </c>
      <c r="I563">
        <v>2024</v>
      </c>
      <c r="J563">
        <v>12</v>
      </c>
      <c r="K563" t="s">
        <v>36</v>
      </c>
      <c r="L563" t="s">
        <v>21</v>
      </c>
      <c r="M563">
        <v>1</v>
      </c>
    </row>
    <row r="564" spans="1:13" x14ac:dyDescent="0.25">
      <c r="A564" t="s">
        <v>537</v>
      </c>
      <c r="B564" t="s">
        <v>35</v>
      </c>
      <c r="C564" t="s">
        <v>14</v>
      </c>
      <c r="D564" t="s">
        <v>33</v>
      </c>
      <c r="E564" t="s">
        <v>21</v>
      </c>
      <c r="F564">
        <v>1</v>
      </c>
      <c r="G564">
        <v>43</v>
      </c>
      <c r="H564" s="1">
        <v>45657</v>
      </c>
      <c r="I564">
        <v>2024</v>
      </c>
      <c r="J564">
        <v>12</v>
      </c>
      <c r="K564" t="s">
        <v>30</v>
      </c>
      <c r="L564">
        <v>1</v>
      </c>
      <c r="M564">
        <v>1</v>
      </c>
    </row>
    <row r="565" spans="1:13" x14ac:dyDescent="0.25">
      <c r="A565" t="s">
        <v>538</v>
      </c>
      <c r="B565" t="s">
        <v>95</v>
      </c>
      <c r="C565" t="s">
        <v>539</v>
      </c>
      <c r="D565" t="s">
        <v>20</v>
      </c>
      <c r="E565" t="s">
        <v>21</v>
      </c>
      <c r="F565">
        <v>1</v>
      </c>
      <c r="G565">
        <v>7</v>
      </c>
      <c r="H565" s="1">
        <v>45657</v>
      </c>
      <c r="I565">
        <v>2024</v>
      </c>
      <c r="J565">
        <v>12</v>
      </c>
      <c r="K565" t="s">
        <v>16</v>
      </c>
      <c r="L565">
        <v>1</v>
      </c>
      <c r="M565">
        <v>1</v>
      </c>
    </row>
    <row r="566" spans="1:13" x14ac:dyDescent="0.25">
      <c r="A566" t="s">
        <v>438</v>
      </c>
      <c r="B566" t="s">
        <v>77</v>
      </c>
      <c r="C566" t="s">
        <v>174</v>
      </c>
      <c r="D566" t="s">
        <v>46</v>
      </c>
      <c r="E566">
        <v>450</v>
      </c>
      <c r="F566">
        <v>1</v>
      </c>
      <c r="G566">
        <v>109</v>
      </c>
      <c r="H566" s="1">
        <v>45653</v>
      </c>
      <c r="I566">
        <v>2024</v>
      </c>
      <c r="J566">
        <v>12</v>
      </c>
      <c r="K566" t="s">
        <v>36</v>
      </c>
      <c r="L566">
        <v>1</v>
      </c>
      <c r="M566">
        <v>1</v>
      </c>
    </row>
    <row r="567" spans="1:13" x14ac:dyDescent="0.25">
      <c r="A567" t="s">
        <v>540</v>
      </c>
      <c r="B567" t="s">
        <v>490</v>
      </c>
      <c r="C567" t="s">
        <v>83</v>
      </c>
      <c r="D567" t="s">
        <v>15</v>
      </c>
      <c r="E567">
        <v>1000</v>
      </c>
      <c r="F567">
        <v>1</v>
      </c>
      <c r="G567">
        <v>1400</v>
      </c>
      <c r="H567" s="1">
        <v>45649</v>
      </c>
      <c r="I567">
        <v>2024</v>
      </c>
      <c r="J567">
        <v>12</v>
      </c>
      <c r="K567" t="s">
        <v>26</v>
      </c>
      <c r="L567">
        <v>1</v>
      </c>
      <c r="M567">
        <v>1</v>
      </c>
    </row>
    <row r="568" spans="1:13" x14ac:dyDescent="0.25">
      <c r="A568" t="s">
        <v>541</v>
      </c>
      <c r="B568" t="s">
        <v>70</v>
      </c>
      <c r="C568" t="s">
        <v>29</v>
      </c>
      <c r="D568" t="s">
        <v>22</v>
      </c>
      <c r="E568" t="s">
        <v>21</v>
      </c>
      <c r="F568">
        <v>1</v>
      </c>
      <c r="G568" t="s">
        <v>21</v>
      </c>
      <c r="H568" s="1">
        <v>45648</v>
      </c>
      <c r="I568">
        <v>2024</v>
      </c>
      <c r="J568">
        <v>12</v>
      </c>
      <c r="K568" t="s">
        <v>22</v>
      </c>
      <c r="L568">
        <v>1</v>
      </c>
      <c r="M568">
        <v>1</v>
      </c>
    </row>
    <row r="569" spans="1:13" x14ac:dyDescent="0.25">
      <c r="A569" t="s">
        <v>542</v>
      </c>
      <c r="B569" t="s">
        <v>35</v>
      </c>
      <c r="C569" t="s">
        <v>14</v>
      </c>
      <c r="D569" t="s">
        <v>33</v>
      </c>
      <c r="E569" t="s">
        <v>21</v>
      </c>
      <c r="F569" t="s">
        <v>21</v>
      </c>
      <c r="G569">
        <v>42</v>
      </c>
      <c r="H569" s="1">
        <v>45645</v>
      </c>
      <c r="I569">
        <v>2024</v>
      </c>
      <c r="J569">
        <v>12</v>
      </c>
      <c r="K569" t="s">
        <v>30</v>
      </c>
      <c r="L569" t="s">
        <v>21</v>
      </c>
      <c r="M569">
        <v>0</v>
      </c>
    </row>
    <row r="570" spans="1:13" x14ac:dyDescent="0.25">
      <c r="A570" t="s">
        <v>543</v>
      </c>
      <c r="B570" t="s">
        <v>32</v>
      </c>
      <c r="C570" t="s">
        <v>14</v>
      </c>
      <c r="D570" t="s">
        <v>20</v>
      </c>
      <c r="E570" t="s">
        <v>21</v>
      </c>
      <c r="F570" t="s">
        <v>21</v>
      </c>
      <c r="G570">
        <v>134</v>
      </c>
      <c r="H570" s="1">
        <v>45643</v>
      </c>
      <c r="I570">
        <v>2024</v>
      </c>
      <c r="J570">
        <v>12</v>
      </c>
      <c r="K570" t="s">
        <v>36</v>
      </c>
      <c r="L570" t="s">
        <v>21</v>
      </c>
      <c r="M570">
        <v>0</v>
      </c>
    </row>
    <row r="571" spans="1:13" x14ac:dyDescent="0.25">
      <c r="A571" t="s">
        <v>544</v>
      </c>
      <c r="B571" t="s">
        <v>95</v>
      </c>
      <c r="C571" t="s">
        <v>48</v>
      </c>
      <c r="D571" t="s">
        <v>68</v>
      </c>
      <c r="E571" t="s">
        <v>21</v>
      </c>
      <c r="F571">
        <v>1</v>
      </c>
      <c r="G571" t="s">
        <v>21</v>
      </c>
      <c r="H571" s="1">
        <v>45640</v>
      </c>
      <c r="I571">
        <v>2024</v>
      </c>
      <c r="J571">
        <v>12</v>
      </c>
      <c r="K571" t="s">
        <v>22</v>
      </c>
      <c r="L571">
        <v>1</v>
      </c>
      <c r="M571">
        <v>1</v>
      </c>
    </row>
    <row r="572" spans="1:13" x14ac:dyDescent="0.25">
      <c r="A572" t="s">
        <v>545</v>
      </c>
      <c r="B572" t="s">
        <v>38</v>
      </c>
      <c r="C572" t="s">
        <v>161</v>
      </c>
      <c r="D572" t="s">
        <v>15</v>
      </c>
      <c r="E572" t="s">
        <v>21</v>
      </c>
      <c r="F572">
        <v>0.12</v>
      </c>
      <c r="G572">
        <v>17</v>
      </c>
      <c r="H572" s="1">
        <v>45638</v>
      </c>
      <c r="I572">
        <v>2024</v>
      </c>
      <c r="J572">
        <v>12</v>
      </c>
      <c r="K572" t="s">
        <v>30</v>
      </c>
      <c r="L572">
        <v>0</v>
      </c>
      <c r="M572">
        <v>1</v>
      </c>
    </row>
    <row r="573" spans="1:13" x14ac:dyDescent="0.25">
      <c r="A573" t="s">
        <v>546</v>
      </c>
      <c r="B573" t="s">
        <v>18</v>
      </c>
      <c r="C573" t="s">
        <v>14</v>
      </c>
      <c r="D573" t="s">
        <v>20</v>
      </c>
      <c r="E573" t="s">
        <v>21</v>
      </c>
      <c r="F573" t="s">
        <v>21</v>
      </c>
      <c r="G573">
        <v>6</v>
      </c>
      <c r="H573" s="1">
        <v>45638</v>
      </c>
      <c r="I573">
        <v>2024</v>
      </c>
      <c r="J573">
        <v>12</v>
      </c>
      <c r="K573" t="s">
        <v>16</v>
      </c>
      <c r="L573" t="s">
        <v>21</v>
      </c>
      <c r="M573">
        <v>0</v>
      </c>
    </row>
    <row r="574" spans="1:13" x14ac:dyDescent="0.25">
      <c r="A574" t="s">
        <v>547</v>
      </c>
      <c r="B574" t="s">
        <v>52</v>
      </c>
      <c r="C574" t="s">
        <v>14</v>
      </c>
      <c r="D574" t="s">
        <v>97</v>
      </c>
      <c r="E574">
        <v>74</v>
      </c>
      <c r="F574">
        <v>0.27</v>
      </c>
      <c r="G574" t="s">
        <v>21</v>
      </c>
      <c r="H574" s="1">
        <v>45637</v>
      </c>
      <c r="I574">
        <v>2024</v>
      </c>
      <c r="J574">
        <v>12</v>
      </c>
      <c r="K574" t="s">
        <v>22</v>
      </c>
      <c r="L574">
        <v>0</v>
      </c>
      <c r="M574">
        <v>1</v>
      </c>
    </row>
    <row r="575" spans="1:13" x14ac:dyDescent="0.25">
      <c r="A575" t="s">
        <v>548</v>
      </c>
      <c r="B575" t="s">
        <v>13</v>
      </c>
      <c r="C575" t="s">
        <v>14</v>
      </c>
      <c r="D575" t="s">
        <v>33</v>
      </c>
      <c r="E575">
        <v>70</v>
      </c>
      <c r="F575">
        <v>0.13</v>
      </c>
      <c r="G575">
        <v>351</v>
      </c>
      <c r="H575" s="1">
        <v>45637</v>
      </c>
      <c r="I575">
        <v>2024</v>
      </c>
      <c r="J575">
        <v>12</v>
      </c>
      <c r="K575" t="s">
        <v>36</v>
      </c>
      <c r="L575">
        <v>0</v>
      </c>
      <c r="M575">
        <v>1</v>
      </c>
    </row>
    <row r="576" spans="1:13" x14ac:dyDescent="0.25">
      <c r="A576" t="s">
        <v>549</v>
      </c>
      <c r="B576" t="s">
        <v>66</v>
      </c>
      <c r="C576" t="s">
        <v>14</v>
      </c>
      <c r="D576" t="s">
        <v>15</v>
      </c>
      <c r="E576">
        <v>20</v>
      </c>
      <c r="F576" t="s">
        <v>21</v>
      </c>
      <c r="G576">
        <v>300</v>
      </c>
      <c r="H576" s="1">
        <v>45637</v>
      </c>
      <c r="I576">
        <v>2024</v>
      </c>
      <c r="J576">
        <v>12</v>
      </c>
      <c r="K576" t="s">
        <v>36</v>
      </c>
      <c r="L576" t="s">
        <v>21</v>
      </c>
      <c r="M576">
        <v>1</v>
      </c>
    </row>
    <row r="577" spans="1:13" x14ac:dyDescent="0.25">
      <c r="A577" t="s">
        <v>350</v>
      </c>
      <c r="B577" t="s">
        <v>24</v>
      </c>
      <c r="C577" t="s">
        <v>14</v>
      </c>
      <c r="D577" t="s">
        <v>22</v>
      </c>
      <c r="E577" t="s">
        <v>21</v>
      </c>
      <c r="F577">
        <v>0.22</v>
      </c>
      <c r="G577">
        <v>381</v>
      </c>
      <c r="H577" s="1">
        <v>45637</v>
      </c>
      <c r="I577">
        <v>2024</v>
      </c>
      <c r="J577">
        <v>12</v>
      </c>
      <c r="K577" t="s">
        <v>36</v>
      </c>
      <c r="L577">
        <v>0</v>
      </c>
      <c r="M577">
        <v>1</v>
      </c>
    </row>
    <row r="578" spans="1:13" x14ac:dyDescent="0.25">
      <c r="A578" t="s">
        <v>441</v>
      </c>
      <c r="B578" t="s">
        <v>13</v>
      </c>
      <c r="C578" t="s">
        <v>14</v>
      </c>
      <c r="D578" t="s">
        <v>22</v>
      </c>
      <c r="E578" t="s">
        <v>21</v>
      </c>
      <c r="F578" t="s">
        <v>21</v>
      </c>
      <c r="G578">
        <v>238</v>
      </c>
      <c r="H578" s="1">
        <v>45637</v>
      </c>
      <c r="I578">
        <v>2024</v>
      </c>
      <c r="J578">
        <v>12</v>
      </c>
      <c r="K578" t="s">
        <v>36</v>
      </c>
      <c r="L578" t="s">
        <v>21</v>
      </c>
      <c r="M578">
        <v>0</v>
      </c>
    </row>
    <row r="579" spans="1:13" x14ac:dyDescent="0.25">
      <c r="A579" t="s">
        <v>550</v>
      </c>
      <c r="B579" t="s">
        <v>77</v>
      </c>
      <c r="C579" t="s">
        <v>29</v>
      </c>
      <c r="D579" t="s">
        <v>22</v>
      </c>
      <c r="E579">
        <v>100</v>
      </c>
      <c r="F579">
        <v>0.18</v>
      </c>
      <c r="G579">
        <v>769</v>
      </c>
      <c r="H579" s="1">
        <v>45636</v>
      </c>
      <c r="I579">
        <v>2024</v>
      </c>
      <c r="J579">
        <v>12</v>
      </c>
      <c r="K579" t="s">
        <v>36</v>
      </c>
      <c r="L579">
        <v>0</v>
      </c>
      <c r="M579">
        <v>1</v>
      </c>
    </row>
    <row r="580" spans="1:13" x14ac:dyDescent="0.25">
      <c r="A580" t="s">
        <v>551</v>
      </c>
      <c r="B580" t="s">
        <v>54</v>
      </c>
      <c r="C580" t="s">
        <v>83</v>
      </c>
      <c r="D580" t="s">
        <v>33</v>
      </c>
      <c r="E580" t="s">
        <v>21</v>
      </c>
      <c r="F580" t="s">
        <v>21</v>
      </c>
      <c r="G580">
        <v>11</v>
      </c>
      <c r="H580" s="1">
        <v>45636</v>
      </c>
      <c r="I580">
        <v>2024</v>
      </c>
      <c r="J580">
        <v>12</v>
      </c>
      <c r="K580" t="s">
        <v>30</v>
      </c>
      <c r="L580" t="s">
        <v>21</v>
      </c>
      <c r="M580">
        <v>0</v>
      </c>
    </row>
    <row r="581" spans="1:13" x14ac:dyDescent="0.25">
      <c r="A581" t="s">
        <v>552</v>
      </c>
      <c r="B581" t="s">
        <v>91</v>
      </c>
      <c r="C581" t="s">
        <v>14</v>
      </c>
      <c r="D581" t="s">
        <v>55</v>
      </c>
      <c r="E581" t="s">
        <v>21</v>
      </c>
      <c r="F581">
        <v>1</v>
      </c>
      <c r="G581">
        <v>440</v>
      </c>
      <c r="H581" s="1">
        <v>45635</v>
      </c>
      <c r="I581">
        <v>2024</v>
      </c>
      <c r="J581">
        <v>12</v>
      </c>
      <c r="K581" t="s">
        <v>36</v>
      </c>
      <c r="L581">
        <v>1</v>
      </c>
      <c r="M581">
        <v>1</v>
      </c>
    </row>
    <row r="582" spans="1:13" x14ac:dyDescent="0.25">
      <c r="A582" t="s">
        <v>553</v>
      </c>
      <c r="B582" t="s">
        <v>24</v>
      </c>
      <c r="C582" t="s">
        <v>64</v>
      </c>
      <c r="D582" t="s">
        <v>22</v>
      </c>
      <c r="E582">
        <v>76</v>
      </c>
      <c r="F582">
        <v>7.0000000000000007E-2</v>
      </c>
      <c r="G582">
        <v>375</v>
      </c>
      <c r="H582" s="1">
        <v>45632</v>
      </c>
      <c r="I582">
        <v>2024</v>
      </c>
      <c r="J582">
        <v>12</v>
      </c>
      <c r="K582" t="s">
        <v>36</v>
      </c>
      <c r="L582">
        <v>0</v>
      </c>
      <c r="M582">
        <v>1</v>
      </c>
    </row>
    <row r="583" spans="1:13" x14ac:dyDescent="0.25">
      <c r="A583" t="s">
        <v>554</v>
      </c>
      <c r="B583" t="s">
        <v>13</v>
      </c>
      <c r="C583" t="s">
        <v>14</v>
      </c>
      <c r="D583" t="s">
        <v>49</v>
      </c>
      <c r="E583" t="s">
        <v>21</v>
      </c>
      <c r="F583">
        <v>1</v>
      </c>
      <c r="G583">
        <v>2</v>
      </c>
      <c r="H583" s="1">
        <v>45632</v>
      </c>
      <c r="I583">
        <v>2024</v>
      </c>
      <c r="J583">
        <v>12</v>
      </c>
      <c r="K583" t="s">
        <v>16</v>
      </c>
      <c r="L583">
        <v>1</v>
      </c>
      <c r="M583">
        <v>1</v>
      </c>
    </row>
    <row r="584" spans="1:13" x14ac:dyDescent="0.25">
      <c r="A584" t="s">
        <v>555</v>
      </c>
      <c r="B584" t="s">
        <v>52</v>
      </c>
      <c r="C584" t="s">
        <v>14</v>
      </c>
      <c r="D584" t="s">
        <v>81</v>
      </c>
      <c r="E584">
        <v>50</v>
      </c>
      <c r="F584">
        <v>0.06</v>
      </c>
      <c r="G584">
        <v>1100</v>
      </c>
      <c r="H584" s="1">
        <v>45631</v>
      </c>
      <c r="I584">
        <v>2024</v>
      </c>
      <c r="J584">
        <v>12</v>
      </c>
      <c r="K584" t="s">
        <v>26</v>
      </c>
      <c r="L584">
        <v>0</v>
      </c>
      <c r="M584">
        <v>1</v>
      </c>
    </row>
    <row r="585" spans="1:13" x14ac:dyDescent="0.25">
      <c r="A585" t="s">
        <v>556</v>
      </c>
      <c r="B585" t="s">
        <v>32</v>
      </c>
      <c r="C585" t="s">
        <v>14</v>
      </c>
      <c r="D585" t="s">
        <v>43</v>
      </c>
      <c r="E585" t="s">
        <v>21</v>
      </c>
      <c r="F585" t="s">
        <v>21</v>
      </c>
      <c r="G585">
        <v>307</v>
      </c>
      <c r="H585" s="1">
        <v>45631</v>
      </c>
      <c r="I585">
        <v>2024</v>
      </c>
      <c r="J585">
        <v>12</v>
      </c>
      <c r="K585" t="s">
        <v>36</v>
      </c>
      <c r="L585" t="s">
        <v>21</v>
      </c>
      <c r="M585">
        <v>0</v>
      </c>
    </row>
    <row r="586" spans="1:13" x14ac:dyDescent="0.25">
      <c r="A586" t="s">
        <v>557</v>
      </c>
      <c r="B586" t="s">
        <v>77</v>
      </c>
      <c r="C586" t="s">
        <v>14</v>
      </c>
      <c r="D586" t="s">
        <v>22</v>
      </c>
      <c r="E586">
        <v>88</v>
      </c>
      <c r="F586">
        <v>0.4</v>
      </c>
      <c r="G586">
        <v>480</v>
      </c>
      <c r="H586" s="1">
        <v>45630</v>
      </c>
      <c r="I586">
        <v>2024</v>
      </c>
      <c r="J586">
        <v>12</v>
      </c>
      <c r="K586" t="s">
        <v>36</v>
      </c>
      <c r="L586">
        <v>0</v>
      </c>
      <c r="M586">
        <v>1</v>
      </c>
    </row>
    <row r="587" spans="1:13" x14ac:dyDescent="0.25">
      <c r="A587" t="s">
        <v>558</v>
      </c>
      <c r="B587" t="s">
        <v>73</v>
      </c>
      <c r="C587" t="s">
        <v>14</v>
      </c>
      <c r="D587" t="s">
        <v>15</v>
      </c>
      <c r="E587">
        <v>60</v>
      </c>
      <c r="F587" t="s">
        <v>21</v>
      </c>
      <c r="G587">
        <v>2800</v>
      </c>
      <c r="H587" s="1">
        <v>45630</v>
      </c>
      <c r="I587">
        <v>2024</v>
      </c>
      <c r="J587">
        <v>12</v>
      </c>
      <c r="K587" t="s">
        <v>26</v>
      </c>
      <c r="L587" t="s">
        <v>21</v>
      </c>
      <c r="M587">
        <v>1</v>
      </c>
    </row>
    <row r="588" spans="1:13" x14ac:dyDescent="0.25">
      <c r="A588" t="s">
        <v>460</v>
      </c>
      <c r="B588" t="s">
        <v>106</v>
      </c>
      <c r="C588" t="s">
        <v>14</v>
      </c>
      <c r="D588" t="s">
        <v>15</v>
      </c>
      <c r="E588" t="s">
        <v>21</v>
      </c>
      <c r="F588" t="s">
        <v>21</v>
      </c>
      <c r="G588">
        <v>426</v>
      </c>
      <c r="H588" s="1">
        <v>45630</v>
      </c>
      <c r="I588">
        <v>2024</v>
      </c>
      <c r="J588">
        <v>12</v>
      </c>
      <c r="K588" t="s">
        <v>36</v>
      </c>
      <c r="L588" t="s">
        <v>21</v>
      </c>
      <c r="M588">
        <v>0</v>
      </c>
    </row>
    <row r="589" spans="1:13" x14ac:dyDescent="0.25">
      <c r="A589" t="s">
        <v>110</v>
      </c>
      <c r="B589" t="s">
        <v>54</v>
      </c>
      <c r="C589" t="s">
        <v>29</v>
      </c>
      <c r="D589" t="s">
        <v>111</v>
      </c>
      <c r="E589">
        <v>80</v>
      </c>
      <c r="F589">
        <v>0.14000000000000001</v>
      </c>
      <c r="G589">
        <v>60</v>
      </c>
      <c r="H589" s="1">
        <v>45629</v>
      </c>
      <c r="I589">
        <v>2024</v>
      </c>
      <c r="J589">
        <v>12</v>
      </c>
      <c r="K589" t="s">
        <v>30</v>
      </c>
      <c r="L589">
        <v>0</v>
      </c>
      <c r="M589">
        <v>1</v>
      </c>
    </row>
    <row r="590" spans="1:13" x14ac:dyDescent="0.25">
      <c r="A590" t="s">
        <v>559</v>
      </c>
      <c r="B590" t="s">
        <v>24</v>
      </c>
      <c r="C590" t="s">
        <v>174</v>
      </c>
      <c r="D590" t="s">
        <v>15</v>
      </c>
      <c r="E590">
        <v>200</v>
      </c>
      <c r="F590" t="s">
        <v>21</v>
      </c>
      <c r="G590">
        <v>1200</v>
      </c>
      <c r="H590" s="1">
        <v>45628</v>
      </c>
      <c r="I590">
        <v>2024</v>
      </c>
      <c r="J590">
        <v>12</v>
      </c>
      <c r="K590" t="s">
        <v>26</v>
      </c>
      <c r="L590" t="s">
        <v>21</v>
      </c>
      <c r="M590">
        <v>1</v>
      </c>
    </row>
    <row r="591" spans="1:13" x14ac:dyDescent="0.25">
      <c r="A591" t="s">
        <v>560</v>
      </c>
      <c r="B591" t="s">
        <v>117</v>
      </c>
      <c r="C591" t="s">
        <v>143</v>
      </c>
      <c r="D591" t="s">
        <v>33</v>
      </c>
      <c r="E591">
        <v>30</v>
      </c>
      <c r="F591" t="s">
        <v>21</v>
      </c>
      <c r="G591">
        <v>85</v>
      </c>
      <c r="H591" s="1">
        <v>45626</v>
      </c>
      <c r="I591">
        <v>2024</v>
      </c>
      <c r="J591">
        <v>11</v>
      </c>
      <c r="K591" t="s">
        <v>30</v>
      </c>
      <c r="L591" t="s">
        <v>21</v>
      </c>
      <c r="M591">
        <v>1</v>
      </c>
    </row>
    <row r="592" spans="1:13" x14ac:dyDescent="0.25">
      <c r="A592" t="s">
        <v>561</v>
      </c>
      <c r="B592" t="s">
        <v>77</v>
      </c>
      <c r="C592" t="s">
        <v>48</v>
      </c>
      <c r="D592" t="s">
        <v>22</v>
      </c>
      <c r="E592">
        <v>60</v>
      </c>
      <c r="F592" t="s">
        <v>21</v>
      </c>
      <c r="G592">
        <v>35</v>
      </c>
      <c r="H592" s="1">
        <v>45625</v>
      </c>
      <c r="I592">
        <v>2024</v>
      </c>
      <c r="J592">
        <v>11</v>
      </c>
      <c r="K592" t="s">
        <v>30</v>
      </c>
      <c r="L592" t="s">
        <v>21</v>
      </c>
      <c r="M592">
        <v>1</v>
      </c>
    </row>
    <row r="593" spans="1:13" x14ac:dyDescent="0.25">
      <c r="A593" t="s">
        <v>535</v>
      </c>
      <c r="B593" t="s">
        <v>217</v>
      </c>
      <c r="C593" t="s">
        <v>29</v>
      </c>
      <c r="D593" t="s">
        <v>15</v>
      </c>
      <c r="E593">
        <v>500</v>
      </c>
      <c r="F593">
        <v>0.12</v>
      </c>
      <c r="G593">
        <v>155</v>
      </c>
      <c r="H593" s="1">
        <v>45623</v>
      </c>
      <c r="I593">
        <v>2024</v>
      </c>
      <c r="J593">
        <v>11</v>
      </c>
      <c r="K593" t="s">
        <v>36</v>
      </c>
      <c r="L593">
        <v>0</v>
      </c>
      <c r="M593">
        <v>1</v>
      </c>
    </row>
    <row r="594" spans="1:13" x14ac:dyDescent="0.25">
      <c r="A594" t="s">
        <v>562</v>
      </c>
      <c r="B594" t="s">
        <v>13</v>
      </c>
      <c r="C594" t="s">
        <v>14</v>
      </c>
      <c r="D594" t="s">
        <v>43</v>
      </c>
      <c r="E594">
        <v>150</v>
      </c>
      <c r="F594">
        <v>0.08</v>
      </c>
      <c r="G594">
        <v>1400</v>
      </c>
      <c r="H594" s="1">
        <v>45623</v>
      </c>
      <c r="I594">
        <v>2024</v>
      </c>
      <c r="J594">
        <v>11</v>
      </c>
      <c r="K594" t="s">
        <v>26</v>
      </c>
      <c r="L594">
        <v>0</v>
      </c>
      <c r="M594">
        <v>1</v>
      </c>
    </row>
    <row r="595" spans="1:13" x14ac:dyDescent="0.25">
      <c r="A595" t="s">
        <v>563</v>
      </c>
      <c r="B595" t="s">
        <v>54</v>
      </c>
      <c r="C595" t="s">
        <v>14</v>
      </c>
      <c r="D595" t="s">
        <v>15</v>
      </c>
      <c r="E595" t="s">
        <v>21</v>
      </c>
      <c r="F595" t="s">
        <v>21</v>
      </c>
      <c r="G595">
        <v>111</v>
      </c>
      <c r="H595" s="1">
        <v>45621</v>
      </c>
      <c r="I595">
        <v>2024</v>
      </c>
      <c r="J595">
        <v>11</v>
      </c>
      <c r="K595" t="s">
        <v>36</v>
      </c>
      <c r="L595" t="s">
        <v>21</v>
      </c>
      <c r="M595">
        <v>0</v>
      </c>
    </row>
    <row r="596" spans="1:13" x14ac:dyDescent="0.25">
      <c r="A596" t="s">
        <v>564</v>
      </c>
      <c r="B596" t="s">
        <v>70</v>
      </c>
      <c r="C596" t="s">
        <v>14</v>
      </c>
      <c r="D596" t="s">
        <v>15</v>
      </c>
      <c r="E596" t="s">
        <v>21</v>
      </c>
      <c r="F596" t="s">
        <v>21</v>
      </c>
      <c r="G596">
        <v>1200</v>
      </c>
      <c r="H596" s="1">
        <v>45620</v>
      </c>
      <c r="I596">
        <v>2024</v>
      </c>
      <c r="J596">
        <v>11</v>
      </c>
      <c r="K596" t="s">
        <v>26</v>
      </c>
      <c r="L596" t="s">
        <v>21</v>
      </c>
      <c r="M596">
        <v>0</v>
      </c>
    </row>
    <row r="597" spans="1:13" x14ac:dyDescent="0.25">
      <c r="A597" t="s">
        <v>474</v>
      </c>
      <c r="B597" t="s">
        <v>66</v>
      </c>
      <c r="C597" t="s">
        <v>48</v>
      </c>
      <c r="D597" t="s">
        <v>15</v>
      </c>
      <c r="E597">
        <v>500</v>
      </c>
      <c r="F597" t="s">
        <v>21</v>
      </c>
      <c r="G597">
        <v>1700</v>
      </c>
      <c r="H597" s="1">
        <v>45618</v>
      </c>
      <c r="I597">
        <v>2024</v>
      </c>
      <c r="J597">
        <v>11</v>
      </c>
      <c r="K597" t="s">
        <v>26</v>
      </c>
      <c r="L597" t="s">
        <v>21</v>
      </c>
      <c r="M597">
        <v>1</v>
      </c>
    </row>
    <row r="598" spans="1:13" x14ac:dyDescent="0.25">
      <c r="A598" t="s">
        <v>565</v>
      </c>
      <c r="B598" t="s">
        <v>54</v>
      </c>
      <c r="C598" t="s">
        <v>83</v>
      </c>
      <c r="D598" t="s">
        <v>20</v>
      </c>
      <c r="E598">
        <v>304</v>
      </c>
      <c r="F598" t="s">
        <v>21</v>
      </c>
      <c r="G598">
        <v>256</v>
      </c>
      <c r="H598" s="1">
        <v>45618</v>
      </c>
      <c r="I598">
        <v>2024</v>
      </c>
      <c r="J598">
        <v>11</v>
      </c>
      <c r="K598" t="s">
        <v>36</v>
      </c>
      <c r="L598" t="s">
        <v>21</v>
      </c>
      <c r="M598">
        <v>1</v>
      </c>
    </row>
    <row r="599" spans="1:13" x14ac:dyDescent="0.25">
      <c r="A599" t="s">
        <v>566</v>
      </c>
      <c r="B599" t="s">
        <v>73</v>
      </c>
      <c r="C599" t="s">
        <v>174</v>
      </c>
      <c r="D599" t="s">
        <v>22</v>
      </c>
      <c r="E599" t="s">
        <v>21</v>
      </c>
      <c r="F599" t="s">
        <v>21</v>
      </c>
      <c r="G599">
        <v>730</v>
      </c>
      <c r="H599" s="1">
        <v>45618</v>
      </c>
      <c r="I599">
        <v>2024</v>
      </c>
      <c r="J599">
        <v>11</v>
      </c>
      <c r="K599" t="s">
        <v>36</v>
      </c>
      <c r="L599" t="s">
        <v>21</v>
      </c>
      <c r="M599">
        <v>0</v>
      </c>
    </row>
    <row r="600" spans="1:13" x14ac:dyDescent="0.25">
      <c r="A600" t="s">
        <v>141</v>
      </c>
      <c r="B600" t="s">
        <v>45</v>
      </c>
      <c r="C600" t="s">
        <v>14</v>
      </c>
      <c r="D600" t="s">
        <v>20</v>
      </c>
      <c r="E600">
        <v>202</v>
      </c>
      <c r="F600">
        <v>0.01</v>
      </c>
      <c r="G600">
        <v>154</v>
      </c>
      <c r="H600" s="1">
        <v>45617</v>
      </c>
      <c r="I600">
        <v>2024</v>
      </c>
      <c r="J600">
        <v>11</v>
      </c>
      <c r="K600" t="s">
        <v>36</v>
      </c>
      <c r="L600">
        <v>0</v>
      </c>
      <c r="M600">
        <v>1</v>
      </c>
    </row>
    <row r="601" spans="1:13" x14ac:dyDescent="0.25">
      <c r="A601" t="s">
        <v>567</v>
      </c>
      <c r="B601" t="s">
        <v>35</v>
      </c>
      <c r="C601" t="s">
        <v>14</v>
      </c>
      <c r="D601" t="s">
        <v>22</v>
      </c>
      <c r="E601" t="s">
        <v>21</v>
      </c>
      <c r="F601">
        <v>0.13</v>
      </c>
      <c r="G601">
        <v>216</v>
      </c>
      <c r="H601" s="1">
        <v>45616</v>
      </c>
      <c r="I601">
        <v>2024</v>
      </c>
      <c r="J601">
        <v>11</v>
      </c>
      <c r="K601" t="s">
        <v>36</v>
      </c>
      <c r="L601">
        <v>0</v>
      </c>
      <c r="M601">
        <v>1</v>
      </c>
    </row>
    <row r="602" spans="1:13" x14ac:dyDescent="0.25">
      <c r="A602" t="s">
        <v>568</v>
      </c>
      <c r="B602" t="s">
        <v>38</v>
      </c>
      <c r="C602" t="s">
        <v>14</v>
      </c>
      <c r="D602" t="s">
        <v>20</v>
      </c>
      <c r="E602" t="s">
        <v>21</v>
      </c>
      <c r="F602" t="s">
        <v>21</v>
      </c>
      <c r="G602">
        <v>507</v>
      </c>
      <c r="H602" s="1">
        <v>45615</v>
      </c>
      <c r="I602">
        <v>2024</v>
      </c>
      <c r="J602">
        <v>11</v>
      </c>
      <c r="K602" t="s">
        <v>36</v>
      </c>
      <c r="L602" t="s">
        <v>21</v>
      </c>
      <c r="M602">
        <v>0</v>
      </c>
    </row>
    <row r="603" spans="1:13" x14ac:dyDescent="0.25">
      <c r="A603" t="s">
        <v>569</v>
      </c>
      <c r="B603" t="s">
        <v>77</v>
      </c>
      <c r="C603" t="s">
        <v>80</v>
      </c>
      <c r="D603" t="s">
        <v>111</v>
      </c>
      <c r="E603">
        <v>71</v>
      </c>
      <c r="F603">
        <v>0.25</v>
      </c>
      <c r="G603">
        <v>321</v>
      </c>
      <c r="H603" s="1">
        <v>45611</v>
      </c>
      <c r="I603">
        <v>2024</v>
      </c>
      <c r="J603">
        <v>11</v>
      </c>
      <c r="K603" t="s">
        <v>36</v>
      </c>
      <c r="L603">
        <v>0</v>
      </c>
      <c r="M603">
        <v>1</v>
      </c>
    </row>
    <row r="604" spans="1:13" x14ac:dyDescent="0.25">
      <c r="A604" t="s">
        <v>570</v>
      </c>
      <c r="B604" t="s">
        <v>13</v>
      </c>
      <c r="C604" t="s">
        <v>87</v>
      </c>
      <c r="D604" t="s">
        <v>22</v>
      </c>
      <c r="E604">
        <v>300</v>
      </c>
      <c r="F604" t="s">
        <v>21</v>
      </c>
      <c r="G604" t="s">
        <v>21</v>
      </c>
      <c r="H604" s="1">
        <v>45610</v>
      </c>
      <c r="I604">
        <v>2024</v>
      </c>
      <c r="J604">
        <v>11</v>
      </c>
      <c r="K604" t="s">
        <v>22</v>
      </c>
      <c r="L604" t="s">
        <v>21</v>
      </c>
      <c r="M604">
        <v>1</v>
      </c>
    </row>
    <row r="605" spans="1:13" x14ac:dyDescent="0.25">
      <c r="A605" t="s">
        <v>571</v>
      </c>
      <c r="B605" t="s">
        <v>32</v>
      </c>
      <c r="C605" t="s">
        <v>48</v>
      </c>
      <c r="D605" t="s">
        <v>46</v>
      </c>
      <c r="E605">
        <v>80</v>
      </c>
      <c r="F605" t="s">
        <v>21</v>
      </c>
      <c r="G605">
        <v>71</v>
      </c>
      <c r="H605" s="1">
        <v>45610</v>
      </c>
      <c r="I605">
        <v>2024</v>
      </c>
      <c r="J605">
        <v>11</v>
      </c>
      <c r="K605" t="s">
        <v>30</v>
      </c>
      <c r="L605" t="s">
        <v>21</v>
      </c>
      <c r="M605">
        <v>1</v>
      </c>
    </row>
    <row r="606" spans="1:13" x14ac:dyDescent="0.25">
      <c r="A606" t="s">
        <v>572</v>
      </c>
      <c r="B606" t="s">
        <v>70</v>
      </c>
      <c r="C606" t="s">
        <v>14</v>
      </c>
      <c r="D606" t="s">
        <v>15</v>
      </c>
      <c r="E606">
        <v>1000</v>
      </c>
      <c r="F606">
        <v>0.04</v>
      </c>
      <c r="G606" t="s">
        <v>21</v>
      </c>
      <c r="H606" s="1">
        <v>45609</v>
      </c>
      <c r="I606">
        <v>2024</v>
      </c>
      <c r="J606">
        <v>11</v>
      </c>
      <c r="K606" t="s">
        <v>22</v>
      </c>
      <c r="L606">
        <v>0</v>
      </c>
      <c r="M606">
        <v>1</v>
      </c>
    </row>
    <row r="607" spans="1:13" x14ac:dyDescent="0.25">
      <c r="A607" t="s">
        <v>447</v>
      </c>
      <c r="B607" t="s">
        <v>54</v>
      </c>
      <c r="C607" t="s">
        <v>14</v>
      </c>
      <c r="D607" t="s">
        <v>15</v>
      </c>
      <c r="E607">
        <v>120</v>
      </c>
      <c r="F607" t="s">
        <v>21</v>
      </c>
      <c r="G607">
        <v>1600</v>
      </c>
      <c r="H607" s="1">
        <v>45609</v>
      </c>
      <c r="I607">
        <v>2024</v>
      </c>
      <c r="J607">
        <v>11</v>
      </c>
      <c r="K607" t="s">
        <v>26</v>
      </c>
      <c r="L607" t="s">
        <v>21</v>
      </c>
      <c r="M607">
        <v>1</v>
      </c>
    </row>
    <row r="608" spans="1:13" x14ac:dyDescent="0.25">
      <c r="A608" t="s">
        <v>338</v>
      </c>
      <c r="B608" t="s">
        <v>106</v>
      </c>
      <c r="C608" t="s">
        <v>14</v>
      </c>
      <c r="D608" t="s">
        <v>15</v>
      </c>
      <c r="E608">
        <v>319</v>
      </c>
      <c r="F608">
        <v>0.21</v>
      </c>
      <c r="G608">
        <v>227</v>
      </c>
      <c r="H608" s="1">
        <v>45608</v>
      </c>
      <c r="I608">
        <v>2024</v>
      </c>
      <c r="J608">
        <v>11</v>
      </c>
      <c r="K608" t="s">
        <v>36</v>
      </c>
      <c r="L608">
        <v>0</v>
      </c>
      <c r="M608">
        <v>1</v>
      </c>
    </row>
    <row r="609" spans="1:13" x14ac:dyDescent="0.25">
      <c r="A609" t="s">
        <v>573</v>
      </c>
      <c r="B609" t="s">
        <v>35</v>
      </c>
      <c r="C609" t="s">
        <v>14</v>
      </c>
      <c r="D609" t="s">
        <v>111</v>
      </c>
      <c r="E609">
        <v>200</v>
      </c>
      <c r="F609">
        <v>1</v>
      </c>
      <c r="G609">
        <v>325</v>
      </c>
      <c r="H609" s="1">
        <v>45608</v>
      </c>
      <c r="I609">
        <v>2024</v>
      </c>
      <c r="J609">
        <v>11</v>
      </c>
      <c r="K609" t="s">
        <v>36</v>
      </c>
      <c r="L609">
        <v>1</v>
      </c>
      <c r="M609">
        <v>1</v>
      </c>
    </row>
    <row r="610" spans="1:13" x14ac:dyDescent="0.25">
      <c r="A610" t="s">
        <v>574</v>
      </c>
      <c r="B610" t="s">
        <v>35</v>
      </c>
      <c r="C610" t="s">
        <v>14</v>
      </c>
      <c r="D610" t="s">
        <v>43</v>
      </c>
      <c r="E610">
        <v>77</v>
      </c>
      <c r="F610">
        <v>0.02</v>
      </c>
      <c r="G610">
        <v>910</v>
      </c>
      <c r="H610" s="1">
        <v>45608</v>
      </c>
      <c r="I610">
        <v>2024</v>
      </c>
      <c r="J610">
        <v>11</v>
      </c>
      <c r="K610" t="s">
        <v>36</v>
      </c>
      <c r="L610">
        <v>0</v>
      </c>
      <c r="M610">
        <v>1</v>
      </c>
    </row>
    <row r="611" spans="1:13" x14ac:dyDescent="0.25">
      <c r="A611" t="s">
        <v>575</v>
      </c>
      <c r="B611" t="s">
        <v>140</v>
      </c>
      <c r="C611" t="s">
        <v>14</v>
      </c>
      <c r="D611" t="s">
        <v>20</v>
      </c>
      <c r="E611" t="s">
        <v>21</v>
      </c>
      <c r="F611" t="s">
        <v>21</v>
      </c>
      <c r="G611">
        <v>214</v>
      </c>
      <c r="H611" s="1">
        <v>45608</v>
      </c>
      <c r="I611">
        <v>2024</v>
      </c>
      <c r="J611">
        <v>11</v>
      </c>
      <c r="K611" t="s">
        <v>36</v>
      </c>
      <c r="L611" t="s">
        <v>21</v>
      </c>
      <c r="M611">
        <v>0</v>
      </c>
    </row>
    <row r="612" spans="1:13" x14ac:dyDescent="0.25">
      <c r="A612" t="s">
        <v>576</v>
      </c>
      <c r="B612" t="s">
        <v>106</v>
      </c>
      <c r="C612" t="s">
        <v>48</v>
      </c>
      <c r="D612" t="s">
        <v>49</v>
      </c>
      <c r="E612" t="s">
        <v>21</v>
      </c>
      <c r="F612">
        <v>1</v>
      </c>
      <c r="G612" t="s">
        <v>21</v>
      </c>
      <c r="H612" s="1">
        <v>45608</v>
      </c>
      <c r="I612">
        <v>2024</v>
      </c>
      <c r="J612">
        <v>11</v>
      </c>
      <c r="K612" t="s">
        <v>22</v>
      </c>
      <c r="L612">
        <v>1</v>
      </c>
      <c r="M612">
        <v>1</v>
      </c>
    </row>
    <row r="613" spans="1:13" x14ac:dyDescent="0.25">
      <c r="A613" t="s">
        <v>577</v>
      </c>
      <c r="B613" t="s">
        <v>217</v>
      </c>
      <c r="C613" t="s">
        <v>14</v>
      </c>
      <c r="D613" t="s">
        <v>15</v>
      </c>
      <c r="E613">
        <v>500</v>
      </c>
      <c r="F613">
        <v>0.17</v>
      </c>
      <c r="G613">
        <v>116</v>
      </c>
      <c r="H613" s="1">
        <v>45607</v>
      </c>
      <c r="I613">
        <v>2024</v>
      </c>
      <c r="J613">
        <v>11</v>
      </c>
      <c r="K613" t="s">
        <v>36</v>
      </c>
      <c r="L613">
        <v>0</v>
      </c>
      <c r="M613">
        <v>1</v>
      </c>
    </row>
    <row r="614" spans="1:13" x14ac:dyDescent="0.25">
      <c r="A614" t="s">
        <v>578</v>
      </c>
      <c r="B614" t="s">
        <v>35</v>
      </c>
      <c r="C614" t="s">
        <v>14</v>
      </c>
      <c r="D614" t="s">
        <v>15</v>
      </c>
      <c r="E614">
        <v>200</v>
      </c>
      <c r="F614">
        <v>0.4</v>
      </c>
      <c r="G614">
        <v>1100</v>
      </c>
      <c r="H614" s="1">
        <v>45607</v>
      </c>
      <c r="I614">
        <v>2024</v>
      </c>
      <c r="J614">
        <v>11</v>
      </c>
      <c r="K614" t="s">
        <v>26</v>
      </c>
      <c r="L614">
        <v>0</v>
      </c>
      <c r="M614">
        <v>1</v>
      </c>
    </row>
    <row r="615" spans="1:13" x14ac:dyDescent="0.25">
      <c r="A615" t="s">
        <v>579</v>
      </c>
      <c r="B615" t="s">
        <v>35</v>
      </c>
      <c r="C615" t="s">
        <v>14</v>
      </c>
      <c r="D615" t="s">
        <v>22</v>
      </c>
      <c r="E615">
        <v>13</v>
      </c>
      <c r="F615" t="s">
        <v>21</v>
      </c>
      <c r="G615">
        <v>450</v>
      </c>
      <c r="H615" s="1">
        <v>45607</v>
      </c>
      <c r="I615">
        <v>2024</v>
      </c>
      <c r="J615">
        <v>11</v>
      </c>
      <c r="K615" t="s">
        <v>36</v>
      </c>
      <c r="L615" t="s">
        <v>21</v>
      </c>
      <c r="M615">
        <v>1</v>
      </c>
    </row>
    <row r="616" spans="1:13" x14ac:dyDescent="0.25">
      <c r="A616" t="s">
        <v>322</v>
      </c>
      <c r="B616" t="s">
        <v>13</v>
      </c>
      <c r="C616" t="s">
        <v>14</v>
      </c>
      <c r="D616" t="s">
        <v>22</v>
      </c>
      <c r="E616">
        <v>35</v>
      </c>
      <c r="F616">
        <v>0.1</v>
      </c>
      <c r="G616">
        <v>214</v>
      </c>
      <c r="H616" s="1">
        <v>45604</v>
      </c>
      <c r="I616">
        <v>2024</v>
      </c>
      <c r="J616">
        <v>11</v>
      </c>
      <c r="K616" t="s">
        <v>36</v>
      </c>
      <c r="L616">
        <v>0</v>
      </c>
      <c r="M616">
        <v>1</v>
      </c>
    </row>
    <row r="617" spans="1:13" x14ac:dyDescent="0.25">
      <c r="A617" t="s">
        <v>580</v>
      </c>
      <c r="B617" t="s">
        <v>24</v>
      </c>
      <c r="C617" t="s">
        <v>14</v>
      </c>
      <c r="D617" t="s">
        <v>15</v>
      </c>
      <c r="E617" t="s">
        <v>21</v>
      </c>
      <c r="F617" t="s">
        <v>21</v>
      </c>
      <c r="G617">
        <v>224</v>
      </c>
      <c r="H617" s="1">
        <v>45604</v>
      </c>
      <c r="I617">
        <v>2024</v>
      </c>
      <c r="J617">
        <v>11</v>
      </c>
      <c r="K617" t="s">
        <v>36</v>
      </c>
      <c r="L617" t="s">
        <v>21</v>
      </c>
      <c r="M617">
        <v>0</v>
      </c>
    </row>
    <row r="618" spans="1:13" x14ac:dyDescent="0.25">
      <c r="A618" t="s">
        <v>581</v>
      </c>
      <c r="B618" t="s">
        <v>73</v>
      </c>
      <c r="C618" t="s">
        <v>14</v>
      </c>
      <c r="D618" t="s">
        <v>20</v>
      </c>
      <c r="E618" t="s">
        <v>21</v>
      </c>
      <c r="F618" t="s">
        <v>21</v>
      </c>
      <c r="G618" t="s">
        <v>21</v>
      </c>
      <c r="H618" s="1">
        <v>45604</v>
      </c>
      <c r="I618">
        <v>2024</v>
      </c>
      <c r="J618">
        <v>11</v>
      </c>
      <c r="K618" t="s">
        <v>22</v>
      </c>
      <c r="L618" t="s">
        <v>21</v>
      </c>
      <c r="M618">
        <v>0</v>
      </c>
    </row>
    <row r="619" spans="1:13" x14ac:dyDescent="0.25">
      <c r="A619" t="s">
        <v>582</v>
      </c>
      <c r="B619" t="s">
        <v>490</v>
      </c>
      <c r="C619" t="s">
        <v>14</v>
      </c>
      <c r="D619" t="s">
        <v>49</v>
      </c>
      <c r="E619" t="s">
        <v>21</v>
      </c>
      <c r="F619">
        <v>1</v>
      </c>
      <c r="G619">
        <v>4</v>
      </c>
      <c r="H619" s="1">
        <v>45604</v>
      </c>
      <c r="I619">
        <v>2024</v>
      </c>
      <c r="J619">
        <v>11</v>
      </c>
      <c r="K619" t="s">
        <v>16</v>
      </c>
      <c r="L619">
        <v>1</v>
      </c>
      <c r="M619">
        <v>1</v>
      </c>
    </row>
    <row r="620" spans="1:13" x14ac:dyDescent="0.25">
      <c r="A620" t="s">
        <v>169</v>
      </c>
      <c r="B620" t="s">
        <v>89</v>
      </c>
      <c r="C620" t="s">
        <v>14</v>
      </c>
      <c r="D620" t="s">
        <v>15</v>
      </c>
      <c r="E620">
        <v>660</v>
      </c>
      <c r="F620">
        <v>0.13</v>
      </c>
      <c r="G620">
        <v>484</v>
      </c>
      <c r="H620" s="1">
        <v>45603</v>
      </c>
      <c r="I620">
        <v>2024</v>
      </c>
      <c r="J620">
        <v>11</v>
      </c>
      <c r="K620" t="s">
        <v>36</v>
      </c>
      <c r="L620">
        <v>0</v>
      </c>
      <c r="M620">
        <v>1</v>
      </c>
    </row>
    <row r="621" spans="1:13" x14ac:dyDescent="0.25">
      <c r="A621" t="s">
        <v>354</v>
      </c>
      <c r="B621" t="s">
        <v>95</v>
      </c>
      <c r="C621" t="s">
        <v>74</v>
      </c>
      <c r="D621" t="s">
        <v>20</v>
      </c>
      <c r="E621">
        <v>300</v>
      </c>
      <c r="F621">
        <v>0.02</v>
      </c>
      <c r="G621">
        <v>129</v>
      </c>
      <c r="H621" s="1">
        <v>45603</v>
      </c>
      <c r="I621">
        <v>2024</v>
      </c>
      <c r="J621">
        <v>11</v>
      </c>
      <c r="K621" t="s">
        <v>36</v>
      </c>
      <c r="L621">
        <v>0</v>
      </c>
      <c r="M621">
        <v>1</v>
      </c>
    </row>
    <row r="622" spans="1:13" x14ac:dyDescent="0.25">
      <c r="A622" t="s">
        <v>90</v>
      </c>
      <c r="B622" t="s">
        <v>91</v>
      </c>
      <c r="C622" t="s">
        <v>14</v>
      </c>
      <c r="D622" t="s">
        <v>15</v>
      </c>
      <c r="E622">
        <v>300</v>
      </c>
      <c r="F622">
        <v>0.17</v>
      </c>
      <c r="G622">
        <v>1900</v>
      </c>
      <c r="H622" s="1">
        <v>45603</v>
      </c>
      <c r="I622">
        <v>2024</v>
      </c>
      <c r="J622">
        <v>11</v>
      </c>
      <c r="K622" t="s">
        <v>26</v>
      </c>
      <c r="L622">
        <v>0</v>
      </c>
      <c r="M622">
        <v>1</v>
      </c>
    </row>
    <row r="623" spans="1:13" x14ac:dyDescent="0.25">
      <c r="A623" t="s">
        <v>583</v>
      </c>
      <c r="B623" t="s">
        <v>28</v>
      </c>
      <c r="C623" t="s">
        <v>14</v>
      </c>
      <c r="D623" t="s">
        <v>15</v>
      </c>
      <c r="E623">
        <v>250</v>
      </c>
      <c r="F623">
        <v>0.02</v>
      </c>
      <c r="G623">
        <v>35</v>
      </c>
      <c r="H623" s="1">
        <v>45603</v>
      </c>
      <c r="I623">
        <v>2024</v>
      </c>
      <c r="J623">
        <v>11</v>
      </c>
      <c r="K623" t="s">
        <v>30</v>
      </c>
      <c r="L623">
        <v>0</v>
      </c>
      <c r="M623">
        <v>1</v>
      </c>
    </row>
    <row r="624" spans="1:13" x14ac:dyDescent="0.25">
      <c r="A624" t="s">
        <v>584</v>
      </c>
      <c r="B624" t="s">
        <v>13</v>
      </c>
      <c r="C624" t="s">
        <v>14</v>
      </c>
      <c r="D624" t="s">
        <v>20</v>
      </c>
      <c r="E624">
        <v>199</v>
      </c>
      <c r="F624" t="s">
        <v>21</v>
      </c>
      <c r="G624" t="s">
        <v>21</v>
      </c>
      <c r="H624" s="1">
        <v>45603</v>
      </c>
      <c r="I624">
        <v>2024</v>
      </c>
      <c r="J624">
        <v>11</v>
      </c>
      <c r="K624" t="s">
        <v>22</v>
      </c>
      <c r="L624" t="s">
        <v>21</v>
      </c>
      <c r="M624">
        <v>1</v>
      </c>
    </row>
    <row r="625" spans="1:13" x14ac:dyDescent="0.25">
      <c r="A625" t="s">
        <v>337</v>
      </c>
      <c r="B625" t="s">
        <v>40</v>
      </c>
      <c r="C625" t="s">
        <v>83</v>
      </c>
      <c r="D625" t="s">
        <v>111</v>
      </c>
      <c r="E625">
        <v>115</v>
      </c>
      <c r="F625">
        <v>0.06</v>
      </c>
      <c r="G625">
        <v>724</v>
      </c>
      <c r="H625" s="1">
        <v>45603</v>
      </c>
      <c r="I625">
        <v>2024</v>
      </c>
      <c r="J625">
        <v>11</v>
      </c>
      <c r="K625" t="s">
        <v>36</v>
      </c>
      <c r="L625">
        <v>0</v>
      </c>
      <c r="M625">
        <v>1</v>
      </c>
    </row>
    <row r="626" spans="1:13" x14ac:dyDescent="0.25">
      <c r="A626" t="s">
        <v>585</v>
      </c>
      <c r="B626" t="s">
        <v>18</v>
      </c>
      <c r="C626" t="s">
        <v>14</v>
      </c>
      <c r="D626" t="s">
        <v>15</v>
      </c>
      <c r="E626">
        <v>105</v>
      </c>
      <c r="F626">
        <v>0.16</v>
      </c>
      <c r="G626">
        <v>30</v>
      </c>
      <c r="H626" s="1">
        <v>45602</v>
      </c>
      <c r="I626">
        <v>2024</v>
      </c>
      <c r="J626">
        <v>11</v>
      </c>
      <c r="K626" t="s">
        <v>30</v>
      </c>
      <c r="L626">
        <v>0</v>
      </c>
      <c r="M626">
        <v>1</v>
      </c>
    </row>
    <row r="627" spans="1:13" x14ac:dyDescent="0.25">
      <c r="A627" t="s">
        <v>586</v>
      </c>
      <c r="B627" t="s">
        <v>99</v>
      </c>
      <c r="C627" t="s">
        <v>14</v>
      </c>
      <c r="D627" t="s">
        <v>194</v>
      </c>
      <c r="E627">
        <v>67</v>
      </c>
      <c r="F627">
        <v>0.09</v>
      </c>
      <c r="G627">
        <v>489</v>
      </c>
      <c r="H627" s="1">
        <v>45602</v>
      </c>
      <c r="I627">
        <v>2024</v>
      </c>
      <c r="J627">
        <v>11</v>
      </c>
      <c r="K627" t="s">
        <v>36</v>
      </c>
      <c r="L627">
        <v>0</v>
      </c>
      <c r="M627">
        <v>1</v>
      </c>
    </row>
    <row r="628" spans="1:13" x14ac:dyDescent="0.25">
      <c r="A628" t="s">
        <v>587</v>
      </c>
      <c r="B628" t="s">
        <v>13</v>
      </c>
      <c r="C628" t="s">
        <v>14</v>
      </c>
      <c r="D628" t="s">
        <v>15</v>
      </c>
      <c r="E628" t="s">
        <v>21</v>
      </c>
      <c r="F628" t="s">
        <v>21</v>
      </c>
      <c r="G628">
        <v>700</v>
      </c>
      <c r="H628" s="1">
        <v>45602</v>
      </c>
      <c r="I628">
        <v>2024</v>
      </c>
      <c r="J628">
        <v>11</v>
      </c>
      <c r="K628" t="s">
        <v>36</v>
      </c>
      <c r="L628" t="s">
        <v>21</v>
      </c>
      <c r="M628">
        <v>0</v>
      </c>
    </row>
    <row r="629" spans="1:13" x14ac:dyDescent="0.25">
      <c r="A629" t="s">
        <v>588</v>
      </c>
      <c r="B629" t="s">
        <v>18</v>
      </c>
      <c r="C629" t="s">
        <v>14</v>
      </c>
      <c r="D629" t="s">
        <v>97</v>
      </c>
      <c r="E629" t="s">
        <v>21</v>
      </c>
      <c r="F629">
        <v>0.3</v>
      </c>
      <c r="G629">
        <v>2.2999999999999998</v>
      </c>
      <c r="H629" s="1">
        <v>45601</v>
      </c>
      <c r="I629">
        <v>2024</v>
      </c>
      <c r="J629">
        <v>11</v>
      </c>
      <c r="K629" t="s">
        <v>16</v>
      </c>
      <c r="L629">
        <v>0</v>
      </c>
      <c r="M629">
        <v>1</v>
      </c>
    </row>
    <row r="630" spans="1:13" x14ac:dyDescent="0.25">
      <c r="A630" t="s">
        <v>589</v>
      </c>
      <c r="B630" t="s">
        <v>114</v>
      </c>
      <c r="C630" t="s">
        <v>29</v>
      </c>
      <c r="D630" t="s">
        <v>20</v>
      </c>
      <c r="E630">
        <v>18</v>
      </c>
      <c r="F630">
        <v>0.11</v>
      </c>
      <c r="G630">
        <v>35</v>
      </c>
      <c r="H630" s="1">
        <v>45600</v>
      </c>
      <c r="I630">
        <v>2024</v>
      </c>
      <c r="J630">
        <v>11</v>
      </c>
      <c r="K630" t="s">
        <v>30</v>
      </c>
      <c r="L630">
        <v>0</v>
      </c>
      <c r="M630">
        <v>1</v>
      </c>
    </row>
    <row r="631" spans="1:13" x14ac:dyDescent="0.25">
      <c r="A631" t="s">
        <v>590</v>
      </c>
      <c r="B631" t="s">
        <v>13</v>
      </c>
      <c r="C631" t="s">
        <v>29</v>
      </c>
      <c r="D631" t="s">
        <v>33</v>
      </c>
      <c r="E631">
        <v>20</v>
      </c>
      <c r="F631">
        <v>0.06</v>
      </c>
      <c r="G631">
        <v>102</v>
      </c>
      <c r="H631" s="1">
        <v>45599</v>
      </c>
      <c r="I631">
        <v>2024</v>
      </c>
      <c r="J631">
        <v>11</v>
      </c>
      <c r="K631" t="s">
        <v>36</v>
      </c>
      <c r="L631">
        <v>0</v>
      </c>
      <c r="M631">
        <v>1</v>
      </c>
    </row>
    <row r="632" spans="1:13" x14ac:dyDescent="0.25">
      <c r="A632" t="s">
        <v>591</v>
      </c>
      <c r="B632" t="s">
        <v>35</v>
      </c>
      <c r="C632" t="s">
        <v>14</v>
      </c>
      <c r="D632" t="s">
        <v>43</v>
      </c>
      <c r="E632">
        <v>60</v>
      </c>
      <c r="F632">
        <v>0.1</v>
      </c>
      <c r="G632">
        <v>417</v>
      </c>
      <c r="H632" s="1">
        <v>45597</v>
      </c>
      <c r="I632">
        <v>2024</v>
      </c>
      <c r="J632">
        <v>11</v>
      </c>
      <c r="K632" t="s">
        <v>36</v>
      </c>
      <c r="L632">
        <v>0</v>
      </c>
      <c r="M632">
        <v>1</v>
      </c>
    </row>
    <row r="633" spans="1:13" x14ac:dyDescent="0.25">
      <c r="A633" t="s">
        <v>592</v>
      </c>
      <c r="B633" t="s">
        <v>95</v>
      </c>
      <c r="C633" t="s">
        <v>14</v>
      </c>
      <c r="D633" t="s">
        <v>22</v>
      </c>
      <c r="E633" t="s">
        <v>21</v>
      </c>
      <c r="F633">
        <v>1</v>
      </c>
      <c r="G633">
        <v>626</v>
      </c>
      <c r="H633" s="1">
        <v>45597</v>
      </c>
      <c r="I633">
        <v>2024</v>
      </c>
      <c r="J633">
        <v>11</v>
      </c>
      <c r="K633" t="s">
        <v>36</v>
      </c>
      <c r="L633">
        <v>1</v>
      </c>
      <c r="M633">
        <v>1</v>
      </c>
    </row>
    <row r="634" spans="1:13" x14ac:dyDescent="0.25">
      <c r="A634" t="s">
        <v>593</v>
      </c>
      <c r="B634" t="s">
        <v>18</v>
      </c>
      <c r="C634" t="s">
        <v>14</v>
      </c>
      <c r="D634" t="s">
        <v>20</v>
      </c>
      <c r="E634" t="s">
        <v>21</v>
      </c>
      <c r="F634" t="s">
        <v>21</v>
      </c>
      <c r="G634" t="s">
        <v>21</v>
      </c>
      <c r="H634" s="1">
        <v>45596</v>
      </c>
      <c r="I634">
        <v>2024</v>
      </c>
      <c r="J634">
        <v>10</v>
      </c>
      <c r="K634" t="s">
        <v>22</v>
      </c>
      <c r="L634" t="s">
        <v>21</v>
      </c>
      <c r="M634">
        <v>0</v>
      </c>
    </row>
    <row r="635" spans="1:13" x14ac:dyDescent="0.25">
      <c r="A635" t="s">
        <v>594</v>
      </c>
      <c r="B635" t="s">
        <v>13</v>
      </c>
      <c r="C635" t="s">
        <v>14</v>
      </c>
      <c r="D635" t="s">
        <v>15</v>
      </c>
      <c r="E635">
        <v>527</v>
      </c>
      <c r="F635">
        <v>0.2</v>
      </c>
      <c r="G635">
        <v>1700</v>
      </c>
      <c r="H635" s="1">
        <v>45595</v>
      </c>
      <c r="I635">
        <v>2024</v>
      </c>
      <c r="J635">
        <v>10</v>
      </c>
      <c r="K635" t="s">
        <v>26</v>
      </c>
      <c r="L635">
        <v>0</v>
      </c>
      <c r="M635">
        <v>1</v>
      </c>
    </row>
    <row r="636" spans="1:13" x14ac:dyDescent="0.25">
      <c r="A636" t="s">
        <v>134</v>
      </c>
      <c r="B636" t="s">
        <v>52</v>
      </c>
      <c r="C636" t="s">
        <v>14</v>
      </c>
      <c r="D636" t="s">
        <v>22</v>
      </c>
      <c r="E636">
        <v>400</v>
      </c>
      <c r="F636">
        <v>0.15</v>
      </c>
      <c r="G636">
        <v>134</v>
      </c>
      <c r="H636" s="1">
        <v>45595</v>
      </c>
      <c r="I636">
        <v>2024</v>
      </c>
      <c r="J636">
        <v>10</v>
      </c>
      <c r="K636" t="s">
        <v>36</v>
      </c>
      <c r="L636">
        <v>0</v>
      </c>
      <c r="M636">
        <v>1</v>
      </c>
    </row>
    <row r="637" spans="1:13" x14ac:dyDescent="0.25">
      <c r="A637" t="s">
        <v>595</v>
      </c>
      <c r="B637" t="s">
        <v>13</v>
      </c>
      <c r="C637" t="s">
        <v>14</v>
      </c>
      <c r="D637" t="s">
        <v>46</v>
      </c>
      <c r="E637">
        <v>275</v>
      </c>
      <c r="F637">
        <v>0.18</v>
      </c>
      <c r="G637">
        <v>476</v>
      </c>
      <c r="H637" s="1">
        <v>45595</v>
      </c>
      <c r="I637">
        <v>2024</v>
      </c>
      <c r="J637">
        <v>10</v>
      </c>
      <c r="K637" t="s">
        <v>36</v>
      </c>
      <c r="L637">
        <v>0</v>
      </c>
      <c r="M637">
        <v>1</v>
      </c>
    </row>
    <row r="638" spans="1:13" x14ac:dyDescent="0.25">
      <c r="A638" t="s">
        <v>391</v>
      </c>
      <c r="B638" t="s">
        <v>52</v>
      </c>
      <c r="C638" t="s">
        <v>14</v>
      </c>
      <c r="D638" t="s">
        <v>55</v>
      </c>
      <c r="E638">
        <v>163</v>
      </c>
      <c r="F638">
        <v>0.2</v>
      </c>
      <c r="G638">
        <v>726</v>
      </c>
      <c r="H638" s="1">
        <v>45594</v>
      </c>
      <c r="I638">
        <v>2024</v>
      </c>
      <c r="J638">
        <v>10</v>
      </c>
      <c r="K638" t="s">
        <v>36</v>
      </c>
      <c r="L638">
        <v>0</v>
      </c>
      <c r="M638">
        <v>1</v>
      </c>
    </row>
    <row r="639" spans="1:13" x14ac:dyDescent="0.25">
      <c r="A639" t="s">
        <v>377</v>
      </c>
      <c r="B639" t="s">
        <v>28</v>
      </c>
      <c r="C639" t="s">
        <v>14</v>
      </c>
      <c r="D639" t="s">
        <v>15</v>
      </c>
      <c r="E639">
        <v>100</v>
      </c>
      <c r="F639">
        <v>0.02</v>
      </c>
      <c r="G639" t="s">
        <v>21</v>
      </c>
      <c r="H639" s="1">
        <v>45594</v>
      </c>
      <c r="I639">
        <v>2024</v>
      </c>
      <c r="J639">
        <v>10</v>
      </c>
      <c r="K639" t="s">
        <v>22</v>
      </c>
      <c r="L639">
        <v>0</v>
      </c>
      <c r="M639">
        <v>1</v>
      </c>
    </row>
    <row r="640" spans="1:13" x14ac:dyDescent="0.25">
      <c r="A640" t="s">
        <v>596</v>
      </c>
      <c r="B640" t="s">
        <v>140</v>
      </c>
      <c r="C640" t="s">
        <v>14</v>
      </c>
      <c r="D640" t="s">
        <v>46</v>
      </c>
      <c r="E640" t="s">
        <v>21</v>
      </c>
      <c r="F640">
        <v>0.1</v>
      </c>
      <c r="G640">
        <v>436</v>
      </c>
      <c r="H640" s="1">
        <v>45594</v>
      </c>
      <c r="I640">
        <v>2024</v>
      </c>
      <c r="J640">
        <v>10</v>
      </c>
      <c r="K640" t="s">
        <v>36</v>
      </c>
      <c r="L640">
        <v>0</v>
      </c>
      <c r="M640">
        <v>1</v>
      </c>
    </row>
    <row r="641" spans="1:13" x14ac:dyDescent="0.25">
      <c r="A641" t="s">
        <v>597</v>
      </c>
      <c r="B641" t="s">
        <v>52</v>
      </c>
      <c r="C641" t="s">
        <v>14</v>
      </c>
      <c r="D641" t="s">
        <v>46</v>
      </c>
      <c r="E641" t="s">
        <v>21</v>
      </c>
      <c r="F641">
        <v>0.35</v>
      </c>
      <c r="G641">
        <v>87</v>
      </c>
      <c r="H641" s="1">
        <v>45594</v>
      </c>
      <c r="I641">
        <v>2024</v>
      </c>
      <c r="J641">
        <v>10</v>
      </c>
      <c r="K641" t="s">
        <v>30</v>
      </c>
      <c r="L641">
        <v>0</v>
      </c>
      <c r="M641">
        <v>1</v>
      </c>
    </row>
    <row r="642" spans="1:13" x14ac:dyDescent="0.25">
      <c r="A642" t="s">
        <v>598</v>
      </c>
      <c r="B642" t="s">
        <v>106</v>
      </c>
      <c r="C642" t="s">
        <v>14</v>
      </c>
      <c r="D642" t="s">
        <v>15</v>
      </c>
      <c r="E642">
        <v>150</v>
      </c>
      <c r="F642">
        <v>0.1</v>
      </c>
      <c r="G642">
        <v>458</v>
      </c>
      <c r="H642" s="1">
        <v>45590</v>
      </c>
      <c r="I642">
        <v>2024</v>
      </c>
      <c r="J642">
        <v>10</v>
      </c>
      <c r="K642" t="s">
        <v>36</v>
      </c>
      <c r="L642">
        <v>0</v>
      </c>
      <c r="M642">
        <v>1</v>
      </c>
    </row>
    <row r="643" spans="1:13" x14ac:dyDescent="0.25">
      <c r="A643" t="s">
        <v>375</v>
      </c>
      <c r="B643" t="s">
        <v>66</v>
      </c>
      <c r="C643" t="s">
        <v>14</v>
      </c>
      <c r="D643" t="s">
        <v>22</v>
      </c>
      <c r="E643" t="s">
        <v>21</v>
      </c>
      <c r="F643">
        <v>0.4</v>
      </c>
      <c r="G643">
        <v>548</v>
      </c>
      <c r="H643" s="1">
        <v>45590</v>
      </c>
      <c r="I643">
        <v>2024</v>
      </c>
      <c r="J643">
        <v>10</v>
      </c>
      <c r="K643" t="s">
        <v>36</v>
      </c>
      <c r="L643">
        <v>0</v>
      </c>
      <c r="M643">
        <v>1</v>
      </c>
    </row>
    <row r="644" spans="1:13" x14ac:dyDescent="0.25">
      <c r="A644" t="s">
        <v>599</v>
      </c>
      <c r="B644" t="s">
        <v>217</v>
      </c>
      <c r="C644" t="s">
        <v>14</v>
      </c>
      <c r="D644" t="s">
        <v>22</v>
      </c>
      <c r="E644" t="s">
        <v>21</v>
      </c>
      <c r="F644" t="s">
        <v>21</v>
      </c>
      <c r="G644">
        <v>844</v>
      </c>
      <c r="H644" s="1">
        <v>45590</v>
      </c>
      <c r="I644">
        <v>2024</v>
      </c>
      <c r="J644">
        <v>10</v>
      </c>
      <c r="K644" t="s">
        <v>36</v>
      </c>
      <c r="L644" t="s">
        <v>21</v>
      </c>
      <c r="M644">
        <v>0</v>
      </c>
    </row>
    <row r="645" spans="1:13" x14ac:dyDescent="0.25">
      <c r="A645" t="s">
        <v>600</v>
      </c>
      <c r="B645" t="s">
        <v>70</v>
      </c>
      <c r="C645" t="s">
        <v>137</v>
      </c>
      <c r="D645" t="s">
        <v>22</v>
      </c>
      <c r="E645" t="s">
        <v>21</v>
      </c>
      <c r="F645" t="s">
        <v>21</v>
      </c>
      <c r="G645" t="s">
        <v>21</v>
      </c>
      <c r="H645" s="1">
        <v>45589</v>
      </c>
      <c r="I645">
        <v>2024</v>
      </c>
      <c r="J645">
        <v>10</v>
      </c>
      <c r="K645" t="s">
        <v>22</v>
      </c>
      <c r="L645" t="s">
        <v>21</v>
      </c>
      <c r="M645">
        <v>0</v>
      </c>
    </row>
    <row r="646" spans="1:13" x14ac:dyDescent="0.25">
      <c r="A646" t="s">
        <v>601</v>
      </c>
      <c r="B646" t="s">
        <v>54</v>
      </c>
      <c r="C646" t="s">
        <v>602</v>
      </c>
      <c r="D646" t="s">
        <v>22</v>
      </c>
      <c r="E646">
        <v>29</v>
      </c>
      <c r="F646" t="s">
        <v>21</v>
      </c>
      <c r="G646" t="s">
        <v>21</v>
      </c>
      <c r="H646" s="1">
        <v>45588</v>
      </c>
      <c r="I646">
        <v>2024</v>
      </c>
      <c r="J646">
        <v>10</v>
      </c>
      <c r="K646" t="s">
        <v>22</v>
      </c>
      <c r="L646" t="s">
        <v>21</v>
      </c>
      <c r="M646">
        <v>1</v>
      </c>
    </row>
    <row r="647" spans="1:13" x14ac:dyDescent="0.25">
      <c r="A647" t="s">
        <v>159</v>
      </c>
      <c r="B647" t="s">
        <v>13</v>
      </c>
      <c r="C647" t="s">
        <v>14</v>
      </c>
      <c r="D647" t="s">
        <v>15</v>
      </c>
      <c r="E647" t="s">
        <v>21</v>
      </c>
      <c r="F647">
        <v>0.21</v>
      </c>
      <c r="G647">
        <v>168</v>
      </c>
      <c r="H647" s="1">
        <v>45588</v>
      </c>
      <c r="I647">
        <v>2024</v>
      </c>
      <c r="J647">
        <v>10</v>
      </c>
      <c r="K647" t="s">
        <v>36</v>
      </c>
      <c r="L647">
        <v>0</v>
      </c>
      <c r="M647">
        <v>1</v>
      </c>
    </row>
    <row r="648" spans="1:13" x14ac:dyDescent="0.25">
      <c r="A648" t="s">
        <v>603</v>
      </c>
      <c r="B648" t="s">
        <v>28</v>
      </c>
      <c r="C648" t="s">
        <v>14</v>
      </c>
      <c r="D648" t="s">
        <v>20</v>
      </c>
      <c r="E648">
        <v>100</v>
      </c>
      <c r="F648" t="s">
        <v>21</v>
      </c>
      <c r="G648">
        <v>49</v>
      </c>
      <c r="H648" s="1">
        <v>45586</v>
      </c>
      <c r="I648">
        <v>2024</v>
      </c>
      <c r="J648">
        <v>10</v>
      </c>
      <c r="K648" t="s">
        <v>30</v>
      </c>
      <c r="L648" t="s">
        <v>21</v>
      </c>
      <c r="M648">
        <v>1</v>
      </c>
    </row>
    <row r="649" spans="1:13" x14ac:dyDescent="0.25">
      <c r="A649" t="s">
        <v>604</v>
      </c>
      <c r="B649" t="s">
        <v>32</v>
      </c>
      <c r="C649" t="s">
        <v>539</v>
      </c>
      <c r="D649" t="s">
        <v>46</v>
      </c>
      <c r="E649">
        <v>22</v>
      </c>
      <c r="F649" t="s">
        <v>21</v>
      </c>
      <c r="G649">
        <v>22</v>
      </c>
      <c r="H649" s="1">
        <v>45586</v>
      </c>
      <c r="I649">
        <v>2024</v>
      </c>
      <c r="J649">
        <v>10</v>
      </c>
      <c r="K649" t="s">
        <v>30</v>
      </c>
      <c r="L649" t="s">
        <v>21</v>
      </c>
      <c r="M649">
        <v>1</v>
      </c>
    </row>
    <row r="650" spans="1:13" x14ac:dyDescent="0.25">
      <c r="A650" t="s">
        <v>605</v>
      </c>
      <c r="B650" t="s">
        <v>40</v>
      </c>
      <c r="C650" t="s">
        <v>14</v>
      </c>
      <c r="D650" t="s">
        <v>33</v>
      </c>
      <c r="E650" t="s">
        <v>21</v>
      </c>
      <c r="F650" t="s">
        <v>21</v>
      </c>
      <c r="G650">
        <v>140</v>
      </c>
      <c r="H650" s="1">
        <v>45585</v>
      </c>
      <c r="I650">
        <v>2024</v>
      </c>
      <c r="J650">
        <v>10</v>
      </c>
      <c r="K650" t="s">
        <v>36</v>
      </c>
      <c r="L650" t="s">
        <v>21</v>
      </c>
      <c r="M650">
        <v>0</v>
      </c>
    </row>
    <row r="651" spans="1:13" x14ac:dyDescent="0.25">
      <c r="A651" t="s">
        <v>606</v>
      </c>
      <c r="B651" t="s">
        <v>77</v>
      </c>
      <c r="C651" t="s">
        <v>14</v>
      </c>
      <c r="D651" t="s">
        <v>22</v>
      </c>
      <c r="E651" t="s">
        <v>21</v>
      </c>
      <c r="F651">
        <v>1</v>
      </c>
      <c r="G651" t="s">
        <v>21</v>
      </c>
      <c r="H651" s="1">
        <v>45582</v>
      </c>
      <c r="I651">
        <v>2024</v>
      </c>
      <c r="J651">
        <v>10</v>
      </c>
      <c r="K651" t="s">
        <v>22</v>
      </c>
      <c r="L651">
        <v>1</v>
      </c>
      <c r="M651">
        <v>1</v>
      </c>
    </row>
    <row r="652" spans="1:13" x14ac:dyDescent="0.25">
      <c r="A652" t="s">
        <v>131</v>
      </c>
      <c r="B652" t="s">
        <v>18</v>
      </c>
      <c r="C652" t="s">
        <v>14</v>
      </c>
      <c r="D652" t="s">
        <v>15</v>
      </c>
      <c r="E652" t="s">
        <v>21</v>
      </c>
      <c r="F652" t="s">
        <v>21</v>
      </c>
      <c r="G652">
        <v>26000</v>
      </c>
      <c r="H652" s="1">
        <v>45581</v>
      </c>
      <c r="I652">
        <v>2024</v>
      </c>
      <c r="J652">
        <v>10</v>
      </c>
      <c r="K652" t="s">
        <v>26</v>
      </c>
      <c r="L652" t="s">
        <v>21</v>
      </c>
      <c r="M652">
        <v>0</v>
      </c>
    </row>
    <row r="653" spans="1:13" x14ac:dyDescent="0.25">
      <c r="A653" t="s">
        <v>607</v>
      </c>
      <c r="B653" t="s">
        <v>38</v>
      </c>
      <c r="C653" t="s">
        <v>14</v>
      </c>
      <c r="D653" t="s">
        <v>20</v>
      </c>
      <c r="E653">
        <v>69</v>
      </c>
      <c r="F653" t="s">
        <v>21</v>
      </c>
      <c r="G653">
        <v>23</v>
      </c>
      <c r="H653" s="1">
        <v>45580</v>
      </c>
      <c r="I653">
        <v>2024</v>
      </c>
      <c r="J653">
        <v>10</v>
      </c>
      <c r="K653" t="s">
        <v>30</v>
      </c>
      <c r="L653" t="s">
        <v>21</v>
      </c>
      <c r="M653">
        <v>1</v>
      </c>
    </row>
    <row r="654" spans="1:13" x14ac:dyDescent="0.25">
      <c r="A654" t="s">
        <v>447</v>
      </c>
      <c r="B654" t="s">
        <v>54</v>
      </c>
      <c r="C654" t="s">
        <v>14</v>
      </c>
      <c r="D654" t="s">
        <v>15</v>
      </c>
      <c r="E654">
        <v>58</v>
      </c>
      <c r="F654" t="s">
        <v>21</v>
      </c>
      <c r="G654">
        <v>1600</v>
      </c>
      <c r="H654" s="1">
        <v>45580</v>
      </c>
      <c r="I654">
        <v>2024</v>
      </c>
      <c r="J654">
        <v>10</v>
      </c>
      <c r="K654" t="s">
        <v>26</v>
      </c>
      <c r="L654" t="s">
        <v>21</v>
      </c>
      <c r="M654">
        <v>1</v>
      </c>
    </row>
    <row r="655" spans="1:13" x14ac:dyDescent="0.25">
      <c r="A655" t="s">
        <v>608</v>
      </c>
      <c r="B655" t="s">
        <v>114</v>
      </c>
      <c r="C655" t="s">
        <v>14</v>
      </c>
      <c r="D655" t="s">
        <v>68</v>
      </c>
      <c r="E655" t="s">
        <v>21</v>
      </c>
      <c r="F655">
        <v>1</v>
      </c>
      <c r="G655">
        <v>19</v>
      </c>
      <c r="H655" s="1">
        <v>45580</v>
      </c>
      <c r="I655">
        <v>2024</v>
      </c>
      <c r="J655">
        <v>10</v>
      </c>
      <c r="K655" t="s">
        <v>30</v>
      </c>
      <c r="L655">
        <v>1</v>
      </c>
      <c r="M655">
        <v>1</v>
      </c>
    </row>
    <row r="656" spans="1:13" x14ac:dyDescent="0.25">
      <c r="A656" t="s">
        <v>609</v>
      </c>
      <c r="B656" t="s">
        <v>18</v>
      </c>
      <c r="C656" t="s">
        <v>25</v>
      </c>
      <c r="D656" t="s">
        <v>22</v>
      </c>
      <c r="E656">
        <v>500</v>
      </c>
      <c r="F656" t="s">
        <v>21</v>
      </c>
      <c r="G656">
        <v>9400</v>
      </c>
      <c r="H656" s="1">
        <v>45576</v>
      </c>
      <c r="I656">
        <v>2024</v>
      </c>
      <c r="J656">
        <v>10</v>
      </c>
      <c r="K656" t="s">
        <v>26</v>
      </c>
      <c r="L656" t="s">
        <v>21</v>
      </c>
      <c r="M656">
        <v>1</v>
      </c>
    </row>
    <row r="657" spans="1:13" x14ac:dyDescent="0.25">
      <c r="A657" t="s">
        <v>610</v>
      </c>
      <c r="B657" t="s">
        <v>66</v>
      </c>
      <c r="C657" t="s">
        <v>14</v>
      </c>
      <c r="D657" t="s">
        <v>15</v>
      </c>
      <c r="E657">
        <v>130</v>
      </c>
      <c r="F657">
        <v>0.15</v>
      </c>
      <c r="G657">
        <v>3300</v>
      </c>
      <c r="H657" s="1">
        <v>45576</v>
      </c>
      <c r="I657">
        <v>2024</v>
      </c>
      <c r="J657">
        <v>10</v>
      </c>
      <c r="K657" t="s">
        <v>26</v>
      </c>
      <c r="L657">
        <v>0</v>
      </c>
      <c r="M657">
        <v>1</v>
      </c>
    </row>
    <row r="658" spans="1:13" x14ac:dyDescent="0.25">
      <c r="A658" t="s">
        <v>611</v>
      </c>
      <c r="B658" t="s">
        <v>99</v>
      </c>
      <c r="C658" t="s">
        <v>48</v>
      </c>
      <c r="D658" t="s">
        <v>68</v>
      </c>
      <c r="E658" t="s">
        <v>21</v>
      </c>
      <c r="F658">
        <v>1</v>
      </c>
      <c r="G658">
        <v>17</v>
      </c>
      <c r="H658" s="1">
        <v>45576</v>
      </c>
      <c r="I658">
        <v>2024</v>
      </c>
      <c r="J658">
        <v>10</v>
      </c>
      <c r="K658" t="s">
        <v>30</v>
      </c>
      <c r="L658">
        <v>1</v>
      </c>
      <c r="M658">
        <v>1</v>
      </c>
    </row>
    <row r="659" spans="1:13" x14ac:dyDescent="0.25">
      <c r="A659" t="s">
        <v>612</v>
      </c>
      <c r="B659" t="s">
        <v>45</v>
      </c>
      <c r="C659" t="s">
        <v>14</v>
      </c>
      <c r="D659" t="s">
        <v>20</v>
      </c>
      <c r="E659">
        <v>200</v>
      </c>
      <c r="F659">
        <v>0.15</v>
      </c>
      <c r="G659" t="s">
        <v>21</v>
      </c>
      <c r="H659" s="1">
        <v>45575</v>
      </c>
      <c r="I659">
        <v>2024</v>
      </c>
      <c r="J659">
        <v>10</v>
      </c>
      <c r="K659" t="s">
        <v>22</v>
      </c>
      <c r="L659">
        <v>0</v>
      </c>
      <c r="M659">
        <v>1</v>
      </c>
    </row>
    <row r="660" spans="1:13" x14ac:dyDescent="0.25">
      <c r="A660" t="s">
        <v>613</v>
      </c>
      <c r="B660" t="s">
        <v>24</v>
      </c>
      <c r="C660" t="s">
        <v>14</v>
      </c>
      <c r="D660" t="s">
        <v>49</v>
      </c>
      <c r="E660" t="s">
        <v>21</v>
      </c>
      <c r="F660">
        <v>1</v>
      </c>
      <c r="G660">
        <v>8</v>
      </c>
      <c r="H660" s="1">
        <v>45575</v>
      </c>
      <c r="I660">
        <v>2024</v>
      </c>
      <c r="J660">
        <v>10</v>
      </c>
      <c r="K660" t="s">
        <v>16</v>
      </c>
      <c r="L660">
        <v>1</v>
      </c>
      <c r="M660">
        <v>1</v>
      </c>
    </row>
    <row r="661" spans="1:13" x14ac:dyDescent="0.25">
      <c r="A661" t="s">
        <v>614</v>
      </c>
      <c r="B661" t="s">
        <v>45</v>
      </c>
      <c r="C661" t="s">
        <v>14</v>
      </c>
      <c r="D661" t="s">
        <v>22</v>
      </c>
      <c r="E661" t="s">
        <v>21</v>
      </c>
      <c r="F661" t="s">
        <v>21</v>
      </c>
      <c r="G661" t="s">
        <v>21</v>
      </c>
      <c r="H661" s="1">
        <v>45575</v>
      </c>
      <c r="I661">
        <v>2024</v>
      </c>
      <c r="J661">
        <v>10</v>
      </c>
      <c r="K661" t="s">
        <v>22</v>
      </c>
      <c r="L661" t="s">
        <v>21</v>
      </c>
      <c r="M661">
        <v>0</v>
      </c>
    </row>
    <row r="662" spans="1:13" x14ac:dyDescent="0.25">
      <c r="A662" t="s">
        <v>615</v>
      </c>
      <c r="B662" t="s">
        <v>95</v>
      </c>
      <c r="C662" t="s">
        <v>14</v>
      </c>
      <c r="D662" t="s">
        <v>22</v>
      </c>
      <c r="E662" t="s">
        <v>21</v>
      </c>
      <c r="F662">
        <v>1</v>
      </c>
      <c r="G662">
        <v>94</v>
      </c>
      <c r="H662" s="1">
        <v>45574</v>
      </c>
      <c r="I662">
        <v>2024</v>
      </c>
      <c r="J662">
        <v>10</v>
      </c>
      <c r="K662" t="s">
        <v>30</v>
      </c>
      <c r="L662">
        <v>1</v>
      </c>
      <c r="M662">
        <v>1</v>
      </c>
    </row>
    <row r="663" spans="1:13" x14ac:dyDescent="0.25">
      <c r="A663" t="s">
        <v>374</v>
      </c>
      <c r="B663" t="s">
        <v>24</v>
      </c>
      <c r="C663" t="s">
        <v>48</v>
      </c>
      <c r="D663" t="s">
        <v>68</v>
      </c>
      <c r="E663">
        <v>130</v>
      </c>
      <c r="F663">
        <v>0.4</v>
      </c>
      <c r="G663">
        <v>19</v>
      </c>
      <c r="H663" s="1">
        <v>45573</v>
      </c>
      <c r="I663">
        <v>2024</v>
      </c>
      <c r="J663">
        <v>10</v>
      </c>
      <c r="K663" t="s">
        <v>30</v>
      </c>
      <c r="L663">
        <v>0</v>
      </c>
      <c r="M663">
        <v>1</v>
      </c>
    </row>
    <row r="664" spans="1:13" x14ac:dyDescent="0.25">
      <c r="A664" t="s">
        <v>616</v>
      </c>
      <c r="B664" t="s">
        <v>95</v>
      </c>
      <c r="C664" t="s">
        <v>80</v>
      </c>
      <c r="D664" t="s">
        <v>33</v>
      </c>
      <c r="E664" t="s">
        <v>21</v>
      </c>
      <c r="F664">
        <v>0.9</v>
      </c>
      <c r="G664">
        <v>300</v>
      </c>
      <c r="H664" s="1">
        <v>45573</v>
      </c>
      <c r="I664">
        <v>2024</v>
      </c>
      <c r="J664">
        <v>10</v>
      </c>
      <c r="K664" t="s">
        <v>36</v>
      </c>
      <c r="L664">
        <v>0</v>
      </c>
      <c r="M664">
        <v>1</v>
      </c>
    </row>
    <row r="665" spans="1:13" x14ac:dyDescent="0.25">
      <c r="A665" t="s">
        <v>617</v>
      </c>
      <c r="B665" t="s">
        <v>18</v>
      </c>
      <c r="C665" t="s">
        <v>14</v>
      </c>
      <c r="D665" t="s">
        <v>55</v>
      </c>
      <c r="E665">
        <v>500</v>
      </c>
      <c r="F665">
        <v>1</v>
      </c>
      <c r="G665">
        <v>202</v>
      </c>
      <c r="H665" s="1">
        <v>45572</v>
      </c>
      <c r="I665">
        <v>2024</v>
      </c>
      <c r="J665">
        <v>10</v>
      </c>
      <c r="K665" t="s">
        <v>36</v>
      </c>
      <c r="L665">
        <v>1</v>
      </c>
      <c r="M665">
        <v>1</v>
      </c>
    </row>
    <row r="666" spans="1:13" x14ac:dyDescent="0.25">
      <c r="A666" t="s">
        <v>618</v>
      </c>
      <c r="B666" t="s">
        <v>54</v>
      </c>
      <c r="C666" t="s">
        <v>14</v>
      </c>
      <c r="D666" t="s">
        <v>15</v>
      </c>
      <c r="E666">
        <v>12</v>
      </c>
      <c r="F666">
        <v>0.01</v>
      </c>
      <c r="G666">
        <v>63</v>
      </c>
      <c r="H666" s="1">
        <v>45572</v>
      </c>
      <c r="I666">
        <v>2024</v>
      </c>
      <c r="J666">
        <v>10</v>
      </c>
      <c r="K666" t="s">
        <v>30</v>
      </c>
      <c r="L666">
        <v>0</v>
      </c>
      <c r="M666">
        <v>1</v>
      </c>
    </row>
    <row r="667" spans="1:13" x14ac:dyDescent="0.25">
      <c r="A667" t="s">
        <v>619</v>
      </c>
      <c r="B667" t="s">
        <v>13</v>
      </c>
      <c r="C667" t="s">
        <v>14</v>
      </c>
      <c r="D667" t="s">
        <v>15</v>
      </c>
      <c r="E667" t="s">
        <v>21</v>
      </c>
      <c r="F667">
        <v>1</v>
      </c>
      <c r="G667">
        <v>82</v>
      </c>
      <c r="H667" s="1">
        <v>45572</v>
      </c>
      <c r="I667">
        <v>2024</v>
      </c>
      <c r="J667">
        <v>10</v>
      </c>
      <c r="K667" t="s">
        <v>30</v>
      </c>
      <c r="L667">
        <v>1</v>
      </c>
      <c r="M667">
        <v>1</v>
      </c>
    </row>
    <row r="668" spans="1:13" x14ac:dyDescent="0.25">
      <c r="A668" t="s">
        <v>447</v>
      </c>
      <c r="B668" t="s">
        <v>54</v>
      </c>
      <c r="C668" t="s">
        <v>14</v>
      </c>
      <c r="D668" t="s">
        <v>15</v>
      </c>
      <c r="E668">
        <v>65</v>
      </c>
      <c r="F668" t="s">
        <v>21</v>
      </c>
      <c r="G668">
        <v>1600</v>
      </c>
      <c r="H668" s="1">
        <v>45568</v>
      </c>
      <c r="I668">
        <v>2024</v>
      </c>
      <c r="J668">
        <v>10</v>
      </c>
      <c r="K668" t="s">
        <v>26</v>
      </c>
      <c r="L668" t="s">
        <v>21</v>
      </c>
      <c r="M668">
        <v>1</v>
      </c>
    </row>
    <row r="669" spans="1:13" x14ac:dyDescent="0.25">
      <c r="A669" t="s">
        <v>620</v>
      </c>
      <c r="B669" t="s">
        <v>99</v>
      </c>
      <c r="C669" t="s">
        <v>14</v>
      </c>
      <c r="D669" t="s">
        <v>33</v>
      </c>
      <c r="E669">
        <v>12</v>
      </c>
      <c r="F669">
        <v>0.31</v>
      </c>
      <c r="G669">
        <v>75</v>
      </c>
      <c r="H669" s="1">
        <v>45567</v>
      </c>
      <c r="I669">
        <v>2024</v>
      </c>
      <c r="J669">
        <v>10</v>
      </c>
      <c r="K669" t="s">
        <v>30</v>
      </c>
      <c r="L669">
        <v>0</v>
      </c>
      <c r="M669">
        <v>1</v>
      </c>
    </row>
    <row r="670" spans="1:13" x14ac:dyDescent="0.25">
      <c r="A670" t="s">
        <v>621</v>
      </c>
      <c r="B670" t="s">
        <v>35</v>
      </c>
      <c r="C670" t="s">
        <v>14</v>
      </c>
      <c r="D670" t="s">
        <v>55</v>
      </c>
      <c r="E670" t="s">
        <v>21</v>
      </c>
      <c r="F670">
        <v>0.09</v>
      </c>
      <c r="G670">
        <v>220</v>
      </c>
      <c r="H670" s="1">
        <v>45567</v>
      </c>
      <c r="I670">
        <v>2024</v>
      </c>
      <c r="J670">
        <v>10</v>
      </c>
      <c r="K670" t="s">
        <v>36</v>
      </c>
      <c r="L670">
        <v>0</v>
      </c>
      <c r="M670">
        <v>1</v>
      </c>
    </row>
    <row r="671" spans="1:13" x14ac:dyDescent="0.25">
      <c r="A671" t="s">
        <v>622</v>
      </c>
      <c r="B671" t="s">
        <v>117</v>
      </c>
      <c r="C671" t="s">
        <v>14</v>
      </c>
      <c r="D671" t="s">
        <v>111</v>
      </c>
      <c r="E671" t="s">
        <v>21</v>
      </c>
      <c r="F671">
        <v>0.02</v>
      </c>
      <c r="G671">
        <v>2400</v>
      </c>
      <c r="H671" s="1">
        <v>45567</v>
      </c>
      <c r="I671">
        <v>2024</v>
      </c>
      <c r="J671">
        <v>10</v>
      </c>
      <c r="K671" t="s">
        <v>26</v>
      </c>
      <c r="L671">
        <v>0</v>
      </c>
      <c r="M671">
        <v>1</v>
      </c>
    </row>
    <row r="672" spans="1:13" x14ac:dyDescent="0.25">
      <c r="A672" t="s">
        <v>623</v>
      </c>
      <c r="B672" t="s">
        <v>38</v>
      </c>
      <c r="C672" t="s">
        <v>208</v>
      </c>
      <c r="D672" t="s">
        <v>22</v>
      </c>
      <c r="E672">
        <v>200</v>
      </c>
      <c r="F672" t="s">
        <v>21</v>
      </c>
      <c r="G672">
        <v>6</v>
      </c>
      <c r="H672" s="1">
        <v>45566</v>
      </c>
      <c r="I672">
        <v>2024</v>
      </c>
      <c r="J672">
        <v>10</v>
      </c>
      <c r="K672" t="s">
        <v>16</v>
      </c>
      <c r="L672" t="s">
        <v>21</v>
      </c>
      <c r="M672">
        <v>1</v>
      </c>
    </row>
    <row r="673" spans="1:13" x14ac:dyDescent="0.25">
      <c r="A673" t="s">
        <v>624</v>
      </c>
      <c r="B673" t="s">
        <v>77</v>
      </c>
      <c r="C673" t="s">
        <v>174</v>
      </c>
      <c r="D673" t="s">
        <v>22</v>
      </c>
      <c r="E673">
        <v>140</v>
      </c>
      <c r="F673" t="s">
        <v>21</v>
      </c>
      <c r="G673">
        <v>331</v>
      </c>
      <c r="H673" s="1">
        <v>45566</v>
      </c>
      <c r="I673">
        <v>2024</v>
      </c>
      <c r="J673">
        <v>10</v>
      </c>
      <c r="K673" t="s">
        <v>36</v>
      </c>
      <c r="L673" t="s">
        <v>21</v>
      </c>
      <c r="M673">
        <v>1</v>
      </c>
    </row>
    <row r="674" spans="1:13" x14ac:dyDescent="0.25">
      <c r="A674" t="s">
        <v>486</v>
      </c>
      <c r="B674" t="s">
        <v>95</v>
      </c>
      <c r="C674" t="s">
        <v>143</v>
      </c>
      <c r="D674" t="s">
        <v>68</v>
      </c>
      <c r="E674">
        <v>68</v>
      </c>
      <c r="F674">
        <v>0.2</v>
      </c>
      <c r="G674">
        <v>43</v>
      </c>
      <c r="H674" s="1">
        <v>45565</v>
      </c>
      <c r="I674">
        <v>2024</v>
      </c>
      <c r="J674">
        <v>9</v>
      </c>
      <c r="K674" t="s">
        <v>30</v>
      </c>
      <c r="L674">
        <v>0</v>
      </c>
      <c r="M674">
        <v>1</v>
      </c>
    </row>
    <row r="675" spans="1:13" x14ac:dyDescent="0.25">
      <c r="A675" t="s">
        <v>450</v>
      </c>
      <c r="B675" t="s">
        <v>54</v>
      </c>
      <c r="C675" t="s">
        <v>14</v>
      </c>
      <c r="D675" t="s">
        <v>15</v>
      </c>
      <c r="E675">
        <v>27</v>
      </c>
      <c r="F675">
        <v>0.26</v>
      </c>
      <c r="G675">
        <v>99</v>
      </c>
      <c r="H675" s="1">
        <v>45565</v>
      </c>
      <c r="I675">
        <v>2024</v>
      </c>
      <c r="J675">
        <v>9</v>
      </c>
      <c r="K675" t="s">
        <v>30</v>
      </c>
      <c r="L675">
        <v>0</v>
      </c>
      <c r="M675">
        <v>1</v>
      </c>
    </row>
    <row r="676" spans="1:13" x14ac:dyDescent="0.25">
      <c r="A676" t="s">
        <v>625</v>
      </c>
      <c r="B676" t="s">
        <v>24</v>
      </c>
      <c r="C676" t="s">
        <v>64</v>
      </c>
      <c r="D676" t="s">
        <v>81</v>
      </c>
      <c r="E676">
        <v>17</v>
      </c>
      <c r="F676" t="s">
        <v>21</v>
      </c>
      <c r="G676">
        <v>4100</v>
      </c>
      <c r="H676" s="1">
        <v>45565</v>
      </c>
      <c r="I676">
        <v>2024</v>
      </c>
      <c r="J676">
        <v>9</v>
      </c>
      <c r="K676" t="s">
        <v>26</v>
      </c>
      <c r="L676" t="s">
        <v>21</v>
      </c>
      <c r="M676">
        <v>1</v>
      </c>
    </row>
    <row r="677" spans="1:13" x14ac:dyDescent="0.25">
      <c r="A677" t="s">
        <v>626</v>
      </c>
      <c r="B677" t="s">
        <v>140</v>
      </c>
      <c r="C677" t="s">
        <v>627</v>
      </c>
      <c r="D677" t="s">
        <v>22</v>
      </c>
      <c r="E677" t="s">
        <v>21</v>
      </c>
      <c r="F677">
        <v>1</v>
      </c>
      <c r="G677" t="s">
        <v>21</v>
      </c>
      <c r="H677" s="1">
        <v>45565</v>
      </c>
      <c r="I677">
        <v>2024</v>
      </c>
      <c r="J677">
        <v>9</v>
      </c>
      <c r="K677" t="s">
        <v>22</v>
      </c>
      <c r="L677">
        <v>1</v>
      </c>
      <c r="M677">
        <v>1</v>
      </c>
    </row>
    <row r="678" spans="1:13" x14ac:dyDescent="0.25">
      <c r="A678" t="s">
        <v>628</v>
      </c>
      <c r="B678" t="s">
        <v>95</v>
      </c>
      <c r="C678" t="s">
        <v>48</v>
      </c>
      <c r="D678" t="s">
        <v>49</v>
      </c>
      <c r="E678" t="s">
        <v>21</v>
      </c>
      <c r="F678">
        <v>1</v>
      </c>
      <c r="G678">
        <v>1</v>
      </c>
      <c r="H678" s="1">
        <v>45565</v>
      </c>
      <c r="I678">
        <v>2024</v>
      </c>
      <c r="J678">
        <v>9</v>
      </c>
      <c r="K678" t="s">
        <v>16</v>
      </c>
      <c r="L678">
        <v>1</v>
      </c>
      <c r="M678">
        <v>1</v>
      </c>
    </row>
    <row r="679" spans="1:13" x14ac:dyDescent="0.25">
      <c r="A679" t="s">
        <v>629</v>
      </c>
      <c r="B679" t="s">
        <v>28</v>
      </c>
      <c r="C679" t="s">
        <v>14</v>
      </c>
      <c r="D679" t="s">
        <v>46</v>
      </c>
      <c r="E679">
        <v>40</v>
      </c>
      <c r="F679">
        <v>0.09</v>
      </c>
      <c r="G679">
        <v>328</v>
      </c>
      <c r="H679" s="1">
        <v>45561</v>
      </c>
      <c r="I679">
        <v>2024</v>
      </c>
      <c r="J679">
        <v>9</v>
      </c>
      <c r="K679" t="s">
        <v>36</v>
      </c>
      <c r="L679">
        <v>0</v>
      </c>
      <c r="M679">
        <v>1</v>
      </c>
    </row>
    <row r="680" spans="1:13" x14ac:dyDescent="0.25">
      <c r="A680" t="s">
        <v>630</v>
      </c>
      <c r="B680" t="s">
        <v>77</v>
      </c>
      <c r="C680" t="s">
        <v>14</v>
      </c>
      <c r="D680" t="s">
        <v>33</v>
      </c>
      <c r="E680">
        <v>50</v>
      </c>
      <c r="F680" t="s">
        <v>21</v>
      </c>
      <c r="G680">
        <v>77</v>
      </c>
      <c r="H680" s="1">
        <v>45560</v>
      </c>
      <c r="I680">
        <v>2024</v>
      </c>
      <c r="J680">
        <v>9</v>
      </c>
      <c r="K680" t="s">
        <v>30</v>
      </c>
      <c r="L680" t="s">
        <v>21</v>
      </c>
      <c r="M680">
        <v>1</v>
      </c>
    </row>
    <row r="681" spans="1:13" x14ac:dyDescent="0.25">
      <c r="A681" t="s">
        <v>631</v>
      </c>
      <c r="B681" t="s">
        <v>117</v>
      </c>
      <c r="C681" t="s">
        <v>14</v>
      </c>
      <c r="D681" t="s">
        <v>81</v>
      </c>
      <c r="E681">
        <v>16</v>
      </c>
      <c r="F681" t="s">
        <v>21</v>
      </c>
      <c r="G681">
        <v>92</v>
      </c>
      <c r="H681" s="1">
        <v>45559</v>
      </c>
      <c r="I681">
        <v>2024</v>
      </c>
      <c r="J681">
        <v>9</v>
      </c>
      <c r="K681" t="s">
        <v>30</v>
      </c>
      <c r="L681" t="s">
        <v>21</v>
      </c>
      <c r="M681">
        <v>1</v>
      </c>
    </row>
    <row r="682" spans="1:13" x14ac:dyDescent="0.25">
      <c r="A682" t="s">
        <v>377</v>
      </c>
      <c r="B682" t="s">
        <v>28</v>
      </c>
      <c r="C682" t="s">
        <v>14</v>
      </c>
      <c r="D682" t="s">
        <v>15</v>
      </c>
      <c r="E682" t="s">
        <v>21</v>
      </c>
      <c r="F682" t="s">
        <v>21</v>
      </c>
      <c r="G682" t="s">
        <v>21</v>
      </c>
      <c r="H682" s="1">
        <v>45559</v>
      </c>
      <c r="I682">
        <v>2024</v>
      </c>
      <c r="J682">
        <v>9</v>
      </c>
      <c r="K682" t="s">
        <v>22</v>
      </c>
      <c r="L682" t="s">
        <v>21</v>
      </c>
      <c r="M682">
        <v>0</v>
      </c>
    </row>
    <row r="683" spans="1:13" x14ac:dyDescent="0.25">
      <c r="A683" t="s">
        <v>459</v>
      </c>
      <c r="B683" t="s">
        <v>217</v>
      </c>
      <c r="C683" t="s">
        <v>161</v>
      </c>
      <c r="D683" t="s">
        <v>22</v>
      </c>
      <c r="E683">
        <v>1600</v>
      </c>
      <c r="F683">
        <v>0.2</v>
      </c>
      <c r="G683">
        <v>13800</v>
      </c>
      <c r="H683" s="1">
        <v>45558</v>
      </c>
      <c r="I683">
        <v>2024</v>
      </c>
      <c r="J683">
        <v>9</v>
      </c>
      <c r="K683" t="s">
        <v>26</v>
      </c>
      <c r="L683">
        <v>0</v>
      </c>
      <c r="M683">
        <v>1</v>
      </c>
    </row>
    <row r="684" spans="1:13" x14ac:dyDescent="0.25">
      <c r="A684" t="s">
        <v>632</v>
      </c>
      <c r="B684" t="s">
        <v>95</v>
      </c>
      <c r="C684" t="s">
        <v>14</v>
      </c>
      <c r="D684" t="s">
        <v>15</v>
      </c>
      <c r="E684" t="s">
        <v>21</v>
      </c>
      <c r="F684">
        <v>0.09</v>
      </c>
      <c r="G684">
        <v>184</v>
      </c>
      <c r="H684" s="1">
        <v>45558</v>
      </c>
      <c r="I684">
        <v>2024</v>
      </c>
      <c r="J684">
        <v>9</v>
      </c>
      <c r="K684" t="s">
        <v>36</v>
      </c>
      <c r="L684">
        <v>0</v>
      </c>
      <c r="M684">
        <v>1</v>
      </c>
    </row>
    <row r="685" spans="1:13" x14ac:dyDescent="0.25">
      <c r="A685" t="s">
        <v>633</v>
      </c>
      <c r="B685" t="s">
        <v>35</v>
      </c>
      <c r="C685" t="s">
        <v>29</v>
      </c>
      <c r="D685" t="s">
        <v>55</v>
      </c>
      <c r="E685">
        <v>40</v>
      </c>
      <c r="F685">
        <v>0.3</v>
      </c>
      <c r="G685">
        <v>185</v>
      </c>
      <c r="H685" s="1">
        <v>45557</v>
      </c>
      <c r="I685">
        <v>2024</v>
      </c>
      <c r="J685">
        <v>9</v>
      </c>
      <c r="K685" t="s">
        <v>36</v>
      </c>
      <c r="L685">
        <v>0</v>
      </c>
      <c r="M685">
        <v>1</v>
      </c>
    </row>
    <row r="686" spans="1:13" x14ac:dyDescent="0.25">
      <c r="A686" t="s">
        <v>634</v>
      </c>
      <c r="B686" t="s">
        <v>24</v>
      </c>
      <c r="C686" t="s">
        <v>14</v>
      </c>
      <c r="D686" t="s">
        <v>20</v>
      </c>
      <c r="E686">
        <v>40</v>
      </c>
      <c r="F686" t="s">
        <v>21</v>
      </c>
      <c r="G686">
        <v>47</v>
      </c>
      <c r="H686" s="1">
        <v>45555</v>
      </c>
      <c r="I686">
        <v>2024</v>
      </c>
      <c r="J686">
        <v>9</v>
      </c>
      <c r="K686" t="s">
        <v>30</v>
      </c>
      <c r="L686" t="s">
        <v>21</v>
      </c>
      <c r="M686">
        <v>1</v>
      </c>
    </row>
    <row r="687" spans="1:13" x14ac:dyDescent="0.25">
      <c r="A687" t="s">
        <v>426</v>
      </c>
      <c r="B687" t="s">
        <v>66</v>
      </c>
      <c r="C687" t="s">
        <v>14</v>
      </c>
      <c r="D687" t="s">
        <v>15</v>
      </c>
      <c r="E687" t="s">
        <v>21</v>
      </c>
      <c r="F687">
        <v>0.15</v>
      </c>
      <c r="G687">
        <v>780</v>
      </c>
      <c r="H687" s="1">
        <v>45555</v>
      </c>
      <c r="I687">
        <v>2024</v>
      </c>
      <c r="J687">
        <v>9</v>
      </c>
      <c r="K687" t="s">
        <v>36</v>
      </c>
      <c r="L687">
        <v>0</v>
      </c>
      <c r="M687">
        <v>1</v>
      </c>
    </row>
    <row r="688" spans="1:13" x14ac:dyDescent="0.25">
      <c r="A688" t="s">
        <v>635</v>
      </c>
      <c r="B688" t="s">
        <v>35</v>
      </c>
      <c r="C688" t="s">
        <v>14</v>
      </c>
      <c r="D688" t="s">
        <v>33</v>
      </c>
      <c r="E688" t="s">
        <v>21</v>
      </c>
      <c r="F688">
        <v>0.65</v>
      </c>
      <c r="G688" t="s">
        <v>21</v>
      </c>
      <c r="H688" s="1">
        <v>45555</v>
      </c>
      <c r="I688">
        <v>2024</v>
      </c>
      <c r="J688">
        <v>9</v>
      </c>
      <c r="K688" t="s">
        <v>22</v>
      </c>
      <c r="L688">
        <v>0</v>
      </c>
      <c r="M688">
        <v>1</v>
      </c>
    </row>
    <row r="689" spans="1:13" x14ac:dyDescent="0.25">
      <c r="A689" t="s">
        <v>636</v>
      </c>
      <c r="B689" t="s">
        <v>66</v>
      </c>
      <c r="C689" t="s">
        <v>19</v>
      </c>
      <c r="D689" t="s">
        <v>20</v>
      </c>
      <c r="E689">
        <v>40</v>
      </c>
      <c r="F689">
        <v>0.1</v>
      </c>
      <c r="G689" t="s">
        <v>21</v>
      </c>
      <c r="H689" s="1">
        <v>45554</v>
      </c>
      <c r="I689">
        <v>2024</v>
      </c>
      <c r="J689">
        <v>9</v>
      </c>
      <c r="K689" t="s">
        <v>22</v>
      </c>
      <c r="L689">
        <v>0</v>
      </c>
      <c r="M689">
        <v>1</v>
      </c>
    </row>
    <row r="690" spans="1:13" x14ac:dyDescent="0.25">
      <c r="A690" t="s">
        <v>637</v>
      </c>
      <c r="B690" t="s">
        <v>106</v>
      </c>
      <c r="C690" t="s">
        <v>174</v>
      </c>
      <c r="D690" t="s">
        <v>55</v>
      </c>
      <c r="E690" t="s">
        <v>21</v>
      </c>
      <c r="F690">
        <v>0.04</v>
      </c>
      <c r="G690">
        <v>483</v>
      </c>
      <c r="H690" s="1">
        <v>45554</v>
      </c>
      <c r="I690">
        <v>2024</v>
      </c>
      <c r="J690">
        <v>9</v>
      </c>
      <c r="K690" t="s">
        <v>36</v>
      </c>
      <c r="L690">
        <v>0</v>
      </c>
      <c r="M690">
        <v>1</v>
      </c>
    </row>
    <row r="691" spans="1:13" x14ac:dyDescent="0.25">
      <c r="A691" t="s">
        <v>638</v>
      </c>
      <c r="B691" t="s">
        <v>77</v>
      </c>
      <c r="C691" t="s">
        <v>539</v>
      </c>
      <c r="D691" t="s">
        <v>46</v>
      </c>
      <c r="E691">
        <v>151</v>
      </c>
      <c r="F691" t="s">
        <v>21</v>
      </c>
      <c r="G691" t="s">
        <v>21</v>
      </c>
      <c r="H691" s="1">
        <v>45553</v>
      </c>
      <c r="I691">
        <v>2024</v>
      </c>
      <c r="J691">
        <v>9</v>
      </c>
      <c r="K691" t="s">
        <v>22</v>
      </c>
      <c r="L691" t="s">
        <v>21</v>
      </c>
      <c r="M691">
        <v>1</v>
      </c>
    </row>
    <row r="692" spans="1:13" x14ac:dyDescent="0.25">
      <c r="A692" t="s">
        <v>639</v>
      </c>
      <c r="B692" t="s">
        <v>106</v>
      </c>
      <c r="C692" t="s">
        <v>48</v>
      </c>
      <c r="D692" t="s">
        <v>20</v>
      </c>
      <c r="E692">
        <v>80</v>
      </c>
      <c r="F692" t="s">
        <v>21</v>
      </c>
      <c r="G692" t="s">
        <v>21</v>
      </c>
      <c r="H692" s="1">
        <v>45553</v>
      </c>
      <c r="I692">
        <v>2024</v>
      </c>
      <c r="J692">
        <v>9</v>
      </c>
      <c r="K692" t="s">
        <v>22</v>
      </c>
      <c r="L692" t="s">
        <v>21</v>
      </c>
      <c r="M692">
        <v>1</v>
      </c>
    </row>
    <row r="693" spans="1:13" x14ac:dyDescent="0.25">
      <c r="A693" t="s">
        <v>640</v>
      </c>
      <c r="B693" t="s">
        <v>70</v>
      </c>
      <c r="C693" t="s">
        <v>14</v>
      </c>
      <c r="D693" t="s">
        <v>15</v>
      </c>
      <c r="E693" t="s">
        <v>21</v>
      </c>
      <c r="F693" t="s">
        <v>21</v>
      </c>
      <c r="G693" t="s">
        <v>21</v>
      </c>
      <c r="H693" s="1">
        <v>45553</v>
      </c>
      <c r="I693">
        <v>2024</v>
      </c>
      <c r="J693">
        <v>9</v>
      </c>
      <c r="K693" t="s">
        <v>22</v>
      </c>
      <c r="L693" t="s">
        <v>21</v>
      </c>
      <c r="M693">
        <v>0</v>
      </c>
    </row>
    <row r="694" spans="1:13" x14ac:dyDescent="0.25">
      <c r="A694" t="s">
        <v>641</v>
      </c>
      <c r="B694" t="s">
        <v>207</v>
      </c>
      <c r="C694" t="s">
        <v>71</v>
      </c>
      <c r="D694" t="s">
        <v>20</v>
      </c>
      <c r="E694">
        <v>170</v>
      </c>
      <c r="F694" t="s">
        <v>21</v>
      </c>
      <c r="G694" t="s">
        <v>21</v>
      </c>
      <c r="H694" s="1">
        <v>45551</v>
      </c>
      <c r="I694">
        <v>2024</v>
      </c>
      <c r="J694">
        <v>9</v>
      </c>
      <c r="K694" t="s">
        <v>22</v>
      </c>
      <c r="L694" t="s">
        <v>21</v>
      </c>
      <c r="M694">
        <v>1</v>
      </c>
    </row>
    <row r="695" spans="1:13" x14ac:dyDescent="0.25">
      <c r="A695" t="s">
        <v>12</v>
      </c>
      <c r="B695" t="s">
        <v>13</v>
      </c>
      <c r="C695" t="s">
        <v>14</v>
      </c>
      <c r="D695" t="s">
        <v>15</v>
      </c>
      <c r="E695">
        <v>650</v>
      </c>
      <c r="F695" t="s">
        <v>21</v>
      </c>
      <c r="G695">
        <v>1</v>
      </c>
      <c r="H695" s="1">
        <v>45547</v>
      </c>
      <c r="I695">
        <v>2024</v>
      </c>
      <c r="J695">
        <v>9</v>
      </c>
      <c r="K695" t="s">
        <v>16</v>
      </c>
      <c r="L695" t="s">
        <v>21</v>
      </c>
      <c r="M695">
        <v>1</v>
      </c>
    </row>
    <row r="696" spans="1:13" x14ac:dyDescent="0.25">
      <c r="A696" t="s">
        <v>53</v>
      </c>
      <c r="B696" t="s">
        <v>54</v>
      </c>
      <c r="C696" t="s">
        <v>14</v>
      </c>
      <c r="D696" t="s">
        <v>55</v>
      </c>
      <c r="E696" t="s">
        <v>21</v>
      </c>
      <c r="F696">
        <v>0.13</v>
      </c>
      <c r="G696">
        <v>187</v>
      </c>
      <c r="H696" s="1">
        <v>45547</v>
      </c>
      <c r="I696">
        <v>2024</v>
      </c>
      <c r="J696">
        <v>9</v>
      </c>
      <c r="K696" t="s">
        <v>36</v>
      </c>
      <c r="L696">
        <v>0</v>
      </c>
      <c r="M696">
        <v>1</v>
      </c>
    </row>
    <row r="697" spans="1:13" x14ac:dyDescent="0.25">
      <c r="A697" t="s">
        <v>642</v>
      </c>
      <c r="B697" t="s">
        <v>106</v>
      </c>
      <c r="C697" t="s">
        <v>14</v>
      </c>
      <c r="D697" t="s">
        <v>15</v>
      </c>
      <c r="E697">
        <v>280</v>
      </c>
      <c r="F697" t="s">
        <v>21</v>
      </c>
      <c r="G697">
        <v>311</v>
      </c>
      <c r="H697" s="1">
        <v>45546</v>
      </c>
      <c r="I697">
        <v>2024</v>
      </c>
      <c r="J697">
        <v>9</v>
      </c>
      <c r="K697" t="s">
        <v>36</v>
      </c>
      <c r="L697" t="s">
        <v>21</v>
      </c>
      <c r="M697">
        <v>1</v>
      </c>
    </row>
    <row r="698" spans="1:13" x14ac:dyDescent="0.25">
      <c r="A698" t="s">
        <v>312</v>
      </c>
      <c r="B698" t="s">
        <v>66</v>
      </c>
      <c r="C698" t="s">
        <v>29</v>
      </c>
      <c r="D698" t="s">
        <v>15</v>
      </c>
      <c r="E698">
        <v>100</v>
      </c>
      <c r="F698" t="s">
        <v>21</v>
      </c>
      <c r="G698">
        <v>2100</v>
      </c>
      <c r="H698" s="1">
        <v>45544</v>
      </c>
      <c r="I698">
        <v>2024</v>
      </c>
      <c r="J698">
        <v>9</v>
      </c>
      <c r="K698" t="s">
        <v>26</v>
      </c>
      <c r="L698" t="s">
        <v>21</v>
      </c>
      <c r="M698">
        <v>1</v>
      </c>
    </row>
    <row r="699" spans="1:13" x14ac:dyDescent="0.25">
      <c r="A699" t="s">
        <v>643</v>
      </c>
      <c r="B699" t="s">
        <v>93</v>
      </c>
      <c r="C699" t="s">
        <v>48</v>
      </c>
      <c r="D699" t="s">
        <v>49</v>
      </c>
      <c r="E699" t="s">
        <v>21</v>
      </c>
      <c r="F699">
        <v>1</v>
      </c>
      <c r="G699" t="s">
        <v>21</v>
      </c>
      <c r="H699" s="1">
        <v>45544</v>
      </c>
      <c r="I699">
        <v>2024</v>
      </c>
      <c r="J699">
        <v>9</v>
      </c>
      <c r="K699" t="s">
        <v>22</v>
      </c>
      <c r="L699">
        <v>1</v>
      </c>
      <c r="M699">
        <v>1</v>
      </c>
    </row>
    <row r="700" spans="1:13" x14ac:dyDescent="0.25">
      <c r="A700" t="s">
        <v>644</v>
      </c>
      <c r="B700" t="s">
        <v>217</v>
      </c>
      <c r="C700" t="s">
        <v>14</v>
      </c>
      <c r="D700" t="s">
        <v>22</v>
      </c>
      <c r="E700" t="s">
        <v>21</v>
      </c>
      <c r="F700">
        <v>1</v>
      </c>
      <c r="G700">
        <v>19</v>
      </c>
      <c r="H700" s="1">
        <v>45544</v>
      </c>
      <c r="I700">
        <v>2024</v>
      </c>
      <c r="J700">
        <v>9</v>
      </c>
      <c r="K700" t="s">
        <v>30</v>
      </c>
      <c r="L700">
        <v>1</v>
      </c>
      <c r="M700">
        <v>1</v>
      </c>
    </row>
    <row r="701" spans="1:13" x14ac:dyDescent="0.25">
      <c r="A701" t="s">
        <v>645</v>
      </c>
      <c r="B701" t="s">
        <v>13</v>
      </c>
      <c r="C701" t="s">
        <v>74</v>
      </c>
      <c r="D701" t="s">
        <v>20</v>
      </c>
      <c r="E701">
        <v>260</v>
      </c>
      <c r="F701">
        <v>0.75</v>
      </c>
      <c r="G701">
        <v>64</v>
      </c>
      <c r="H701" s="1">
        <v>45543</v>
      </c>
      <c r="I701">
        <v>2024</v>
      </c>
      <c r="J701">
        <v>9</v>
      </c>
      <c r="K701" t="s">
        <v>30</v>
      </c>
      <c r="L701">
        <v>0</v>
      </c>
      <c r="M701">
        <v>1</v>
      </c>
    </row>
    <row r="702" spans="1:13" x14ac:dyDescent="0.25">
      <c r="A702" t="s">
        <v>646</v>
      </c>
      <c r="B702" t="s">
        <v>77</v>
      </c>
      <c r="C702" t="s">
        <v>14</v>
      </c>
      <c r="D702" t="s">
        <v>46</v>
      </c>
      <c r="E702">
        <v>8</v>
      </c>
      <c r="F702">
        <v>0.04</v>
      </c>
      <c r="G702">
        <v>102</v>
      </c>
      <c r="H702" s="1">
        <v>45542</v>
      </c>
      <c r="I702">
        <v>2024</v>
      </c>
      <c r="J702">
        <v>9</v>
      </c>
      <c r="K702" t="s">
        <v>36</v>
      </c>
      <c r="L702">
        <v>0</v>
      </c>
      <c r="M702">
        <v>1</v>
      </c>
    </row>
    <row r="703" spans="1:13" x14ac:dyDescent="0.25">
      <c r="A703" t="s">
        <v>647</v>
      </c>
      <c r="B703" t="s">
        <v>24</v>
      </c>
      <c r="C703" t="s">
        <v>14</v>
      </c>
      <c r="D703" t="s">
        <v>22</v>
      </c>
      <c r="E703">
        <v>39</v>
      </c>
      <c r="F703">
        <v>0.18</v>
      </c>
      <c r="G703">
        <v>75</v>
      </c>
      <c r="H703" s="1">
        <v>45541</v>
      </c>
      <c r="I703">
        <v>2024</v>
      </c>
      <c r="J703">
        <v>9</v>
      </c>
      <c r="K703" t="s">
        <v>30</v>
      </c>
      <c r="L703">
        <v>0</v>
      </c>
      <c r="M703">
        <v>1</v>
      </c>
    </row>
    <row r="704" spans="1:13" x14ac:dyDescent="0.25">
      <c r="A704" t="s">
        <v>648</v>
      </c>
      <c r="B704" t="s">
        <v>95</v>
      </c>
      <c r="C704" t="s">
        <v>14</v>
      </c>
      <c r="D704" t="s">
        <v>22</v>
      </c>
      <c r="E704" t="s">
        <v>21</v>
      </c>
      <c r="F704">
        <v>1</v>
      </c>
      <c r="G704">
        <v>343</v>
      </c>
      <c r="H704" s="1">
        <v>45541</v>
      </c>
      <c r="I704">
        <v>2024</v>
      </c>
      <c r="J704">
        <v>9</v>
      </c>
      <c r="K704" t="s">
        <v>36</v>
      </c>
      <c r="L704">
        <v>1</v>
      </c>
      <c r="M704">
        <v>1</v>
      </c>
    </row>
    <row r="705" spans="1:13" x14ac:dyDescent="0.25">
      <c r="A705" t="s">
        <v>649</v>
      </c>
      <c r="B705" t="s">
        <v>102</v>
      </c>
      <c r="C705" t="s">
        <v>14</v>
      </c>
      <c r="D705" t="s">
        <v>22</v>
      </c>
      <c r="E705">
        <v>250</v>
      </c>
      <c r="F705">
        <v>0.15</v>
      </c>
      <c r="G705">
        <v>1400</v>
      </c>
      <c r="H705" s="1">
        <v>45539</v>
      </c>
      <c r="I705">
        <v>2024</v>
      </c>
      <c r="J705">
        <v>9</v>
      </c>
      <c r="K705" t="s">
        <v>26</v>
      </c>
      <c r="L705">
        <v>0</v>
      </c>
      <c r="M705">
        <v>1</v>
      </c>
    </row>
    <row r="706" spans="1:13" x14ac:dyDescent="0.25">
      <c r="A706" t="s">
        <v>650</v>
      </c>
      <c r="B706" t="s">
        <v>140</v>
      </c>
      <c r="C706" t="s">
        <v>14</v>
      </c>
      <c r="D706" t="s">
        <v>46</v>
      </c>
      <c r="E706">
        <v>40</v>
      </c>
      <c r="F706" t="s">
        <v>21</v>
      </c>
      <c r="G706">
        <v>110</v>
      </c>
      <c r="H706" s="1">
        <v>45539</v>
      </c>
      <c r="I706">
        <v>2024</v>
      </c>
      <c r="J706">
        <v>9</v>
      </c>
      <c r="K706" t="s">
        <v>36</v>
      </c>
      <c r="L706" t="s">
        <v>21</v>
      </c>
      <c r="M706">
        <v>1</v>
      </c>
    </row>
    <row r="707" spans="1:13" x14ac:dyDescent="0.25">
      <c r="A707" t="s">
        <v>651</v>
      </c>
      <c r="B707" t="s">
        <v>66</v>
      </c>
      <c r="C707" t="s">
        <v>14</v>
      </c>
      <c r="D707" t="s">
        <v>15</v>
      </c>
      <c r="E707">
        <v>30</v>
      </c>
      <c r="F707">
        <v>0.01</v>
      </c>
      <c r="G707">
        <v>4900</v>
      </c>
      <c r="H707" s="1">
        <v>45539</v>
      </c>
      <c r="I707">
        <v>2024</v>
      </c>
      <c r="J707">
        <v>9</v>
      </c>
      <c r="K707" t="s">
        <v>26</v>
      </c>
      <c r="L707">
        <v>0</v>
      </c>
      <c r="M707">
        <v>1</v>
      </c>
    </row>
    <row r="708" spans="1:13" x14ac:dyDescent="0.25">
      <c r="A708" t="s">
        <v>652</v>
      </c>
      <c r="B708" t="s">
        <v>490</v>
      </c>
      <c r="C708" t="s">
        <v>14</v>
      </c>
      <c r="D708" t="s">
        <v>22</v>
      </c>
      <c r="E708" t="s">
        <v>21</v>
      </c>
      <c r="F708" t="s">
        <v>21</v>
      </c>
      <c r="G708">
        <v>479</v>
      </c>
      <c r="H708" s="1">
        <v>45538</v>
      </c>
      <c r="I708">
        <v>2024</v>
      </c>
      <c r="J708">
        <v>9</v>
      </c>
      <c r="K708" t="s">
        <v>36</v>
      </c>
      <c r="L708" t="s">
        <v>21</v>
      </c>
      <c r="M708">
        <v>0</v>
      </c>
    </row>
    <row r="709" spans="1:13" x14ac:dyDescent="0.25">
      <c r="A709" t="s">
        <v>82</v>
      </c>
      <c r="B709" t="s">
        <v>52</v>
      </c>
      <c r="C709" t="s">
        <v>83</v>
      </c>
      <c r="D709" t="s">
        <v>22</v>
      </c>
      <c r="E709" t="s">
        <v>21</v>
      </c>
      <c r="F709">
        <v>0.16</v>
      </c>
      <c r="G709">
        <v>380</v>
      </c>
      <c r="H709" s="1">
        <v>45538</v>
      </c>
      <c r="I709">
        <v>2024</v>
      </c>
      <c r="J709">
        <v>9</v>
      </c>
      <c r="K709" t="s">
        <v>36</v>
      </c>
      <c r="L709">
        <v>0</v>
      </c>
      <c r="M709">
        <v>1</v>
      </c>
    </row>
    <row r="710" spans="1:13" x14ac:dyDescent="0.25">
      <c r="A710" t="s">
        <v>653</v>
      </c>
      <c r="B710" t="s">
        <v>35</v>
      </c>
      <c r="C710" t="s">
        <v>48</v>
      </c>
      <c r="D710" t="s">
        <v>68</v>
      </c>
      <c r="E710">
        <v>40</v>
      </c>
      <c r="F710" t="s">
        <v>21</v>
      </c>
      <c r="G710">
        <v>26</v>
      </c>
      <c r="H710" s="1">
        <v>45537</v>
      </c>
      <c r="I710">
        <v>2024</v>
      </c>
      <c r="J710">
        <v>9</v>
      </c>
      <c r="K710" t="s">
        <v>30</v>
      </c>
      <c r="L710" t="s">
        <v>21</v>
      </c>
      <c r="M710">
        <v>1</v>
      </c>
    </row>
    <row r="711" spans="1:13" x14ac:dyDescent="0.25">
      <c r="A711" t="s">
        <v>654</v>
      </c>
      <c r="B711" t="s">
        <v>95</v>
      </c>
      <c r="C711" t="s">
        <v>48</v>
      </c>
      <c r="D711" t="s">
        <v>22</v>
      </c>
      <c r="E711">
        <v>150</v>
      </c>
      <c r="F711">
        <v>0.75</v>
      </c>
      <c r="G711">
        <v>458</v>
      </c>
      <c r="H711" s="1">
        <v>45535</v>
      </c>
      <c r="I711">
        <v>2024</v>
      </c>
      <c r="J711">
        <v>8</v>
      </c>
      <c r="K711" t="s">
        <v>36</v>
      </c>
      <c r="L711">
        <v>0</v>
      </c>
      <c r="M711">
        <v>1</v>
      </c>
    </row>
    <row r="712" spans="1:13" x14ac:dyDescent="0.25">
      <c r="A712" t="s">
        <v>655</v>
      </c>
      <c r="B712" t="s">
        <v>93</v>
      </c>
      <c r="C712" t="s">
        <v>14</v>
      </c>
      <c r="D712" t="s">
        <v>68</v>
      </c>
      <c r="E712">
        <v>6</v>
      </c>
      <c r="F712">
        <v>0.05</v>
      </c>
      <c r="G712">
        <v>150</v>
      </c>
      <c r="H712" s="1">
        <v>45533</v>
      </c>
      <c r="I712">
        <v>2024</v>
      </c>
      <c r="J712">
        <v>8</v>
      </c>
      <c r="K712" t="s">
        <v>36</v>
      </c>
      <c r="L712">
        <v>0</v>
      </c>
      <c r="M712">
        <v>1</v>
      </c>
    </row>
    <row r="713" spans="1:13" x14ac:dyDescent="0.25">
      <c r="A713" t="s">
        <v>656</v>
      </c>
      <c r="B713" t="s">
        <v>18</v>
      </c>
      <c r="C713" t="s">
        <v>14</v>
      </c>
      <c r="D713" t="s">
        <v>33</v>
      </c>
      <c r="E713">
        <v>27</v>
      </c>
      <c r="F713">
        <v>0.14000000000000001</v>
      </c>
      <c r="G713">
        <v>42</v>
      </c>
      <c r="H713" s="1">
        <v>45532</v>
      </c>
      <c r="I713">
        <v>2024</v>
      </c>
      <c r="J713">
        <v>8</v>
      </c>
      <c r="K713" t="s">
        <v>30</v>
      </c>
      <c r="L713">
        <v>0</v>
      </c>
      <c r="M713">
        <v>1</v>
      </c>
    </row>
    <row r="714" spans="1:13" x14ac:dyDescent="0.25">
      <c r="A714" t="s">
        <v>564</v>
      </c>
      <c r="B714" t="s">
        <v>70</v>
      </c>
      <c r="C714" t="s">
        <v>14</v>
      </c>
      <c r="D714" t="s">
        <v>15</v>
      </c>
      <c r="E714">
        <v>100</v>
      </c>
      <c r="F714" t="s">
        <v>21</v>
      </c>
      <c r="G714">
        <v>1200</v>
      </c>
      <c r="H714" s="1">
        <v>45531</v>
      </c>
      <c r="I714">
        <v>2024</v>
      </c>
      <c r="J714">
        <v>8</v>
      </c>
      <c r="K714" t="s">
        <v>26</v>
      </c>
      <c r="L714" t="s">
        <v>21</v>
      </c>
      <c r="M714">
        <v>1</v>
      </c>
    </row>
    <row r="715" spans="1:13" x14ac:dyDescent="0.25">
      <c r="A715" t="s">
        <v>640</v>
      </c>
      <c r="B715" t="s">
        <v>70</v>
      </c>
      <c r="C715" t="s">
        <v>657</v>
      </c>
      <c r="D715" t="s">
        <v>15</v>
      </c>
      <c r="E715">
        <v>1000</v>
      </c>
      <c r="F715" t="s">
        <v>21</v>
      </c>
      <c r="G715" t="s">
        <v>21</v>
      </c>
      <c r="H715" s="1">
        <v>45530</v>
      </c>
      <c r="I715">
        <v>2024</v>
      </c>
      <c r="J715">
        <v>8</v>
      </c>
      <c r="K715" t="s">
        <v>22</v>
      </c>
      <c r="L715" t="s">
        <v>21</v>
      </c>
      <c r="M715">
        <v>1</v>
      </c>
    </row>
    <row r="716" spans="1:13" x14ac:dyDescent="0.25">
      <c r="A716" t="s">
        <v>658</v>
      </c>
      <c r="B716" t="s">
        <v>35</v>
      </c>
      <c r="C716" t="s">
        <v>14</v>
      </c>
      <c r="D716" t="s">
        <v>68</v>
      </c>
      <c r="E716">
        <v>131</v>
      </c>
      <c r="F716">
        <v>1</v>
      </c>
      <c r="G716">
        <v>213</v>
      </c>
      <c r="H716" s="1">
        <v>45530</v>
      </c>
      <c r="I716">
        <v>2024</v>
      </c>
      <c r="J716">
        <v>8</v>
      </c>
      <c r="K716" t="s">
        <v>36</v>
      </c>
      <c r="L716">
        <v>1</v>
      </c>
      <c r="M716">
        <v>1</v>
      </c>
    </row>
    <row r="717" spans="1:13" x14ac:dyDescent="0.25">
      <c r="A717" t="s">
        <v>659</v>
      </c>
      <c r="B717" t="s">
        <v>102</v>
      </c>
      <c r="C717" t="s">
        <v>14</v>
      </c>
      <c r="D717" t="s">
        <v>15</v>
      </c>
      <c r="E717">
        <v>42</v>
      </c>
      <c r="F717" t="s">
        <v>21</v>
      </c>
      <c r="G717">
        <v>305</v>
      </c>
      <c r="H717" s="1">
        <v>45530</v>
      </c>
      <c r="I717">
        <v>2024</v>
      </c>
      <c r="J717">
        <v>8</v>
      </c>
      <c r="K717" t="s">
        <v>36</v>
      </c>
      <c r="L717" t="s">
        <v>21</v>
      </c>
      <c r="M717">
        <v>1</v>
      </c>
    </row>
    <row r="718" spans="1:13" x14ac:dyDescent="0.25">
      <c r="A718" t="s">
        <v>660</v>
      </c>
      <c r="B718" t="s">
        <v>35</v>
      </c>
      <c r="C718" t="s">
        <v>48</v>
      </c>
      <c r="D718" t="s">
        <v>68</v>
      </c>
      <c r="E718" t="s">
        <v>21</v>
      </c>
      <c r="F718">
        <v>1</v>
      </c>
      <c r="G718">
        <v>14</v>
      </c>
      <c r="H718" s="1">
        <v>45527</v>
      </c>
      <c r="I718">
        <v>2024</v>
      </c>
      <c r="J718">
        <v>8</v>
      </c>
      <c r="K718" t="s">
        <v>30</v>
      </c>
      <c r="L718">
        <v>1</v>
      </c>
      <c r="M718">
        <v>1</v>
      </c>
    </row>
    <row r="719" spans="1:13" x14ac:dyDescent="0.25">
      <c r="A719" t="s">
        <v>661</v>
      </c>
      <c r="B719" t="s">
        <v>77</v>
      </c>
      <c r="C719" t="s">
        <v>14</v>
      </c>
      <c r="D719" t="s">
        <v>22</v>
      </c>
      <c r="E719" t="s">
        <v>21</v>
      </c>
      <c r="F719">
        <v>1</v>
      </c>
      <c r="G719" t="s">
        <v>21</v>
      </c>
      <c r="H719" s="1">
        <v>45527</v>
      </c>
      <c r="I719">
        <v>2024</v>
      </c>
      <c r="J719">
        <v>8</v>
      </c>
      <c r="K719" t="s">
        <v>22</v>
      </c>
      <c r="L719">
        <v>1</v>
      </c>
      <c r="M719">
        <v>1</v>
      </c>
    </row>
    <row r="720" spans="1:13" x14ac:dyDescent="0.25">
      <c r="A720" t="s">
        <v>662</v>
      </c>
      <c r="B720" t="s">
        <v>140</v>
      </c>
      <c r="C720" t="s">
        <v>174</v>
      </c>
      <c r="D720" t="s">
        <v>20</v>
      </c>
      <c r="E720" t="s">
        <v>21</v>
      </c>
      <c r="F720" t="s">
        <v>21</v>
      </c>
      <c r="G720">
        <v>63</v>
      </c>
      <c r="H720" s="1">
        <v>45527</v>
      </c>
      <c r="I720">
        <v>2024</v>
      </c>
      <c r="J720">
        <v>8</v>
      </c>
      <c r="K720" t="s">
        <v>30</v>
      </c>
      <c r="L720" t="s">
        <v>21</v>
      </c>
      <c r="M720">
        <v>0</v>
      </c>
    </row>
    <row r="721" spans="1:13" x14ac:dyDescent="0.25">
      <c r="A721" t="s">
        <v>494</v>
      </c>
      <c r="B721" t="s">
        <v>91</v>
      </c>
      <c r="C721" t="s">
        <v>14</v>
      </c>
      <c r="D721" t="s">
        <v>15</v>
      </c>
      <c r="E721">
        <v>82</v>
      </c>
      <c r="F721">
        <v>0.02</v>
      </c>
      <c r="G721">
        <v>320</v>
      </c>
      <c r="H721" s="1">
        <v>45526</v>
      </c>
      <c r="I721">
        <v>2024</v>
      </c>
      <c r="J721">
        <v>8</v>
      </c>
      <c r="K721" t="s">
        <v>36</v>
      </c>
      <c r="L721">
        <v>0</v>
      </c>
      <c r="M721">
        <v>1</v>
      </c>
    </row>
    <row r="722" spans="1:13" x14ac:dyDescent="0.25">
      <c r="A722" t="s">
        <v>663</v>
      </c>
      <c r="B722" t="s">
        <v>24</v>
      </c>
      <c r="C722" t="s">
        <v>14</v>
      </c>
      <c r="D722" t="s">
        <v>33</v>
      </c>
      <c r="E722" t="s">
        <v>21</v>
      </c>
      <c r="F722">
        <v>1</v>
      </c>
      <c r="G722">
        <v>43</v>
      </c>
      <c r="H722" s="1">
        <v>45525</v>
      </c>
      <c r="I722">
        <v>2024</v>
      </c>
      <c r="J722">
        <v>8</v>
      </c>
      <c r="K722" t="s">
        <v>30</v>
      </c>
      <c r="L722">
        <v>1</v>
      </c>
      <c r="M722">
        <v>1</v>
      </c>
    </row>
    <row r="723" spans="1:13" x14ac:dyDescent="0.25">
      <c r="A723" t="s">
        <v>664</v>
      </c>
      <c r="B723" t="s">
        <v>95</v>
      </c>
      <c r="C723" t="s">
        <v>174</v>
      </c>
      <c r="D723" t="s">
        <v>20</v>
      </c>
      <c r="E723">
        <v>800</v>
      </c>
      <c r="F723" t="s">
        <v>21</v>
      </c>
      <c r="G723">
        <v>8</v>
      </c>
      <c r="H723" s="1">
        <v>45524</v>
      </c>
      <c r="I723">
        <v>2024</v>
      </c>
      <c r="J723">
        <v>8</v>
      </c>
      <c r="K723" t="s">
        <v>16</v>
      </c>
      <c r="L723" t="s">
        <v>21</v>
      </c>
      <c r="M723">
        <v>1</v>
      </c>
    </row>
    <row r="724" spans="1:13" x14ac:dyDescent="0.25">
      <c r="A724" t="s">
        <v>453</v>
      </c>
      <c r="B724" t="s">
        <v>89</v>
      </c>
      <c r="C724" t="s">
        <v>14</v>
      </c>
      <c r="D724" t="s">
        <v>15</v>
      </c>
      <c r="E724">
        <v>190</v>
      </c>
      <c r="F724">
        <v>7.0000000000000007E-2</v>
      </c>
      <c r="G724">
        <v>862</v>
      </c>
      <c r="H724" s="1">
        <v>45524</v>
      </c>
      <c r="I724">
        <v>2024</v>
      </c>
      <c r="J724">
        <v>8</v>
      </c>
      <c r="K724" t="s">
        <v>36</v>
      </c>
      <c r="L724">
        <v>0</v>
      </c>
      <c r="M724">
        <v>1</v>
      </c>
    </row>
    <row r="725" spans="1:13" x14ac:dyDescent="0.25">
      <c r="A725" t="s">
        <v>665</v>
      </c>
      <c r="B725" t="s">
        <v>95</v>
      </c>
      <c r="C725" t="s">
        <v>48</v>
      </c>
      <c r="D725" t="s">
        <v>22</v>
      </c>
      <c r="E725" t="s">
        <v>21</v>
      </c>
      <c r="F725">
        <v>1</v>
      </c>
      <c r="G725">
        <v>54</v>
      </c>
      <c r="H725" s="1">
        <v>45524</v>
      </c>
      <c r="I725">
        <v>2024</v>
      </c>
      <c r="J725">
        <v>8</v>
      </c>
      <c r="K725" t="s">
        <v>30</v>
      </c>
      <c r="L725">
        <v>1</v>
      </c>
      <c r="M725">
        <v>1</v>
      </c>
    </row>
    <row r="726" spans="1:13" x14ac:dyDescent="0.25">
      <c r="A726" t="s">
        <v>203</v>
      </c>
      <c r="B726" t="s">
        <v>18</v>
      </c>
      <c r="C726" t="s">
        <v>14</v>
      </c>
      <c r="D726" t="s">
        <v>15</v>
      </c>
      <c r="E726">
        <v>139</v>
      </c>
      <c r="F726">
        <v>0.15</v>
      </c>
      <c r="G726">
        <v>288</v>
      </c>
      <c r="H726" s="1">
        <v>45523</v>
      </c>
      <c r="I726">
        <v>2024</v>
      </c>
      <c r="J726">
        <v>8</v>
      </c>
      <c r="K726" t="s">
        <v>36</v>
      </c>
      <c r="L726">
        <v>0</v>
      </c>
      <c r="M726">
        <v>1</v>
      </c>
    </row>
    <row r="727" spans="1:13" x14ac:dyDescent="0.25">
      <c r="A727" t="s">
        <v>666</v>
      </c>
      <c r="B727" t="s">
        <v>91</v>
      </c>
      <c r="C727" t="s">
        <v>14</v>
      </c>
      <c r="D727" t="s">
        <v>68</v>
      </c>
      <c r="E727" t="s">
        <v>21</v>
      </c>
      <c r="F727" t="s">
        <v>21</v>
      </c>
      <c r="G727">
        <v>40</v>
      </c>
      <c r="H727" s="1">
        <v>45523</v>
      </c>
      <c r="I727">
        <v>2024</v>
      </c>
      <c r="J727">
        <v>8</v>
      </c>
      <c r="K727" t="s">
        <v>30</v>
      </c>
      <c r="L727" t="s">
        <v>21</v>
      </c>
      <c r="M727">
        <v>0</v>
      </c>
    </row>
    <row r="728" spans="1:13" x14ac:dyDescent="0.25">
      <c r="A728" t="s">
        <v>667</v>
      </c>
      <c r="B728" t="s">
        <v>106</v>
      </c>
      <c r="C728" t="s">
        <v>174</v>
      </c>
      <c r="D728" t="s">
        <v>55</v>
      </c>
      <c r="E728">
        <v>81</v>
      </c>
      <c r="F728">
        <v>0.45</v>
      </c>
      <c r="G728">
        <v>389</v>
      </c>
      <c r="H728" s="1">
        <v>45520</v>
      </c>
      <c r="I728">
        <v>2024</v>
      </c>
      <c r="J728">
        <v>8</v>
      </c>
      <c r="K728" t="s">
        <v>36</v>
      </c>
      <c r="L728">
        <v>0</v>
      </c>
      <c r="M728">
        <v>1</v>
      </c>
    </row>
    <row r="729" spans="1:13" x14ac:dyDescent="0.25">
      <c r="A729" t="s">
        <v>668</v>
      </c>
      <c r="B729" t="s">
        <v>54</v>
      </c>
      <c r="C729" t="s">
        <v>14</v>
      </c>
      <c r="D729" t="s">
        <v>22</v>
      </c>
      <c r="E729">
        <v>15</v>
      </c>
      <c r="F729" t="s">
        <v>21</v>
      </c>
      <c r="G729" t="s">
        <v>21</v>
      </c>
      <c r="H729" s="1">
        <v>45520</v>
      </c>
      <c r="I729">
        <v>2024</v>
      </c>
      <c r="J729">
        <v>8</v>
      </c>
      <c r="K729" t="s">
        <v>22</v>
      </c>
      <c r="L729" t="s">
        <v>21</v>
      </c>
      <c r="M729">
        <v>1</v>
      </c>
    </row>
    <row r="730" spans="1:13" x14ac:dyDescent="0.25">
      <c r="A730" t="s">
        <v>669</v>
      </c>
      <c r="B730" t="s">
        <v>24</v>
      </c>
      <c r="C730" t="s">
        <v>14</v>
      </c>
      <c r="D730" t="s">
        <v>33</v>
      </c>
      <c r="E730" t="s">
        <v>21</v>
      </c>
      <c r="F730" t="s">
        <v>21</v>
      </c>
      <c r="G730">
        <v>125</v>
      </c>
      <c r="H730" s="1">
        <v>45520</v>
      </c>
      <c r="I730">
        <v>2024</v>
      </c>
      <c r="J730">
        <v>8</v>
      </c>
      <c r="K730" t="s">
        <v>36</v>
      </c>
      <c r="L730" t="s">
        <v>21</v>
      </c>
      <c r="M730">
        <v>0</v>
      </c>
    </row>
    <row r="731" spans="1:13" x14ac:dyDescent="0.25">
      <c r="A731" t="s">
        <v>670</v>
      </c>
      <c r="B731" t="s">
        <v>95</v>
      </c>
      <c r="C731" t="s">
        <v>14</v>
      </c>
      <c r="D731" t="s">
        <v>33</v>
      </c>
      <c r="E731" t="s">
        <v>21</v>
      </c>
      <c r="F731">
        <v>0.19</v>
      </c>
      <c r="G731">
        <v>64</v>
      </c>
      <c r="H731" s="1">
        <v>45520</v>
      </c>
      <c r="I731">
        <v>2024</v>
      </c>
      <c r="J731">
        <v>8</v>
      </c>
      <c r="K731" t="s">
        <v>30</v>
      </c>
      <c r="L731">
        <v>0</v>
      </c>
      <c r="M731">
        <v>1</v>
      </c>
    </row>
    <row r="732" spans="1:13" x14ac:dyDescent="0.25">
      <c r="A732" t="s">
        <v>447</v>
      </c>
      <c r="B732" t="s">
        <v>54</v>
      </c>
      <c r="C732" t="s">
        <v>14</v>
      </c>
      <c r="D732" t="s">
        <v>15</v>
      </c>
      <c r="E732">
        <v>61</v>
      </c>
      <c r="F732" t="s">
        <v>21</v>
      </c>
      <c r="G732">
        <v>1600</v>
      </c>
      <c r="H732" s="1">
        <v>45519</v>
      </c>
      <c r="I732">
        <v>2024</v>
      </c>
      <c r="J732">
        <v>8</v>
      </c>
      <c r="K732" t="s">
        <v>26</v>
      </c>
      <c r="L732" t="s">
        <v>21</v>
      </c>
      <c r="M732">
        <v>1</v>
      </c>
    </row>
    <row r="733" spans="1:13" x14ac:dyDescent="0.25">
      <c r="A733" t="s">
        <v>671</v>
      </c>
      <c r="B733" t="s">
        <v>102</v>
      </c>
      <c r="C733" t="s">
        <v>29</v>
      </c>
      <c r="D733" t="s">
        <v>22</v>
      </c>
      <c r="E733">
        <v>16</v>
      </c>
      <c r="F733">
        <v>0.2</v>
      </c>
      <c r="G733">
        <v>23</v>
      </c>
      <c r="H733" s="1">
        <v>45519</v>
      </c>
      <c r="I733">
        <v>2024</v>
      </c>
      <c r="J733">
        <v>8</v>
      </c>
      <c r="K733" t="s">
        <v>30</v>
      </c>
      <c r="L733">
        <v>0</v>
      </c>
      <c r="M733">
        <v>1</v>
      </c>
    </row>
    <row r="734" spans="1:13" x14ac:dyDescent="0.25">
      <c r="A734" t="s">
        <v>672</v>
      </c>
      <c r="B734" t="s">
        <v>70</v>
      </c>
      <c r="C734" t="s">
        <v>14</v>
      </c>
      <c r="D734" t="s">
        <v>111</v>
      </c>
      <c r="E734" t="s">
        <v>21</v>
      </c>
      <c r="F734" t="s">
        <v>21</v>
      </c>
      <c r="G734">
        <v>254</v>
      </c>
      <c r="H734" s="1">
        <v>45519</v>
      </c>
      <c r="I734">
        <v>2024</v>
      </c>
      <c r="J734">
        <v>8</v>
      </c>
      <c r="K734" t="s">
        <v>36</v>
      </c>
      <c r="L734" t="s">
        <v>21</v>
      </c>
      <c r="M734">
        <v>0</v>
      </c>
    </row>
    <row r="735" spans="1:13" x14ac:dyDescent="0.25">
      <c r="A735" t="s">
        <v>673</v>
      </c>
      <c r="B735" t="s">
        <v>24</v>
      </c>
      <c r="C735" t="s">
        <v>83</v>
      </c>
      <c r="D735" t="s">
        <v>15</v>
      </c>
      <c r="E735" t="s">
        <v>21</v>
      </c>
      <c r="F735">
        <v>0.1</v>
      </c>
      <c r="G735">
        <v>158</v>
      </c>
      <c r="H735" s="1">
        <v>45519</v>
      </c>
      <c r="I735">
        <v>2024</v>
      </c>
      <c r="J735">
        <v>8</v>
      </c>
      <c r="K735" t="s">
        <v>36</v>
      </c>
      <c r="L735">
        <v>0</v>
      </c>
      <c r="M735">
        <v>1</v>
      </c>
    </row>
    <row r="736" spans="1:13" x14ac:dyDescent="0.25">
      <c r="A736" t="s">
        <v>674</v>
      </c>
      <c r="B736" t="s">
        <v>140</v>
      </c>
      <c r="C736" t="s">
        <v>14</v>
      </c>
      <c r="D736" t="s">
        <v>22</v>
      </c>
      <c r="E736" t="s">
        <v>21</v>
      </c>
      <c r="F736" t="s">
        <v>21</v>
      </c>
      <c r="G736">
        <v>110</v>
      </c>
      <c r="H736" s="1">
        <v>45519</v>
      </c>
      <c r="I736">
        <v>2024</v>
      </c>
      <c r="J736">
        <v>8</v>
      </c>
      <c r="K736" t="s">
        <v>36</v>
      </c>
      <c r="L736" t="s">
        <v>21</v>
      </c>
      <c r="M736">
        <v>0</v>
      </c>
    </row>
    <row r="737" spans="1:13" x14ac:dyDescent="0.25">
      <c r="A737" t="s">
        <v>675</v>
      </c>
      <c r="B737" t="s">
        <v>24</v>
      </c>
      <c r="C737" t="s">
        <v>174</v>
      </c>
      <c r="D737" t="s">
        <v>33</v>
      </c>
      <c r="E737" t="s">
        <v>21</v>
      </c>
      <c r="F737">
        <v>1</v>
      </c>
      <c r="G737">
        <v>10</v>
      </c>
      <c r="H737" s="1">
        <v>45519</v>
      </c>
      <c r="I737">
        <v>2024</v>
      </c>
      <c r="J737">
        <v>8</v>
      </c>
      <c r="K737" t="s">
        <v>30</v>
      </c>
      <c r="L737">
        <v>1</v>
      </c>
      <c r="M737">
        <v>1</v>
      </c>
    </row>
    <row r="738" spans="1:13" x14ac:dyDescent="0.25">
      <c r="A738" t="s">
        <v>56</v>
      </c>
      <c r="B738" t="s">
        <v>18</v>
      </c>
      <c r="C738" t="s">
        <v>14</v>
      </c>
      <c r="D738" t="s">
        <v>15</v>
      </c>
      <c r="E738">
        <v>100</v>
      </c>
      <c r="F738">
        <v>0.06</v>
      </c>
      <c r="G738">
        <v>455.2</v>
      </c>
      <c r="H738" s="1">
        <v>45518</v>
      </c>
      <c r="I738">
        <v>2024</v>
      </c>
      <c r="J738">
        <v>8</v>
      </c>
      <c r="K738" t="s">
        <v>36</v>
      </c>
      <c r="L738">
        <v>0</v>
      </c>
      <c r="M738">
        <v>1</v>
      </c>
    </row>
    <row r="739" spans="1:13" x14ac:dyDescent="0.25">
      <c r="A739" t="s">
        <v>676</v>
      </c>
      <c r="B739" t="s">
        <v>35</v>
      </c>
      <c r="C739" t="s">
        <v>14</v>
      </c>
      <c r="D739" t="s">
        <v>15</v>
      </c>
      <c r="E739">
        <v>350</v>
      </c>
      <c r="F739" t="s">
        <v>21</v>
      </c>
      <c r="G739" t="s">
        <v>21</v>
      </c>
      <c r="H739" s="1">
        <v>45517</v>
      </c>
      <c r="I739">
        <v>2024</v>
      </c>
      <c r="J739">
        <v>8</v>
      </c>
      <c r="K739" t="s">
        <v>22</v>
      </c>
      <c r="L739" t="s">
        <v>21</v>
      </c>
      <c r="M739">
        <v>1</v>
      </c>
    </row>
    <row r="740" spans="1:13" x14ac:dyDescent="0.25">
      <c r="A740" t="s">
        <v>677</v>
      </c>
      <c r="B740" t="s">
        <v>35</v>
      </c>
      <c r="C740" t="s">
        <v>14</v>
      </c>
      <c r="D740" t="s">
        <v>33</v>
      </c>
      <c r="E740" t="s">
        <v>21</v>
      </c>
      <c r="F740">
        <v>1</v>
      </c>
      <c r="G740">
        <v>90</v>
      </c>
      <c r="H740" s="1">
        <v>45517</v>
      </c>
      <c r="I740">
        <v>2024</v>
      </c>
      <c r="J740">
        <v>8</v>
      </c>
      <c r="K740" t="s">
        <v>30</v>
      </c>
      <c r="L740">
        <v>1</v>
      </c>
      <c r="M740">
        <v>1</v>
      </c>
    </row>
    <row r="741" spans="1:13" x14ac:dyDescent="0.25">
      <c r="A741" t="s">
        <v>678</v>
      </c>
      <c r="B741" t="s">
        <v>106</v>
      </c>
      <c r="C741" t="s">
        <v>143</v>
      </c>
      <c r="D741" t="s">
        <v>20</v>
      </c>
      <c r="E741" t="s">
        <v>21</v>
      </c>
      <c r="F741">
        <v>1</v>
      </c>
      <c r="G741" t="s">
        <v>21</v>
      </c>
      <c r="H741" s="1">
        <v>45517</v>
      </c>
      <c r="I741">
        <v>2024</v>
      </c>
      <c r="J741">
        <v>8</v>
      </c>
      <c r="K741" t="s">
        <v>22</v>
      </c>
      <c r="L741">
        <v>1</v>
      </c>
      <c r="M741">
        <v>1</v>
      </c>
    </row>
    <row r="742" spans="1:13" x14ac:dyDescent="0.25">
      <c r="A742" t="s">
        <v>679</v>
      </c>
      <c r="B742" t="s">
        <v>77</v>
      </c>
      <c r="C742" t="s">
        <v>14</v>
      </c>
      <c r="D742" t="s">
        <v>46</v>
      </c>
      <c r="E742" t="s">
        <v>21</v>
      </c>
      <c r="F742">
        <v>1</v>
      </c>
      <c r="G742">
        <v>172</v>
      </c>
      <c r="H742" s="1">
        <v>45516</v>
      </c>
      <c r="I742">
        <v>2024</v>
      </c>
      <c r="J742">
        <v>8</v>
      </c>
      <c r="K742" t="s">
        <v>36</v>
      </c>
      <c r="L742">
        <v>1</v>
      </c>
      <c r="M742">
        <v>1</v>
      </c>
    </row>
    <row r="743" spans="1:13" x14ac:dyDescent="0.25">
      <c r="A743" t="s">
        <v>139</v>
      </c>
      <c r="B743" t="s">
        <v>140</v>
      </c>
      <c r="C743" t="s">
        <v>14</v>
      </c>
      <c r="D743" t="s">
        <v>15</v>
      </c>
      <c r="E743">
        <v>5600</v>
      </c>
      <c r="F743">
        <v>7.0000000000000007E-2</v>
      </c>
      <c r="G743">
        <v>2</v>
      </c>
      <c r="H743" s="1">
        <v>45513</v>
      </c>
      <c r="I743">
        <v>2024</v>
      </c>
      <c r="J743">
        <v>8</v>
      </c>
      <c r="K743" t="s">
        <v>16</v>
      </c>
      <c r="L743">
        <v>0</v>
      </c>
      <c r="M743">
        <v>1</v>
      </c>
    </row>
    <row r="744" spans="1:13" x14ac:dyDescent="0.25">
      <c r="A744" t="s">
        <v>680</v>
      </c>
      <c r="B744" t="s">
        <v>54</v>
      </c>
      <c r="C744" t="s">
        <v>14</v>
      </c>
      <c r="D744" t="s">
        <v>43</v>
      </c>
      <c r="E744">
        <v>100</v>
      </c>
      <c r="F744" t="s">
        <v>21</v>
      </c>
      <c r="G744">
        <v>667</v>
      </c>
      <c r="H744" s="1">
        <v>45513</v>
      </c>
      <c r="I744">
        <v>2024</v>
      </c>
      <c r="J744">
        <v>8</v>
      </c>
      <c r="K744" t="s">
        <v>36</v>
      </c>
      <c r="L744" t="s">
        <v>21</v>
      </c>
      <c r="M744">
        <v>1</v>
      </c>
    </row>
    <row r="745" spans="1:13" x14ac:dyDescent="0.25">
      <c r="A745" t="s">
        <v>681</v>
      </c>
      <c r="B745" t="s">
        <v>45</v>
      </c>
      <c r="C745" t="s">
        <v>14</v>
      </c>
      <c r="D745" t="s">
        <v>20</v>
      </c>
      <c r="E745">
        <v>69</v>
      </c>
      <c r="F745" t="s">
        <v>21</v>
      </c>
      <c r="G745">
        <v>93</v>
      </c>
      <c r="H745" s="1">
        <v>45513</v>
      </c>
      <c r="I745">
        <v>2024</v>
      </c>
      <c r="J745">
        <v>8</v>
      </c>
      <c r="K745" t="s">
        <v>30</v>
      </c>
      <c r="L745" t="s">
        <v>21</v>
      </c>
      <c r="M745">
        <v>1</v>
      </c>
    </row>
    <row r="746" spans="1:13" x14ac:dyDescent="0.25">
      <c r="A746" t="s">
        <v>682</v>
      </c>
      <c r="B746" t="s">
        <v>102</v>
      </c>
      <c r="C746" t="s">
        <v>14</v>
      </c>
      <c r="D746" t="s">
        <v>22</v>
      </c>
      <c r="E746" t="s">
        <v>21</v>
      </c>
      <c r="F746" t="s">
        <v>21</v>
      </c>
      <c r="G746">
        <v>41</v>
      </c>
      <c r="H746" s="1">
        <v>45513</v>
      </c>
      <c r="I746">
        <v>2024</v>
      </c>
      <c r="J746">
        <v>8</v>
      </c>
      <c r="K746" t="s">
        <v>30</v>
      </c>
      <c r="L746" t="s">
        <v>21</v>
      </c>
      <c r="M746">
        <v>0</v>
      </c>
    </row>
    <row r="747" spans="1:13" x14ac:dyDescent="0.25">
      <c r="A747" t="s">
        <v>683</v>
      </c>
      <c r="B747" t="s">
        <v>13</v>
      </c>
      <c r="C747" t="s">
        <v>14</v>
      </c>
      <c r="D747" t="s">
        <v>22</v>
      </c>
      <c r="E747">
        <v>40</v>
      </c>
      <c r="F747" t="s">
        <v>21</v>
      </c>
      <c r="G747">
        <v>115</v>
      </c>
      <c r="H747" s="1">
        <v>45512</v>
      </c>
      <c r="I747">
        <v>2024</v>
      </c>
      <c r="J747">
        <v>8</v>
      </c>
      <c r="K747" t="s">
        <v>36</v>
      </c>
      <c r="L747" t="s">
        <v>21</v>
      </c>
      <c r="M747">
        <v>1</v>
      </c>
    </row>
    <row r="748" spans="1:13" x14ac:dyDescent="0.25">
      <c r="A748" t="s">
        <v>684</v>
      </c>
      <c r="B748" t="s">
        <v>140</v>
      </c>
      <c r="C748" t="s">
        <v>14</v>
      </c>
      <c r="D748" t="s">
        <v>15</v>
      </c>
      <c r="E748" t="s">
        <v>21</v>
      </c>
      <c r="F748">
        <v>0.11</v>
      </c>
      <c r="G748">
        <v>219</v>
      </c>
      <c r="H748" s="1">
        <v>45512</v>
      </c>
      <c r="I748">
        <v>2024</v>
      </c>
      <c r="J748">
        <v>8</v>
      </c>
      <c r="K748" t="s">
        <v>36</v>
      </c>
      <c r="L748">
        <v>0</v>
      </c>
      <c r="M748">
        <v>1</v>
      </c>
    </row>
    <row r="749" spans="1:13" x14ac:dyDescent="0.25">
      <c r="A749" t="s">
        <v>195</v>
      </c>
      <c r="B749" t="s">
        <v>18</v>
      </c>
      <c r="C749" t="s">
        <v>14</v>
      </c>
      <c r="D749" t="s">
        <v>15</v>
      </c>
      <c r="E749">
        <v>100</v>
      </c>
      <c r="F749">
        <v>0.11</v>
      </c>
      <c r="G749">
        <v>557</v>
      </c>
      <c r="H749" s="1">
        <v>45511</v>
      </c>
      <c r="I749">
        <v>2024</v>
      </c>
      <c r="J749">
        <v>8</v>
      </c>
      <c r="K749" t="s">
        <v>36</v>
      </c>
      <c r="L749">
        <v>0</v>
      </c>
      <c r="M749">
        <v>1</v>
      </c>
    </row>
    <row r="750" spans="1:13" x14ac:dyDescent="0.25">
      <c r="A750" t="s">
        <v>685</v>
      </c>
      <c r="B750" t="s">
        <v>342</v>
      </c>
      <c r="C750" t="s">
        <v>14</v>
      </c>
      <c r="D750" t="s">
        <v>15</v>
      </c>
      <c r="E750" t="s">
        <v>21</v>
      </c>
      <c r="F750">
        <v>0.15</v>
      </c>
      <c r="G750">
        <v>952</v>
      </c>
      <c r="H750" s="1">
        <v>45511</v>
      </c>
      <c r="I750">
        <v>2024</v>
      </c>
      <c r="J750">
        <v>8</v>
      </c>
      <c r="K750" t="s">
        <v>36</v>
      </c>
      <c r="L750">
        <v>0</v>
      </c>
      <c r="M750">
        <v>1</v>
      </c>
    </row>
    <row r="751" spans="1:13" x14ac:dyDescent="0.25">
      <c r="A751" t="s">
        <v>686</v>
      </c>
      <c r="B751" t="s">
        <v>32</v>
      </c>
      <c r="C751" t="s">
        <v>14</v>
      </c>
      <c r="D751" t="s">
        <v>20</v>
      </c>
      <c r="E751">
        <v>50</v>
      </c>
      <c r="F751">
        <v>0.1</v>
      </c>
      <c r="G751">
        <v>57</v>
      </c>
      <c r="H751" s="1">
        <v>45510</v>
      </c>
      <c r="I751">
        <v>2024</v>
      </c>
      <c r="J751">
        <v>8</v>
      </c>
      <c r="K751" t="s">
        <v>30</v>
      </c>
      <c r="L751">
        <v>0</v>
      </c>
      <c r="M751">
        <v>1</v>
      </c>
    </row>
    <row r="752" spans="1:13" x14ac:dyDescent="0.25">
      <c r="A752" t="s">
        <v>687</v>
      </c>
      <c r="B752" t="s">
        <v>66</v>
      </c>
      <c r="C752" t="s">
        <v>184</v>
      </c>
      <c r="D752" t="s">
        <v>22</v>
      </c>
      <c r="E752" t="s">
        <v>21</v>
      </c>
      <c r="F752">
        <v>1</v>
      </c>
      <c r="G752">
        <v>6</v>
      </c>
      <c r="H752" s="1">
        <v>45510</v>
      </c>
      <c r="I752">
        <v>2024</v>
      </c>
      <c r="J752">
        <v>8</v>
      </c>
      <c r="K752" t="s">
        <v>16</v>
      </c>
      <c r="L752">
        <v>1</v>
      </c>
      <c r="M752">
        <v>1</v>
      </c>
    </row>
    <row r="753" spans="1:13" x14ac:dyDescent="0.25">
      <c r="A753" t="s">
        <v>688</v>
      </c>
      <c r="B753" t="s">
        <v>38</v>
      </c>
      <c r="C753" t="s">
        <v>14</v>
      </c>
      <c r="D753" t="s">
        <v>15</v>
      </c>
      <c r="E753" t="s">
        <v>21</v>
      </c>
      <c r="F753">
        <v>0.13</v>
      </c>
      <c r="G753" t="s">
        <v>21</v>
      </c>
      <c r="H753" s="1">
        <v>45510</v>
      </c>
      <c r="I753">
        <v>2024</v>
      </c>
      <c r="J753">
        <v>8</v>
      </c>
      <c r="K753" t="s">
        <v>22</v>
      </c>
      <c r="L753">
        <v>0</v>
      </c>
      <c r="M753">
        <v>1</v>
      </c>
    </row>
    <row r="754" spans="1:13" x14ac:dyDescent="0.25">
      <c r="A754" t="s">
        <v>689</v>
      </c>
      <c r="B754" t="s">
        <v>102</v>
      </c>
      <c r="C754" t="s">
        <v>83</v>
      </c>
      <c r="D754" t="s">
        <v>15</v>
      </c>
      <c r="E754">
        <v>1400</v>
      </c>
      <c r="F754" t="s">
        <v>21</v>
      </c>
      <c r="G754">
        <v>1500</v>
      </c>
      <c r="H754" s="1">
        <v>45509</v>
      </c>
      <c r="I754">
        <v>2024</v>
      </c>
      <c r="J754">
        <v>8</v>
      </c>
      <c r="K754" t="s">
        <v>26</v>
      </c>
      <c r="L754" t="s">
        <v>21</v>
      </c>
      <c r="M754">
        <v>1</v>
      </c>
    </row>
    <row r="755" spans="1:13" x14ac:dyDescent="0.25">
      <c r="A755" t="s">
        <v>690</v>
      </c>
      <c r="B755" t="s">
        <v>18</v>
      </c>
      <c r="C755" t="s">
        <v>14</v>
      </c>
      <c r="D755" t="s">
        <v>22</v>
      </c>
      <c r="E755">
        <v>85</v>
      </c>
      <c r="F755">
        <v>0.1</v>
      </c>
      <c r="G755">
        <v>652</v>
      </c>
      <c r="H755" s="1">
        <v>45509</v>
      </c>
      <c r="I755">
        <v>2024</v>
      </c>
      <c r="J755">
        <v>8</v>
      </c>
      <c r="K755" t="s">
        <v>36</v>
      </c>
      <c r="L755">
        <v>0</v>
      </c>
      <c r="M755">
        <v>1</v>
      </c>
    </row>
    <row r="756" spans="1:13" x14ac:dyDescent="0.25">
      <c r="A756" t="s">
        <v>228</v>
      </c>
      <c r="B756" t="s">
        <v>70</v>
      </c>
      <c r="C756" t="s">
        <v>14</v>
      </c>
      <c r="D756" t="s">
        <v>15</v>
      </c>
      <c r="E756" t="s">
        <v>21</v>
      </c>
      <c r="F756" t="s">
        <v>21</v>
      </c>
      <c r="G756" t="s">
        <v>21</v>
      </c>
      <c r="H756" s="1">
        <v>45509</v>
      </c>
      <c r="I756">
        <v>2024</v>
      </c>
      <c r="J756">
        <v>8</v>
      </c>
      <c r="K756" t="s">
        <v>22</v>
      </c>
      <c r="L756" t="s">
        <v>21</v>
      </c>
      <c r="M756">
        <v>0</v>
      </c>
    </row>
    <row r="757" spans="1:13" x14ac:dyDescent="0.25">
      <c r="A757" t="s">
        <v>525</v>
      </c>
      <c r="B757" t="s">
        <v>54</v>
      </c>
      <c r="C757" t="s">
        <v>48</v>
      </c>
      <c r="D757" t="s">
        <v>55</v>
      </c>
      <c r="E757">
        <v>30</v>
      </c>
      <c r="F757">
        <v>0.05</v>
      </c>
      <c r="G757">
        <v>222</v>
      </c>
      <c r="H757" s="1">
        <v>45507</v>
      </c>
      <c r="I757">
        <v>2024</v>
      </c>
      <c r="J757">
        <v>8</v>
      </c>
      <c r="K757" t="s">
        <v>36</v>
      </c>
      <c r="L757">
        <v>0</v>
      </c>
      <c r="M757">
        <v>1</v>
      </c>
    </row>
    <row r="758" spans="1:13" x14ac:dyDescent="0.25">
      <c r="A758" t="s">
        <v>402</v>
      </c>
      <c r="B758" t="s">
        <v>70</v>
      </c>
      <c r="C758" t="s">
        <v>14</v>
      </c>
      <c r="D758" t="s">
        <v>15</v>
      </c>
      <c r="E758">
        <v>15000</v>
      </c>
      <c r="F758">
        <v>0.15</v>
      </c>
      <c r="G758">
        <v>12</v>
      </c>
      <c r="H758" s="1">
        <v>45505</v>
      </c>
      <c r="I758">
        <v>2024</v>
      </c>
      <c r="J758">
        <v>8</v>
      </c>
      <c r="K758" t="s">
        <v>30</v>
      </c>
      <c r="L758">
        <v>0</v>
      </c>
      <c r="M758">
        <v>1</v>
      </c>
    </row>
    <row r="759" spans="1:13" x14ac:dyDescent="0.25">
      <c r="A759" t="s">
        <v>587</v>
      </c>
      <c r="B759" t="s">
        <v>13</v>
      </c>
      <c r="C759" t="s">
        <v>14</v>
      </c>
      <c r="D759" t="s">
        <v>15</v>
      </c>
      <c r="E759">
        <v>180</v>
      </c>
      <c r="F759">
        <v>0.03</v>
      </c>
      <c r="G759">
        <v>700</v>
      </c>
      <c r="H759" s="1">
        <v>45505</v>
      </c>
      <c r="I759">
        <v>2024</v>
      </c>
      <c r="J759">
        <v>8</v>
      </c>
      <c r="K759" t="s">
        <v>36</v>
      </c>
      <c r="L759">
        <v>0</v>
      </c>
      <c r="M759">
        <v>1</v>
      </c>
    </row>
    <row r="760" spans="1:13" x14ac:dyDescent="0.25">
      <c r="A760" t="s">
        <v>691</v>
      </c>
      <c r="B760" t="s">
        <v>66</v>
      </c>
      <c r="C760" t="s">
        <v>14</v>
      </c>
      <c r="D760" t="s">
        <v>55</v>
      </c>
      <c r="E760" t="s">
        <v>21</v>
      </c>
      <c r="F760" t="s">
        <v>21</v>
      </c>
      <c r="G760">
        <v>329</v>
      </c>
      <c r="H760" s="1">
        <v>45505</v>
      </c>
      <c r="I760">
        <v>2024</v>
      </c>
      <c r="J760">
        <v>8</v>
      </c>
      <c r="K760" t="s">
        <v>36</v>
      </c>
      <c r="L760" t="s">
        <v>21</v>
      </c>
      <c r="M760">
        <v>0</v>
      </c>
    </row>
    <row r="761" spans="1:13" x14ac:dyDescent="0.25">
      <c r="A761" t="s">
        <v>50</v>
      </c>
      <c r="B761" t="s">
        <v>18</v>
      </c>
      <c r="C761" t="s">
        <v>14</v>
      </c>
      <c r="D761" t="s">
        <v>20</v>
      </c>
      <c r="E761">
        <v>220</v>
      </c>
      <c r="F761">
        <v>0.17</v>
      </c>
      <c r="G761">
        <v>100</v>
      </c>
      <c r="H761" s="1">
        <v>45504</v>
      </c>
      <c r="I761">
        <v>2024</v>
      </c>
      <c r="J761">
        <v>7</v>
      </c>
      <c r="K761" t="s">
        <v>36</v>
      </c>
      <c r="L761">
        <v>0</v>
      </c>
      <c r="M761">
        <v>1</v>
      </c>
    </row>
    <row r="762" spans="1:13" x14ac:dyDescent="0.25">
      <c r="A762" t="s">
        <v>692</v>
      </c>
      <c r="B762" t="s">
        <v>95</v>
      </c>
      <c r="C762" t="s">
        <v>83</v>
      </c>
      <c r="D762" t="s">
        <v>15</v>
      </c>
      <c r="E762">
        <v>200</v>
      </c>
      <c r="F762" t="s">
        <v>21</v>
      </c>
      <c r="G762">
        <v>9900</v>
      </c>
      <c r="H762" s="1">
        <v>45504</v>
      </c>
      <c r="I762">
        <v>2024</v>
      </c>
      <c r="J762">
        <v>7</v>
      </c>
      <c r="K762" t="s">
        <v>26</v>
      </c>
      <c r="L762" t="s">
        <v>21</v>
      </c>
      <c r="M762">
        <v>1</v>
      </c>
    </row>
    <row r="763" spans="1:13" x14ac:dyDescent="0.25">
      <c r="A763" t="s">
        <v>432</v>
      </c>
      <c r="B763" t="s">
        <v>18</v>
      </c>
      <c r="C763" t="s">
        <v>14</v>
      </c>
      <c r="D763" t="s">
        <v>15</v>
      </c>
      <c r="E763" t="s">
        <v>21</v>
      </c>
      <c r="F763">
        <v>0.06</v>
      </c>
      <c r="G763" t="s">
        <v>21</v>
      </c>
      <c r="H763" s="1">
        <v>45504</v>
      </c>
      <c r="I763">
        <v>2024</v>
      </c>
      <c r="J763">
        <v>7</v>
      </c>
      <c r="K763" t="s">
        <v>22</v>
      </c>
      <c r="L763">
        <v>0</v>
      </c>
      <c r="M763">
        <v>1</v>
      </c>
    </row>
    <row r="764" spans="1:13" x14ac:dyDescent="0.25">
      <c r="A764" t="s">
        <v>693</v>
      </c>
      <c r="B764" t="s">
        <v>77</v>
      </c>
      <c r="C764" t="s">
        <v>14</v>
      </c>
      <c r="D764" t="s">
        <v>15</v>
      </c>
      <c r="E764" t="s">
        <v>21</v>
      </c>
      <c r="F764">
        <v>0.15</v>
      </c>
      <c r="G764">
        <v>105</v>
      </c>
      <c r="H764" s="1">
        <v>45503</v>
      </c>
      <c r="I764">
        <v>2024</v>
      </c>
      <c r="J764">
        <v>7</v>
      </c>
      <c r="K764" t="s">
        <v>36</v>
      </c>
      <c r="L764">
        <v>0</v>
      </c>
      <c r="M764">
        <v>1</v>
      </c>
    </row>
    <row r="765" spans="1:13" x14ac:dyDescent="0.25">
      <c r="A765" t="s">
        <v>694</v>
      </c>
      <c r="B765" t="s">
        <v>217</v>
      </c>
      <c r="C765" t="s">
        <v>14</v>
      </c>
      <c r="D765" t="s">
        <v>22</v>
      </c>
      <c r="E765">
        <v>248</v>
      </c>
      <c r="F765">
        <v>1</v>
      </c>
      <c r="G765">
        <v>124</v>
      </c>
      <c r="H765" s="1">
        <v>45502</v>
      </c>
      <c r="I765">
        <v>2024</v>
      </c>
      <c r="J765">
        <v>7</v>
      </c>
      <c r="K765" t="s">
        <v>36</v>
      </c>
      <c r="L765">
        <v>1</v>
      </c>
      <c r="M765">
        <v>1</v>
      </c>
    </row>
    <row r="766" spans="1:13" x14ac:dyDescent="0.25">
      <c r="A766" t="s">
        <v>695</v>
      </c>
      <c r="B766" t="s">
        <v>35</v>
      </c>
      <c r="C766" t="s">
        <v>29</v>
      </c>
      <c r="D766" t="s">
        <v>22</v>
      </c>
      <c r="E766" t="s">
        <v>21</v>
      </c>
      <c r="F766" t="s">
        <v>21</v>
      </c>
      <c r="G766">
        <v>86</v>
      </c>
      <c r="H766" s="1">
        <v>45501</v>
      </c>
      <c r="I766">
        <v>2024</v>
      </c>
      <c r="J766">
        <v>7</v>
      </c>
      <c r="K766" t="s">
        <v>30</v>
      </c>
      <c r="L766" t="s">
        <v>21</v>
      </c>
      <c r="M766">
        <v>0</v>
      </c>
    </row>
    <row r="767" spans="1:13" x14ac:dyDescent="0.25">
      <c r="A767" t="s">
        <v>163</v>
      </c>
      <c r="B767" t="s">
        <v>32</v>
      </c>
      <c r="C767" t="s">
        <v>48</v>
      </c>
      <c r="D767" t="s">
        <v>55</v>
      </c>
      <c r="E767">
        <v>200</v>
      </c>
      <c r="F767" t="s">
        <v>21</v>
      </c>
      <c r="G767">
        <v>212</v>
      </c>
      <c r="H767" s="1">
        <v>45500</v>
      </c>
      <c r="I767">
        <v>2024</v>
      </c>
      <c r="J767">
        <v>7</v>
      </c>
      <c r="K767" t="s">
        <v>36</v>
      </c>
      <c r="L767" t="s">
        <v>21</v>
      </c>
      <c r="M767">
        <v>1</v>
      </c>
    </row>
    <row r="768" spans="1:13" x14ac:dyDescent="0.25">
      <c r="A768" t="s">
        <v>696</v>
      </c>
      <c r="B768" t="s">
        <v>95</v>
      </c>
      <c r="C768" t="s">
        <v>48</v>
      </c>
      <c r="D768" t="s">
        <v>22</v>
      </c>
      <c r="E768">
        <v>200</v>
      </c>
      <c r="F768" t="s">
        <v>21</v>
      </c>
      <c r="G768">
        <v>363</v>
      </c>
      <c r="H768" s="1">
        <v>45499</v>
      </c>
      <c r="I768">
        <v>2024</v>
      </c>
      <c r="J768">
        <v>7</v>
      </c>
      <c r="K768" t="s">
        <v>36</v>
      </c>
      <c r="L768" t="s">
        <v>21</v>
      </c>
      <c r="M768">
        <v>1</v>
      </c>
    </row>
    <row r="769" spans="1:13" x14ac:dyDescent="0.25">
      <c r="A769" t="s">
        <v>125</v>
      </c>
      <c r="B769" t="s">
        <v>54</v>
      </c>
      <c r="C769" t="s">
        <v>14</v>
      </c>
      <c r="D769" t="s">
        <v>46</v>
      </c>
      <c r="E769" t="s">
        <v>21</v>
      </c>
      <c r="F769">
        <v>0.08</v>
      </c>
      <c r="G769">
        <v>335</v>
      </c>
      <c r="H769" s="1">
        <v>45498</v>
      </c>
      <c r="I769">
        <v>2024</v>
      </c>
      <c r="J769">
        <v>7</v>
      </c>
      <c r="K769" t="s">
        <v>36</v>
      </c>
      <c r="L769">
        <v>0</v>
      </c>
      <c r="M769">
        <v>1</v>
      </c>
    </row>
    <row r="770" spans="1:13" x14ac:dyDescent="0.25">
      <c r="A770" t="s">
        <v>697</v>
      </c>
      <c r="B770" t="s">
        <v>32</v>
      </c>
      <c r="C770" t="s">
        <v>14</v>
      </c>
      <c r="D770" t="s">
        <v>20</v>
      </c>
      <c r="E770">
        <v>36</v>
      </c>
      <c r="F770">
        <v>1</v>
      </c>
      <c r="G770">
        <v>4</v>
      </c>
      <c r="H770" s="1">
        <v>45496</v>
      </c>
      <c r="I770">
        <v>2024</v>
      </c>
      <c r="J770">
        <v>7</v>
      </c>
      <c r="K770" t="s">
        <v>16</v>
      </c>
      <c r="L770">
        <v>1</v>
      </c>
      <c r="M770">
        <v>1</v>
      </c>
    </row>
    <row r="771" spans="1:13" x14ac:dyDescent="0.25">
      <c r="A771" t="s">
        <v>698</v>
      </c>
      <c r="B771" t="s">
        <v>93</v>
      </c>
      <c r="C771" t="s">
        <v>174</v>
      </c>
      <c r="D771" t="s">
        <v>55</v>
      </c>
      <c r="E771">
        <v>20</v>
      </c>
      <c r="F771">
        <v>0.05</v>
      </c>
      <c r="G771">
        <v>935</v>
      </c>
      <c r="H771" s="1">
        <v>45496</v>
      </c>
      <c r="I771">
        <v>2024</v>
      </c>
      <c r="J771">
        <v>7</v>
      </c>
      <c r="K771" t="s">
        <v>36</v>
      </c>
      <c r="L771">
        <v>0</v>
      </c>
      <c r="M771">
        <v>1</v>
      </c>
    </row>
    <row r="772" spans="1:13" x14ac:dyDescent="0.25">
      <c r="A772" t="s">
        <v>699</v>
      </c>
      <c r="B772" t="s">
        <v>106</v>
      </c>
      <c r="C772" t="s">
        <v>48</v>
      </c>
      <c r="D772" t="s">
        <v>49</v>
      </c>
      <c r="E772" t="s">
        <v>21</v>
      </c>
      <c r="F772">
        <v>1</v>
      </c>
      <c r="G772">
        <v>4</v>
      </c>
      <c r="H772" s="1">
        <v>45495</v>
      </c>
      <c r="I772">
        <v>2024</v>
      </c>
      <c r="J772">
        <v>7</v>
      </c>
      <c r="K772" t="s">
        <v>16</v>
      </c>
      <c r="L772">
        <v>1</v>
      </c>
      <c r="M772">
        <v>1</v>
      </c>
    </row>
    <row r="773" spans="1:13" x14ac:dyDescent="0.25">
      <c r="A773" t="s">
        <v>700</v>
      </c>
      <c r="B773" t="s">
        <v>18</v>
      </c>
      <c r="C773" t="s">
        <v>14</v>
      </c>
      <c r="D773" t="s">
        <v>111</v>
      </c>
      <c r="E773">
        <v>75</v>
      </c>
      <c r="F773" t="s">
        <v>21</v>
      </c>
      <c r="G773">
        <v>4100</v>
      </c>
      <c r="H773" s="1">
        <v>45492</v>
      </c>
      <c r="I773">
        <v>2024</v>
      </c>
      <c r="J773">
        <v>7</v>
      </c>
      <c r="K773" t="s">
        <v>26</v>
      </c>
      <c r="L773" t="s">
        <v>21</v>
      </c>
      <c r="M773">
        <v>1</v>
      </c>
    </row>
    <row r="774" spans="1:13" x14ac:dyDescent="0.25">
      <c r="A774" t="s">
        <v>701</v>
      </c>
      <c r="B774" t="s">
        <v>24</v>
      </c>
      <c r="C774" t="s">
        <v>14</v>
      </c>
      <c r="D774" t="s">
        <v>97</v>
      </c>
      <c r="E774" t="s">
        <v>21</v>
      </c>
      <c r="F774">
        <v>0.5</v>
      </c>
      <c r="G774" t="s">
        <v>21</v>
      </c>
      <c r="H774" s="1">
        <v>45492</v>
      </c>
      <c r="I774">
        <v>2024</v>
      </c>
      <c r="J774">
        <v>7</v>
      </c>
      <c r="K774" t="s">
        <v>22</v>
      </c>
      <c r="L774">
        <v>0</v>
      </c>
      <c r="M774">
        <v>1</v>
      </c>
    </row>
    <row r="775" spans="1:13" x14ac:dyDescent="0.25">
      <c r="A775" t="s">
        <v>317</v>
      </c>
      <c r="B775" t="s">
        <v>28</v>
      </c>
      <c r="C775" t="s">
        <v>14</v>
      </c>
      <c r="D775" t="s">
        <v>111</v>
      </c>
      <c r="E775">
        <v>50</v>
      </c>
      <c r="F775">
        <v>0.1</v>
      </c>
      <c r="G775">
        <v>325</v>
      </c>
      <c r="H775" s="1">
        <v>45490</v>
      </c>
      <c r="I775">
        <v>2024</v>
      </c>
      <c r="J775">
        <v>7</v>
      </c>
      <c r="K775" t="s">
        <v>36</v>
      </c>
      <c r="L775">
        <v>0</v>
      </c>
      <c r="M775">
        <v>1</v>
      </c>
    </row>
    <row r="776" spans="1:13" x14ac:dyDescent="0.25">
      <c r="A776" t="s">
        <v>702</v>
      </c>
      <c r="B776" t="s">
        <v>28</v>
      </c>
      <c r="C776" t="s">
        <v>29</v>
      </c>
      <c r="D776" t="s">
        <v>22</v>
      </c>
      <c r="E776">
        <v>16</v>
      </c>
      <c r="F776">
        <v>0.1</v>
      </c>
      <c r="G776">
        <v>61</v>
      </c>
      <c r="H776" s="1">
        <v>45490</v>
      </c>
      <c r="I776">
        <v>2024</v>
      </c>
      <c r="J776">
        <v>7</v>
      </c>
      <c r="K776" t="s">
        <v>30</v>
      </c>
      <c r="L776">
        <v>0</v>
      </c>
      <c r="M776">
        <v>1</v>
      </c>
    </row>
    <row r="777" spans="1:13" x14ac:dyDescent="0.25">
      <c r="A777" t="s">
        <v>703</v>
      </c>
      <c r="B777" t="s">
        <v>18</v>
      </c>
      <c r="C777" t="s">
        <v>14</v>
      </c>
      <c r="D777" t="s">
        <v>49</v>
      </c>
      <c r="E777" t="s">
        <v>21</v>
      </c>
      <c r="F777" t="s">
        <v>21</v>
      </c>
      <c r="G777">
        <v>7</v>
      </c>
      <c r="H777" s="1">
        <v>45490</v>
      </c>
      <c r="I777">
        <v>2024</v>
      </c>
      <c r="J777">
        <v>7</v>
      </c>
      <c r="K777" t="s">
        <v>16</v>
      </c>
      <c r="L777" t="s">
        <v>21</v>
      </c>
      <c r="M777">
        <v>0</v>
      </c>
    </row>
    <row r="778" spans="1:13" x14ac:dyDescent="0.25">
      <c r="A778" t="s">
        <v>704</v>
      </c>
      <c r="B778" t="s">
        <v>24</v>
      </c>
      <c r="C778" t="s">
        <v>14</v>
      </c>
      <c r="D778" t="s">
        <v>22</v>
      </c>
      <c r="E778">
        <v>60</v>
      </c>
      <c r="F778">
        <v>1</v>
      </c>
      <c r="G778">
        <v>81</v>
      </c>
      <c r="H778" s="1">
        <v>45489</v>
      </c>
      <c r="I778">
        <v>2024</v>
      </c>
      <c r="J778">
        <v>7</v>
      </c>
      <c r="K778" t="s">
        <v>30</v>
      </c>
      <c r="L778">
        <v>1</v>
      </c>
      <c r="M778">
        <v>1</v>
      </c>
    </row>
    <row r="779" spans="1:13" x14ac:dyDescent="0.25">
      <c r="A779" t="s">
        <v>705</v>
      </c>
      <c r="B779" t="s">
        <v>28</v>
      </c>
      <c r="C779" t="s">
        <v>14</v>
      </c>
      <c r="D779" t="s">
        <v>81</v>
      </c>
      <c r="E779" t="s">
        <v>21</v>
      </c>
      <c r="F779" t="s">
        <v>21</v>
      </c>
      <c r="G779" t="s">
        <v>21</v>
      </c>
      <c r="H779" s="1">
        <v>45489</v>
      </c>
      <c r="I779">
        <v>2024</v>
      </c>
      <c r="J779">
        <v>7</v>
      </c>
      <c r="K779" t="s">
        <v>22</v>
      </c>
      <c r="L779" t="s">
        <v>21</v>
      </c>
      <c r="M779">
        <v>0</v>
      </c>
    </row>
    <row r="780" spans="1:13" x14ac:dyDescent="0.25">
      <c r="A780" t="s">
        <v>706</v>
      </c>
      <c r="B780" t="s">
        <v>54</v>
      </c>
      <c r="C780" t="s">
        <v>174</v>
      </c>
      <c r="D780" t="s">
        <v>20</v>
      </c>
      <c r="E780" t="s">
        <v>21</v>
      </c>
      <c r="F780" t="s">
        <v>21</v>
      </c>
      <c r="G780">
        <v>39</v>
      </c>
      <c r="H780" s="1">
        <v>45489</v>
      </c>
      <c r="I780">
        <v>2024</v>
      </c>
      <c r="J780">
        <v>7</v>
      </c>
      <c r="K780" t="s">
        <v>30</v>
      </c>
      <c r="L780" t="s">
        <v>21</v>
      </c>
      <c r="M780">
        <v>0</v>
      </c>
    </row>
    <row r="781" spans="1:13" x14ac:dyDescent="0.25">
      <c r="A781" t="s">
        <v>535</v>
      </c>
      <c r="B781" t="s">
        <v>217</v>
      </c>
      <c r="C781" t="s">
        <v>29</v>
      </c>
      <c r="D781" t="s">
        <v>15</v>
      </c>
      <c r="E781">
        <v>400</v>
      </c>
      <c r="F781" t="s">
        <v>21</v>
      </c>
      <c r="G781">
        <v>155</v>
      </c>
      <c r="H781" s="1">
        <v>45488</v>
      </c>
      <c r="I781">
        <v>2024</v>
      </c>
      <c r="J781">
        <v>7</v>
      </c>
      <c r="K781" t="s">
        <v>36</v>
      </c>
      <c r="L781" t="s">
        <v>21</v>
      </c>
      <c r="M781">
        <v>1</v>
      </c>
    </row>
    <row r="782" spans="1:13" x14ac:dyDescent="0.25">
      <c r="A782" t="s">
        <v>98</v>
      </c>
      <c r="B782" t="s">
        <v>99</v>
      </c>
      <c r="C782" t="s">
        <v>14</v>
      </c>
      <c r="D782" t="s">
        <v>15</v>
      </c>
      <c r="E782">
        <v>300</v>
      </c>
      <c r="F782" t="s">
        <v>21</v>
      </c>
      <c r="G782">
        <v>65</v>
      </c>
      <c r="H782" s="1">
        <v>45488</v>
      </c>
      <c r="I782">
        <v>2024</v>
      </c>
      <c r="J782">
        <v>7</v>
      </c>
      <c r="K782" t="s">
        <v>30</v>
      </c>
      <c r="L782" t="s">
        <v>21</v>
      </c>
      <c r="M782">
        <v>1</v>
      </c>
    </row>
    <row r="783" spans="1:13" x14ac:dyDescent="0.25">
      <c r="A783" t="s">
        <v>223</v>
      </c>
      <c r="B783" t="s">
        <v>32</v>
      </c>
      <c r="C783" t="s">
        <v>161</v>
      </c>
      <c r="D783" t="s">
        <v>15</v>
      </c>
      <c r="E783">
        <v>40</v>
      </c>
      <c r="F783" t="s">
        <v>21</v>
      </c>
      <c r="G783">
        <v>2100</v>
      </c>
      <c r="H783" s="1">
        <v>45488</v>
      </c>
      <c r="I783">
        <v>2024</v>
      </c>
      <c r="J783">
        <v>7</v>
      </c>
      <c r="K783" t="s">
        <v>26</v>
      </c>
      <c r="L783" t="s">
        <v>21</v>
      </c>
      <c r="M783">
        <v>1</v>
      </c>
    </row>
    <row r="784" spans="1:13" x14ac:dyDescent="0.25">
      <c r="A784" t="s">
        <v>707</v>
      </c>
      <c r="B784" t="s">
        <v>77</v>
      </c>
      <c r="C784" t="s">
        <v>708</v>
      </c>
      <c r="D784" t="s">
        <v>20</v>
      </c>
      <c r="E784" t="s">
        <v>21</v>
      </c>
      <c r="F784">
        <v>0.3</v>
      </c>
      <c r="G784">
        <v>20</v>
      </c>
      <c r="H784" s="1">
        <v>45485</v>
      </c>
      <c r="I784">
        <v>2024</v>
      </c>
      <c r="J784">
        <v>7</v>
      </c>
      <c r="K784" t="s">
        <v>30</v>
      </c>
      <c r="L784">
        <v>0</v>
      </c>
      <c r="M784">
        <v>1</v>
      </c>
    </row>
    <row r="785" spans="1:13" x14ac:dyDescent="0.25">
      <c r="A785" t="s">
        <v>709</v>
      </c>
      <c r="B785" t="s">
        <v>91</v>
      </c>
      <c r="C785" t="s">
        <v>14</v>
      </c>
      <c r="D785" t="s">
        <v>81</v>
      </c>
      <c r="E785" t="s">
        <v>21</v>
      </c>
      <c r="F785" t="s">
        <v>21</v>
      </c>
      <c r="G785" t="s">
        <v>21</v>
      </c>
      <c r="H785" s="1">
        <v>45484</v>
      </c>
      <c r="I785">
        <v>2024</v>
      </c>
      <c r="J785">
        <v>7</v>
      </c>
      <c r="K785" t="s">
        <v>22</v>
      </c>
      <c r="L785" t="s">
        <v>21</v>
      </c>
      <c r="M785">
        <v>0</v>
      </c>
    </row>
    <row r="786" spans="1:13" x14ac:dyDescent="0.25">
      <c r="A786" t="s">
        <v>132</v>
      </c>
      <c r="B786" t="s">
        <v>77</v>
      </c>
      <c r="C786" t="s">
        <v>14</v>
      </c>
      <c r="D786" t="s">
        <v>15</v>
      </c>
      <c r="E786">
        <v>1800</v>
      </c>
      <c r="F786">
        <v>0.1</v>
      </c>
      <c r="G786">
        <v>18</v>
      </c>
      <c r="H786" s="1">
        <v>45483</v>
      </c>
      <c r="I786">
        <v>2024</v>
      </c>
      <c r="J786">
        <v>7</v>
      </c>
      <c r="K786" t="s">
        <v>30</v>
      </c>
      <c r="L786">
        <v>0</v>
      </c>
      <c r="M786">
        <v>1</v>
      </c>
    </row>
    <row r="787" spans="1:13" x14ac:dyDescent="0.25">
      <c r="A787" t="s">
        <v>710</v>
      </c>
      <c r="B787" t="s">
        <v>32</v>
      </c>
      <c r="C787" t="s">
        <v>14</v>
      </c>
      <c r="D787" t="s">
        <v>20</v>
      </c>
      <c r="E787">
        <v>1000</v>
      </c>
      <c r="F787">
        <v>1</v>
      </c>
      <c r="G787">
        <v>51</v>
      </c>
      <c r="H787" s="1">
        <v>45483</v>
      </c>
      <c r="I787">
        <v>2024</v>
      </c>
      <c r="J787">
        <v>7</v>
      </c>
      <c r="K787" t="s">
        <v>30</v>
      </c>
      <c r="L787">
        <v>1</v>
      </c>
      <c r="M787">
        <v>1</v>
      </c>
    </row>
    <row r="788" spans="1:13" x14ac:dyDescent="0.25">
      <c r="A788" t="s">
        <v>711</v>
      </c>
      <c r="B788" t="s">
        <v>28</v>
      </c>
      <c r="C788" t="s">
        <v>14</v>
      </c>
      <c r="D788" t="s">
        <v>97</v>
      </c>
      <c r="E788" t="s">
        <v>21</v>
      </c>
      <c r="F788">
        <v>7.0000000000000007E-2</v>
      </c>
      <c r="G788" t="s">
        <v>21</v>
      </c>
      <c r="H788" s="1">
        <v>45483</v>
      </c>
      <c r="I788">
        <v>2024</v>
      </c>
      <c r="J788">
        <v>7</v>
      </c>
      <c r="K788" t="s">
        <v>22</v>
      </c>
      <c r="L788">
        <v>0</v>
      </c>
      <c r="M788">
        <v>1</v>
      </c>
    </row>
    <row r="789" spans="1:13" x14ac:dyDescent="0.25">
      <c r="A789" t="s">
        <v>712</v>
      </c>
      <c r="B789" t="s">
        <v>13</v>
      </c>
      <c r="C789" t="s">
        <v>14</v>
      </c>
      <c r="D789" t="s">
        <v>15</v>
      </c>
      <c r="E789">
        <v>420</v>
      </c>
      <c r="F789">
        <v>0.1</v>
      </c>
      <c r="G789">
        <v>2000</v>
      </c>
      <c r="H789" s="1">
        <v>45482</v>
      </c>
      <c r="I789">
        <v>2024</v>
      </c>
      <c r="J789">
        <v>7</v>
      </c>
      <c r="K789" t="s">
        <v>26</v>
      </c>
      <c r="L789">
        <v>0</v>
      </c>
      <c r="M789">
        <v>1</v>
      </c>
    </row>
    <row r="790" spans="1:13" x14ac:dyDescent="0.25">
      <c r="A790" t="s">
        <v>188</v>
      </c>
      <c r="B790" t="s">
        <v>40</v>
      </c>
      <c r="C790" t="s">
        <v>14</v>
      </c>
      <c r="D790" t="s">
        <v>22</v>
      </c>
      <c r="E790">
        <v>2200</v>
      </c>
      <c r="F790">
        <v>0.14000000000000001</v>
      </c>
      <c r="G790" t="s">
        <v>21</v>
      </c>
      <c r="H790" s="1">
        <v>45476</v>
      </c>
      <c r="I790">
        <v>2024</v>
      </c>
      <c r="J790">
        <v>7</v>
      </c>
      <c r="K790" t="s">
        <v>22</v>
      </c>
      <c r="L790">
        <v>0</v>
      </c>
      <c r="M790">
        <v>1</v>
      </c>
    </row>
    <row r="791" spans="1:13" x14ac:dyDescent="0.25">
      <c r="A791" t="s">
        <v>222</v>
      </c>
      <c r="B791" t="s">
        <v>38</v>
      </c>
      <c r="C791" t="s">
        <v>174</v>
      </c>
      <c r="D791" t="s">
        <v>15</v>
      </c>
      <c r="E791">
        <v>1200</v>
      </c>
      <c r="F791">
        <v>0.02</v>
      </c>
      <c r="G791">
        <v>1100</v>
      </c>
      <c r="H791" s="1">
        <v>45476</v>
      </c>
      <c r="I791">
        <v>2024</v>
      </c>
      <c r="J791">
        <v>7</v>
      </c>
      <c r="K791" t="s">
        <v>26</v>
      </c>
      <c r="L791">
        <v>0</v>
      </c>
      <c r="M791">
        <v>1</v>
      </c>
    </row>
    <row r="792" spans="1:13" x14ac:dyDescent="0.25">
      <c r="A792" t="s">
        <v>12</v>
      </c>
      <c r="B792" t="s">
        <v>13</v>
      </c>
      <c r="C792" t="s">
        <v>14</v>
      </c>
      <c r="D792" t="s">
        <v>15</v>
      </c>
      <c r="E792" t="s">
        <v>21</v>
      </c>
      <c r="F792" t="s">
        <v>21</v>
      </c>
      <c r="G792">
        <v>1</v>
      </c>
      <c r="H792" s="1">
        <v>45476</v>
      </c>
      <c r="I792">
        <v>2024</v>
      </c>
      <c r="J792">
        <v>7</v>
      </c>
      <c r="K792" t="s">
        <v>16</v>
      </c>
      <c r="L792" t="s">
        <v>21</v>
      </c>
      <c r="M792">
        <v>0</v>
      </c>
    </row>
    <row r="793" spans="1:13" x14ac:dyDescent="0.25">
      <c r="A793" t="s">
        <v>713</v>
      </c>
      <c r="B793" t="s">
        <v>106</v>
      </c>
      <c r="C793" t="s">
        <v>48</v>
      </c>
      <c r="D793" t="s">
        <v>347</v>
      </c>
      <c r="E793">
        <v>250</v>
      </c>
      <c r="F793" t="s">
        <v>21</v>
      </c>
      <c r="G793">
        <v>838</v>
      </c>
      <c r="H793" s="1">
        <v>45475</v>
      </c>
      <c r="I793">
        <v>2024</v>
      </c>
      <c r="J793">
        <v>7</v>
      </c>
      <c r="K793" t="s">
        <v>36</v>
      </c>
      <c r="L793" t="s">
        <v>21</v>
      </c>
      <c r="M793">
        <v>1</v>
      </c>
    </row>
    <row r="794" spans="1:13" x14ac:dyDescent="0.25">
      <c r="A794" t="s">
        <v>714</v>
      </c>
      <c r="B794" t="s">
        <v>18</v>
      </c>
      <c r="C794" t="s">
        <v>48</v>
      </c>
      <c r="D794" t="s">
        <v>22</v>
      </c>
      <c r="E794" t="s">
        <v>21</v>
      </c>
      <c r="F794">
        <v>1</v>
      </c>
      <c r="G794">
        <v>51</v>
      </c>
      <c r="H794" s="1">
        <v>45475</v>
      </c>
      <c r="I794">
        <v>2024</v>
      </c>
      <c r="J794">
        <v>7</v>
      </c>
      <c r="K794" t="s">
        <v>30</v>
      </c>
      <c r="L794">
        <v>1</v>
      </c>
      <c r="M794">
        <v>1</v>
      </c>
    </row>
    <row r="795" spans="1:13" x14ac:dyDescent="0.25">
      <c r="A795" t="s">
        <v>118</v>
      </c>
      <c r="B795" t="s">
        <v>18</v>
      </c>
      <c r="C795" t="s">
        <v>29</v>
      </c>
      <c r="D795" t="s">
        <v>55</v>
      </c>
      <c r="E795">
        <v>70</v>
      </c>
      <c r="F795">
        <v>0.12</v>
      </c>
      <c r="G795">
        <v>335</v>
      </c>
      <c r="H795" s="1">
        <v>45474</v>
      </c>
      <c r="I795">
        <v>2024</v>
      </c>
      <c r="J795">
        <v>7</v>
      </c>
      <c r="K795" t="s">
        <v>36</v>
      </c>
      <c r="L795">
        <v>0</v>
      </c>
      <c r="M795">
        <v>1</v>
      </c>
    </row>
    <row r="796" spans="1:13" x14ac:dyDescent="0.25">
      <c r="A796" t="s">
        <v>715</v>
      </c>
      <c r="B796" t="s">
        <v>95</v>
      </c>
      <c r="C796" t="s">
        <v>14</v>
      </c>
      <c r="D796" t="s">
        <v>22</v>
      </c>
      <c r="E796">
        <v>26</v>
      </c>
      <c r="F796" t="s">
        <v>21</v>
      </c>
      <c r="G796">
        <v>598</v>
      </c>
      <c r="H796" s="1">
        <v>45474</v>
      </c>
      <c r="I796">
        <v>2024</v>
      </c>
      <c r="J796">
        <v>7</v>
      </c>
      <c r="K796" t="s">
        <v>36</v>
      </c>
      <c r="L796" t="s">
        <v>21</v>
      </c>
      <c r="M796">
        <v>1</v>
      </c>
    </row>
    <row r="797" spans="1:13" x14ac:dyDescent="0.25">
      <c r="A797" t="s">
        <v>716</v>
      </c>
      <c r="B797" t="s">
        <v>70</v>
      </c>
      <c r="C797" t="s">
        <v>29</v>
      </c>
      <c r="D797" t="s">
        <v>22</v>
      </c>
      <c r="E797">
        <v>20</v>
      </c>
      <c r="F797">
        <v>0.33</v>
      </c>
      <c r="G797">
        <v>61</v>
      </c>
      <c r="H797" s="1">
        <v>45474</v>
      </c>
      <c r="I797">
        <v>2024</v>
      </c>
      <c r="J797">
        <v>7</v>
      </c>
      <c r="K797" t="s">
        <v>30</v>
      </c>
      <c r="L797">
        <v>0</v>
      </c>
      <c r="M797">
        <v>1</v>
      </c>
    </row>
    <row r="798" spans="1:13" x14ac:dyDescent="0.25">
      <c r="A798" t="s">
        <v>545</v>
      </c>
      <c r="B798" t="s">
        <v>38</v>
      </c>
      <c r="C798" t="s">
        <v>161</v>
      </c>
      <c r="D798" t="s">
        <v>15</v>
      </c>
      <c r="E798" t="s">
        <v>21</v>
      </c>
      <c r="F798" t="s">
        <v>21</v>
      </c>
      <c r="G798">
        <v>17</v>
      </c>
      <c r="H798" s="1">
        <v>45474</v>
      </c>
      <c r="I798">
        <v>2024</v>
      </c>
      <c r="J798">
        <v>7</v>
      </c>
      <c r="K798" t="s">
        <v>30</v>
      </c>
      <c r="L798" t="s">
        <v>21</v>
      </c>
      <c r="M798">
        <v>0</v>
      </c>
    </row>
    <row r="799" spans="1:13" x14ac:dyDescent="0.25">
      <c r="A799" t="s">
        <v>717</v>
      </c>
      <c r="B799" t="s">
        <v>66</v>
      </c>
      <c r="C799" t="s">
        <v>64</v>
      </c>
      <c r="D799" t="s">
        <v>111</v>
      </c>
      <c r="E799" t="s">
        <v>21</v>
      </c>
      <c r="F799">
        <v>0.05</v>
      </c>
      <c r="G799">
        <v>974</v>
      </c>
      <c r="H799" s="1">
        <v>45474</v>
      </c>
      <c r="I799">
        <v>2024</v>
      </c>
      <c r="J799">
        <v>7</v>
      </c>
      <c r="K799" t="s">
        <v>36</v>
      </c>
      <c r="L799">
        <v>0</v>
      </c>
      <c r="M799">
        <v>1</v>
      </c>
    </row>
    <row r="800" spans="1:13" x14ac:dyDescent="0.25">
      <c r="A800" t="s">
        <v>718</v>
      </c>
      <c r="B800" t="s">
        <v>73</v>
      </c>
      <c r="C800" t="s">
        <v>14</v>
      </c>
      <c r="D800" t="s">
        <v>20</v>
      </c>
      <c r="E800">
        <v>103</v>
      </c>
      <c r="F800">
        <v>7.0000000000000007E-2</v>
      </c>
      <c r="G800">
        <v>77</v>
      </c>
      <c r="H800" s="1">
        <v>45471</v>
      </c>
      <c r="I800">
        <v>2024</v>
      </c>
      <c r="J800">
        <v>6</v>
      </c>
      <c r="K800" t="s">
        <v>30</v>
      </c>
      <c r="L800">
        <v>0</v>
      </c>
      <c r="M800">
        <v>1</v>
      </c>
    </row>
    <row r="801" spans="1:13" x14ac:dyDescent="0.25">
      <c r="A801" t="s">
        <v>719</v>
      </c>
      <c r="B801" t="s">
        <v>91</v>
      </c>
      <c r="C801" t="s">
        <v>14</v>
      </c>
      <c r="D801" t="s">
        <v>20</v>
      </c>
      <c r="E801">
        <v>260</v>
      </c>
      <c r="F801">
        <v>0.04</v>
      </c>
      <c r="G801">
        <v>105</v>
      </c>
      <c r="H801" s="1">
        <v>45470</v>
      </c>
      <c r="I801">
        <v>2024</v>
      </c>
      <c r="J801">
        <v>6</v>
      </c>
      <c r="K801" t="s">
        <v>36</v>
      </c>
      <c r="L801">
        <v>0</v>
      </c>
      <c r="M801">
        <v>1</v>
      </c>
    </row>
    <row r="802" spans="1:13" x14ac:dyDescent="0.25">
      <c r="A802" t="s">
        <v>720</v>
      </c>
      <c r="B802" t="s">
        <v>490</v>
      </c>
      <c r="C802" t="s">
        <v>14</v>
      </c>
      <c r="D802" t="s">
        <v>15</v>
      </c>
      <c r="E802">
        <v>180</v>
      </c>
      <c r="F802">
        <v>0.17</v>
      </c>
      <c r="G802">
        <v>574</v>
      </c>
      <c r="H802" s="1">
        <v>45469</v>
      </c>
      <c r="I802">
        <v>2024</v>
      </c>
      <c r="J802">
        <v>6</v>
      </c>
      <c r="K802" t="s">
        <v>36</v>
      </c>
      <c r="L802">
        <v>0</v>
      </c>
      <c r="M802">
        <v>1</v>
      </c>
    </row>
    <row r="803" spans="1:13" x14ac:dyDescent="0.25">
      <c r="A803" t="s">
        <v>694</v>
      </c>
      <c r="B803" t="s">
        <v>217</v>
      </c>
      <c r="C803" t="s">
        <v>14</v>
      </c>
      <c r="D803" t="s">
        <v>22</v>
      </c>
      <c r="E803">
        <v>101</v>
      </c>
      <c r="F803" t="s">
        <v>21</v>
      </c>
      <c r="G803">
        <v>124</v>
      </c>
      <c r="H803" s="1">
        <v>45469</v>
      </c>
      <c r="I803">
        <v>2024</v>
      </c>
      <c r="J803">
        <v>6</v>
      </c>
      <c r="K803" t="s">
        <v>36</v>
      </c>
      <c r="L803" t="s">
        <v>21</v>
      </c>
      <c r="M803">
        <v>1</v>
      </c>
    </row>
    <row r="804" spans="1:13" x14ac:dyDescent="0.25">
      <c r="A804" t="s">
        <v>247</v>
      </c>
      <c r="B804" t="s">
        <v>24</v>
      </c>
      <c r="C804" t="s">
        <v>29</v>
      </c>
      <c r="D804" t="s">
        <v>15</v>
      </c>
      <c r="E804" t="s">
        <v>21</v>
      </c>
      <c r="F804" t="s">
        <v>21</v>
      </c>
      <c r="G804">
        <v>1200</v>
      </c>
      <c r="H804" s="1">
        <v>45469</v>
      </c>
      <c r="I804">
        <v>2024</v>
      </c>
      <c r="J804">
        <v>6</v>
      </c>
      <c r="K804" t="s">
        <v>26</v>
      </c>
      <c r="L804" t="s">
        <v>21</v>
      </c>
      <c r="M804">
        <v>0</v>
      </c>
    </row>
    <row r="805" spans="1:13" x14ac:dyDescent="0.25">
      <c r="A805" t="s">
        <v>721</v>
      </c>
      <c r="B805" t="s">
        <v>54</v>
      </c>
      <c r="C805" t="s">
        <v>29</v>
      </c>
      <c r="D805" t="s">
        <v>15</v>
      </c>
      <c r="E805">
        <v>35</v>
      </c>
      <c r="F805">
        <v>0.05</v>
      </c>
      <c r="G805">
        <v>76</v>
      </c>
      <c r="H805" s="1">
        <v>45468</v>
      </c>
      <c r="I805">
        <v>2024</v>
      </c>
      <c r="J805">
        <v>6</v>
      </c>
      <c r="K805" t="s">
        <v>30</v>
      </c>
      <c r="L805">
        <v>0</v>
      </c>
      <c r="M805">
        <v>1</v>
      </c>
    </row>
    <row r="806" spans="1:13" x14ac:dyDescent="0.25">
      <c r="A806" t="s">
        <v>722</v>
      </c>
      <c r="B806" t="s">
        <v>18</v>
      </c>
      <c r="C806" t="s">
        <v>539</v>
      </c>
      <c r="D806" t="s">
        <v>20</v>
      </c>
      <c r="E806" t="s">
        <v>21</v>
      </c>
      <c r="F806" t="s">
        <v>21</v>
      </c>
      <c r="G806" t="s">
        <v>21</v>
      </c>
      <c r="H806" s="1">
        <v>45468</v>
      </c>
      <c r="I806">
        <v>2024</v>
      </c>
      <c r="J806">
        <v>6</v>
      </c>
      <c r="K806" t="s">
        <v>22</v>
      </c>
      <c r="L806" t="s">
        <v>21</v>
      </c>
      <c r="M806">
        <v>0</v>
      </c>
    </row>
    <row r="807" spans="1:13" x14ac:dyDescent="0.25">
      <c r="A807" t="s">
        <v>723</v>
      </c>
      <c r="B807" t="s">
        <v>77</v>
      </c>
      <c r="C807" t="s">
        <v>143</v>
      </c>
      <c r="D807" t="s">
        <v>22</v>
      </c>
      <c r="E807">
        <v>30</v>
      </c>
      <c r="F807">
        <v>0.03</v>
      </c>
      <c r="G807">
        <v>509</v>
      </c>
      <c r="H807" s="1">
        <v>45467</v>
      </c>
      <c r="I807">
        <v>2024</v>
      </c>
      <c r="J807">
        <v>6</v>
      </c>
      <c r="K807" t="s">
        <v>36</v>
      </c>
      <c r="L807">
        <v>0</v>
      </c>
      <c r="M807">
        <v>1</v>
      </c>
    </row>
    <row r="808" spans="1:13" x14ac:dyDescent="0.25">
      <c r="A808" t="s">
        <v>724</v>
      </c>
      <c r="B808" t="s">
        <v>35</v>
      </c>
      <c r="C808" t="s">
        <v>14</v>
      </c>
      <c r="D808" t="s">
        <v>15</v>
      </c>
      <c r="E808" t="s">
        <v>21</v>
      </c>
      <c r="F808" t="s">
        <v>21</v>
      </c>
      <c r="G808">
        <v>1600</v>
      </c>
      <c r="H808" s="1">
        <v>45467</v>
      </c>
      <c r="I808">
        <v>2024</v>
      </c>
      <c r="J808">
        <v>6</v>
      </c>
      <c r="K808" t="s">
        <v>26</v>
      </c>
      <c r="L808" t="s">
        <v>21</v>
      </c>
      <c r="M808">
        <v>0</v>
      </c>
    </row>
    <row r="809" spans="1:13" x14ac:dyDescent="0.25">
      <c r="A809" t="s">
        <v>725</v>
      </c>
      <c r="B809" t="s">
        <v>77</v>
      </c>
      <c r="C809" t="s">
        <v>83</v>
      </c>
      <c r="D809" t="s">
        <v>22</v>
      </c>
      <c r="E809" t="s">
        <v>21</v>
      </c>
      <c r="F809" t="s">
        <v>21</v>
      </c>
      <c r="G809">
        <v>1300</v>
      </c>
      <c r="H809" s="1">
        <v>45466</v>
      </c>
      <c r="I809">
        <v>2024</v>
      </c>
      <c r="J809">
        <v>6</v>
      </c>
      <c r="K809" t="s">
        <v>26</v>
      </c>
      <c r="L809" t="s">
        <v>21</v>
      </c>
      <c r="M809">
        <v>0</v>
      </c>
    </row>
    <row r="810" spans="1:13" x14ac:dyDescent="0.25">
      <c r="A810" t="s">
        <v>724</v>
      </c>
      <c r="B810" t="s">
        <v>35</v>
      </c>
      <c r="C810" t="s">
        <v>14</v>
      </c>
      <c r="D810" t="s">
        <v>15</v>
      </c>
      <c r="E810">
        <v>400</v>
      </c>
      <c r="F810">
        <v>0.35</v>
      </c>
      <c r="G810">
        <v>1600</v>
      </c>
      <c r="H810" s="1">
        <v>45463</v>
      </c>
      <c r="I810">
        <v>2024</v>
      </c>
      <c r="J810">
        <v>6</v>
      </c>
      <c r="K810" t="s">
        <v>26</v>
      </c>
      <c r="L810">
        <v>0</v>
      </c>
      <c r="M810">
        <v>1</v>
      </c>
    </row>
    <row r="811" spans="1:13" x14ac:dyDescent="0.25">
      <c r="A811" t="s">
        <v>550</v>
      </c>
      <c r="B811" t="s">
        <v>77</v>
      </c>
      <c r="C811" t="s">
        <v>29</v>
      </c>
      <c r="D811" t="s">
        <v>22</v>
      </c>
      <c r="E811" t="s">
        <v>21</v>
      </c>
      <c r="F811" t="s">
        <v>21</v>
      </c>
      <c r="G811">
        <v>769</v>
      </c>
      <c r="H811" s="1">
        <v>45463</v>
      </c>
      <c r="I811">
        <v>2024</v>
      </c>
      <c r="J811">
        <v>6</v>
      </c>
      <c r="K811" t="s">
        <v>36</v>
      </c>
      <c r="L811" t="s">
        <v>21</v>
      </c>
      <c r="M811">
        <v>0</v>
      </c>
    </row>
    <row r="812" spans="1:13" x14ac:dyDescent="0.25">
      <c r="A812" t="s">
        <v>665</v>
      </c>
      <c r="B812" t="s">
        <v>95</v>
      </c>
      <c r="C812" t="s">
        <v>48</v>
      </c>
      <c r="D812" t="s">
        <v>22</v>
      </c>
      <c r="E812" t="s">
        <v>21</v>
      </c>
      <c r="F812">
        <v>0.8</v>
      </c>
      <c r="G812">
        <v>54</v>
      </c>
      <c r="H812" s="1">
        <v>45463</v>
      </c>
      <c r="I812">
        <v>2024</v>
      </c>
      <c r="J812">
        <v>6</v>
      </c>
      <c r="K812" t="s">
        <v>30</v>
      </c>
      <c r="L812">
        <v>0</v>
      </c>
      <c r="M812">
        <v>1</v>
      </c>
    </row>
    <row r="813" spans="1:13" x14ac:dyDescent="0.25">
      <c r="A813" t="s">
        <v>726</v>
      </c>
      <c r="B813" t="s">
        <v>24</v>
      </c>
      <c r="C813" t="s">
        <v>83</v>
      </c>
      <c r="D813" t="s">
        <v>20</v>
      </c>
      <c r="E813">
        <v>200</v>
      </c>
      <c r="F813">
        <v>0.18</v>
      </c>
      <c r="G813" t="s">
        <v>21</v>
      </c>
      <c r="H813" s="1">
        <v>45462</v>
      </c>
      <c r="I813">
        <v>2024</v>
      </c>
      <c r="J813">
        <v>6</v>
      </c>
      <c r="K813" t="s">
        <v>22</v>
      </c>
      <c r="L813">
        <v>0</v>
      </c>
      <c r="M813">
        <v>1</v>
      </c>
    </row>
    <row r="814" spans="1:13" x14ac:dyDescent="0.25">
      <c r="A814" t="s">
        <v>727</v>
      </c>
      <c r="B814" t="s">
        <v>66</v>
      </c>
      <c r="C814" t="s">
        <v>29</v>
      </c>
      <c r="D814" t="s">
        <v>20</v>
      </c>
      <c r="E814">
        <v>20</v>
      </c>
      <c r="F814">
        <v>0.1</v>
      </c>
      <c r="G814">
        <v>131</v>
      </c>
      <c r="H814" s="1">
        <v>45462</v>
      </c>
      <c r="I814">
        <v>2024</v>
      </c>
      <c r="J814">
        <v>6</v>
      </c>
      <c r="K814" t="s">
        <v>36</v>
      </c>
      <c r="L814">
        <v>0</v>
      </c>
      <c r="M814">
        <v>1</v>
      </c>
    </row>
    <row r="815" spans="1:13" x14ac:dyDescent="0.25">
      <c r="A815" t="s">
        <v>728</v>
      </c>
      <c r="B815" t="s">
        <v>77</v>
      </c>
      <c r="C815" t="s">
        <v>14</v>
      </c>
      <c r="D815" t="s">
        <v>15</v>
      </c>
      <c r="E815">
        <v>375</v>
      </c>
      <c r="F815">
        <v>0.05</v>
      </c>
      <c r="G815">
        <v>400</v>
      </c>
      <c r="H815" s="1">
        <v>45461</v>
      </c>
      <c r="I815">
        <v>2024</v>
      </c>
      <c r="J815">
        <v>6</v>
      </c>
      <c r="K815" t="s">
        <v>36</v>
      </c>
      <c r="L815">
        <v>0</v>
      </c>
      <c r="M815">
        <v>1</v>
      </c>
    </row>
    <row r="816" spans="1:13" x14ac:dyDescent="0.25">
      <c r="A816" t="s">
        <v>167</v>
      </c>
      <c r="B816" t="s">
        <v>77</v>
      </c>
      <c r="C816" t="s">
        <v>14</v>
      </c>
      <c r="D816" t="s">
        <v>15</v>
      </c>
      <c r="E816">
        <v>85</v>
      </c>
      <c r="F816" t="s">
        <v>21</v>
      </c>
      <c r="G816">
        <v>216</v>
      </c>
      <c r="H816" s="1">
        <v>45461</v>
      </c>
      <c r="I816">
        <v>2024</v>
      </c>
      <c r="J816">
        <v>6</v>
      </c>
      <c r="K816" t="s">
        <v>36</v>
      </c>
      <c r="L816" t="s">
        <v>21</v>
      </c>
      <c r="M816">
        <v>1</v>
      </c>
    </row>
    <row r="817" spans="1:13" x14ac:dyDescent="0.25">
      <c r="A817" t="s">
        <v>123</v>
      </c>
      <c r="B817" t="s">
        <v>77</v>
      </c>
      <c r="C817" t="s">
        <v>29</v>
      </c>
      <c r="D817" t="s">
        <v>22</v>
      </c>
      <c r="E817">
        <v>30</v>
      </c>
      <c r="F817" t="s">
        <v>21</v>
      </c>
      <c r="G817">
        <v>770</v>
      </c>
      <c r="H817" s="1">
        <v>45461</v>
      </c>
      <c r="I817">
        <v>2024</v>
      </c>
      <c r="J817">
        <v>6</v>
      </c>
      <c r="K817" t="s">
        <v>36</v>
      </c>
      <c r="L817" t="s">
        <v>21</v>
      </c>
      <c r="M817">
        <v>1</v>
      </c>
    </row>
    <row r="818" spans="1:13" x14ac:dyDescent="0.25">
      <c r="A818" t="s">
        <v>729</v>
      </c>
      <c r="B818" t="s">
        <v>77</v>
      </c>
      <c r="C818" t="s">
        <v>14</v>
      </c>
      <c r="D818" t="s">
        <v>347</v>
      </c>
      <c r="E818">
        <v>16</v>
      </c>
      <c r="F818" t="s">
        <v>21</v>
      </c>
      <c r="G818">
        <v>537</v>
      </c>
      <c r="H818" s="1">
        <v>45461</v>
      </c>
      <c r="I818">
        <v>2024</v>
      </c>
      <c r="J818">
        <v>6</v>
      </c>
      <c r="K818" t="s">
        <v>36</v>
      </c>
      <c r="L818" t="s">
        <v>21</v>
      </c>
      <c r="M818">
        <v>1</v>
      </c>
    </row>
    <row r="819" spans="1:13" x14ac:dyDescent="0.25">
      <c r="A819" t="s">
        <v>730</v>
      </c>
      <c r="B819" t="s">
        <v>66</v>
      </c>
      <c r="C819" t="s">
        <v>14</v>
      </c>
      <c r="D819" t="s">
        <v>15</v>
      </c>
      <c r="E819" t="s">
        <v>21</v>
      </c>
      <c r="F819">
        <v>1</v>
      </c>
      <c r="G819">
        <v>1700</v>
      </c>
      <c r="H819" s="1">
        <v>45461</v>
      </c>
      <c r="I819">
        <v>2024</v>
      </c>
      <c r="J819">
        <v>6</v>
      </c>
      <c r="K819" t="s">
        <v>26</v>
      </c>
      <c r="L819">
        <v>1</v>
      </c>
      <c r="M819">
        <v>1</v>
      </c>
    </row>
    <row r="820" spans="1:13" x14ac:dyDescent="0.25">
      <c r="A820" t="s">
        <v>338</v>
      </c>
      <c r="B820" t="s">
        <v>106</v>
      </c>
      <c r="C820" t="s">
        <v>14</v>
      </c>
      <c r="D820" t="s">
        <v>15</v>
      </c>
      <c r="E820">
        <v>441</v>
      </c>
      <c r="F820">
        <v>0.23</v>
      </c>
      <c r="G820">
        <v>227</v>
      </c>
      <c r="H820" s="1">
        <v>45460</v>
      </c>
      <c r="I820">
        <v>2024</v>
      </c>
      <c r="J820">
        <v>6</v>
      </c>
      <c r="K820" t="s">
        <v>36</v>
      </c>
      <c r="L820">
        <v>0</v>
      </c>
      <c r="M820">
        <v>1</v>
      </c>
    </row>
    <row r="821" spans="1:13" x14ac:dyDescent="0.25">
      <c r="A821" t="s">
        <v>731</v>
      </c>
      <c r="B821" t="s">
        <v>140</v>
      </c>
      <c r="C821" t="s">
        <v>14</v>
      </c>
      <c r="D821" t="s">
        <v>33</v>
      </c>
      <c r="E821" t="s">
        <v>21</v>
      </c>
      <c r="F821">
        <v>1</v>
      </c>
      <c r="G821">
        <v>396</v>
      </c>
      <c r="H821" s="1">
        <v>45460</v>
      </c>
      <c r="I821">
        <v>2024</v>
      </c>
      <c r="J821">
        <v>6</v>
      </c>
      <c r="K821" t="s">
        <v>36</v>
      </c>
      <c r="L821">
        <v>1</v>
      </c>
      <c r="M821">
        <v>1</v>
      </c>
    </row>
    <row r="822" spans="1:13" x14ac:dyDescent="0.25">
      <c r="A822" t="s">
        <v>732</v>
      </c>
      <c r="B822" t="s">
        <v>77</v>
      </c>
      <c r="C822" t="s">
        <v>14</v>
      </c>
      <c r="D822" t="s">
        <v>46</v>
      </c>
      <c r="E822" t="s">
        <v>21</v>
      </c>
      <c r="F822">
        <v>0.15</v>
      </c>
      <c r="G822">
        <v>170</v>
      </c>
      <c r="H822" s="1">
        <v>45460</v>
      </c>
      <c r="I822">
        <v>2024</v>
      </c>
      <c r="J822">
        <v>6</v>
      </c>
      <c r="K822" t="s">
        <v>36</v>
      </c>
      <c r="L822">
        <v>0</v>
      </c>
      <c r="M822">
        <v>1</v>
      </c>
    </row>
    <row r="823" spans="1:13" x14ac:dyDescent="0.25">
      <c r="A823" t="s">
        <v>733</v>
      </c>
      <c r="B823" t="s">
        <v>77</v>
      </c>
      <c r="C823" t="s">
        <v>14</v>
      </c>
      <c r="D823" t="s">
        <v>68</v>
      </c>
      <c r="E823">
        <v>23</v>
      </c>
      <c r="F823">
        <v>0.77</v>
      </c>
      <c r="G823">
        <v>34</v>
      </c>
      <c r="H823" s="1">
        <v>45459</v>
      </c>
      <c r="I823">
        <v>2024</v>
      </c>
      <c r="J823">
        <v>6</v>
      </c>
      <c r="K823" t="s">
        <v>30</v>
      </c>
      <c r="L823">
        <v>0</v>
      </c>
      <c r="M823">
        <v>1</v>
      </c>
    </row>
    <row r="824" spans="1:13" x14ac:dyDescent="0.25">
      <c r="A824" t="s">
        <v>734</v>
      </c>
      <c r="B824" t="s">
        <v>35</v>
      </c>
      <c r="C824" t="s">
        <v>14</v>
      </c>
      <c r="D824" t="s">
        <v>20</v>
      </c>
      <c r="E824">
        <v>143</v>
      </c>
      <c r="F824">
        <v>1</v>
      </c>
      <c r="G824">
        <v>83</v>
      </c>
      <c r="H824" s="1">
        <v>45458</v>
      </c>
      <c r="I824">
        <v>2024</v>
      </c>
      <c r="J824">
        <v>6</v>
      </c>
      <c r="K824" t="s">
        <v>30</v>
      </c>
      <c r="L824">
        <v>1</v>
      </c>
      <c r="M824">
        <v>1</v>
      </c>
    </row>
    <row r="825" spans="1:13" x14ac:dyDescent="0.25">
      <c r="A825" t="s">
        <v>735</v>
      </c>
      <c r="B825" t="s">
        <v>217</v>
      </c>
      <c r="C825" t="s">
        <v>14</v>
      </c>
      <c r="D825" t="s">
        <v>33</v>
      </c>
      <c r="E825" t="s">
        <v>21</v>
      </c>
      <c r="F825">
        <v>1</v>
      </c>
      <c r="G825">
        <v>54</v>
      </c>
      <c r="H825" s="1">
        <v>45458</v>
      </c>
      <c r="I825">
        <v>2024</v>
      </c>
      <c r="J825">
        <v>6</v>
      </c>
      <c r="K825" t="s">
        <v>30</v>
      </c>
      <c r="L825">
        <v>1</v>
      </c>
      <c r="M825">
        <v>1</v>
      </c>
    </row>
    <row r="826" spans="1:13" x14ac:dyDescent="0.25">
      <c r="A826" t="s">
        <v>736</v>
      </c>
      <c r="B826" t="s">
        <v>490</v>
      </c>
      <c r="C826" t="s">
        <v>323</v>
      </c>
      <c r="D826" t="s">
        <v>15</v>
      </c>
      <c r="E826">
        <v>70</v>
      </c>
      <c r="F826">
        <v>0.3</v>
      </c>
      <c r="G826">
        <v>424</v>
      </c>
      <c r="H826" s="1">
        <v>45457</v>
      </c>
      <c r="I826">
        <v>2024</v>
      </c>
      <c r="J826">
        <v>6</v>
      </c>
      <c r="K826" t="s">
        <v>36</v>
      </c>
      <c r="L826">
        <v>0</v>
      </c>
      <c r="M826">
        <v>1</v>
      </c>
    </row>
    <row r="827" spans="1:13" x14ac:dyDescent="0.25">
      <c r="A827" t="s">
        <v>737</v>
      </c>
      <c r="B827" t="s">
        <v>114</v>
      </c>
      <c r="C827" t="s">
        <v>14</v>
      </c>
      <c r="D827" t="s">
        <v>33</v>
      </c>
      <c r="E827">
        <v>11</v>
      </c>
      <c r="F827" t="s">
        <v>21</v>
      </c>
      <c r="G827">
        <v>54</v>
      </c>
      <c r="H827" s="1">
        <v>45457</v>
      </c>
      <c r="I827">
        <v>2024</v>
      </c>
      <c r="J827">
        <v>6</v>
      </c>
      <c r="K827" t="s">
        <v>30</v>
      </c>
      <c r="L827" t="s">
        <v>21</v>
      </c>
      <c r="M827">
        <v>1</v>
      </c>
    </row>
    <row r="828" spans="1:13" x14ac:dyDescent="0.25">
      <c r="A828" t="s">
        <v>339</v>
      </c>
      <c r="B828" t="s">
        <v>35</v>
      </c>
      <c r="C828" t="s">
        <v>14</v>
      </c>
      <c r="D828" t="s">
        <v>15</v>
      </c>
      <c r="E828" t="s">
        <v>21</v>
      </c>
      <c r="F828" t="s">
        <v>21</v>
      </c>
      <c r="G828">
        <v>5900</v>
      </c>
      <c r="H828" s="1">
        <v>45456</v>
      </c>
      <c r="I828">
        <v>2024</v>
      </c>
      <c r="J828">
        <v>6</v>
      </c>
      <c r="K828" t="s">
        <v>26</v>
      </c>
      <c r="L828" t="s">
        <v>21</v>
      </c>
      <c r="M828">
        <v>0</v>
      </c>
    </row>
    <row r="829" spans="1:13" x14ac:dyDescent="0.25">
      <c r="A829" t="s">
        <v>609</v>
      </c>
      <c r="B829" t="s">
        <v>18</v>
      </c>
      <c r="C829" t="s">
        <v>25</v>
      </c>
      <c r="D829" t="s">
        <v>22</v>
      </c>
      <c r="E829">
        <v>450</v>
      </c>
      <c r="F829" t="s">
        <v>21</v>
      </c>
      <c r="G829">
        <v>9400</v>
      </c>
      <c r="H829" s="1">
        <v>45455</v>
      </c>
      <c r="I829">
        <v>2024</v>
      </c>
      <c r="J829">
        <v>6</v>
      </c>
      <c r="K829" t="s">
        <v>26</v>
      </c>
      <c r="L829" t="s">
        <v>21</v>
      </c>
      <c r="M829">
        <v>1</v>
      </c>
    </row>
    <row r="830" spans="1:13" x14ac:dyDescent="0.25">
      <c r="A830" t="s">
        <v>738</v>
      </c>
      <c r="B830" t="s">
        <v>52</v>
      </c>
      <c r="C830" t="s">
        <v>14</v>
      </c>
      <c r="D830" t="s">
        <v>22</v>
      </c>
      <c r="E830">
        <v>65</v>
      </c>
      <c r="F830">
        <v>0.2</v>
      </c>
      <c r="G830">
        <v>543</v>
      </c>
      <c r="H830" s="1">
        <v>45455</v>
      </c>
      <c r="I830">
        <v>2024</v>
      </c>
      <c r="J830">
        <v>6</v>
      </c>
      <c r="K830" t="s">
        <v>36</v>
      </c>
      <c r="L830">
        <v>0</v>
      </c>
      <c r="M830">
        <v>1</v>
      </c>
    </row>
    <row r="831" spans="1:13" x14ac:dyDescent="0.25">
      <c r="A831" t="s">
        <v>739</v>
      </c>
      <c r="B831" t="s">
        <v>95</v>
      </c>
      <c r="C831" t="s">
        <v>14</v>
      </c>
      <c r="D831" t="s">
        <v>68</v>
      </c>
      <c r="E831" t="s">
        <v>21</v>
      </c>
      <c r="F831">
        <v>1</v>
      </c>
      <c r="G831">
        <v>39</v>
      </c>
      <c r="H831" s="1">
        <v>45455</v>
      </c>
      <c r="I831">
        <v>2024</v>
      </c>
      <c r="J831">
        <v>6</v>
      </c>
      <c r="K831" t="s">
        <v>30</v>
      </c>
      <c r="L831">
        <v>1</v>
      </c>
      <c r="M831">
        <v>1</v>
      </c>
    </row>
    <row r="832" spans="1:13" x14ac:dyDescent="0.25">
      <c r="A832" t="s">
        <v>740</v>
      </c>
      <c r="B832" t="s">
        <v>18</v>
      </c>
      <c r="C832" t="s">
        <v>14</v>
      </c>
      <c r="D832" t="s">
        <v>55</v>
      </c>
      <c r="E832" t="s">
        <v>21</v>
      </c>
      <c r="F832">
        <v>0.3</v>
      </c>
      <c r="G832">
        <v>95</v>
      </c>
      <c r="H832" s="1">
        <v>45455</v>
      </c>
      <c r="I832">
        <v>2024</v>
      </c>
      <c r="J832">
        <v>6</v>
      </c>
      <c r="K832" t="s">
        <v>30</v>
      </c>
      <c r="L832">
        <v>0</v>
      </c>
      <c r="M832">
        <v>1</v>
      </c>
    </row>
    <row r="833" spans="1:13" x14ac:dyDescent="0.25">
      <c r="A833" t="s">
        <v>741</v>
      </c>
      <c r="B833" t="s">
        <v>24</v>
      </c>
      <c r="C833" t="s">
        <v>83</v>
      </c>
      <c r="D833" t="s">
        <v>97</v>
      </c>
      <c r="E833" t="s">
        <v>21</v>
      </c>
      <c r="F833">
        <v>1</v>
      </c>
      <c r="G833" t="s">
        <v>21</v>
      </c>
      <c r="H833" s="1">
        <v>45454</v>
      </c>
      <c r="I833">
        <v>2024</v>
      </c>
      <c r="J833">
        <v>6</v>
      </c>
      <c r="K833" t="s">
        <v>22</v>
      </c>
      <c r="L833">
        <v>1</v>
      </c>
      <c r="M833">
        <v>1</v>
      </c>
    </row>
    <row r="834" spans="1:13" x14ac:dyDescent="0.25">
      <c r="A834" t="s">
        <v>96</v>
      </c>
      <c r="B834" t="s">
        <v>77</v>
      </c>
      <c r="C834" t="s">
        <v>48</v>
      </c>
      <c r="D834" t="s">
        <v>97</v>
      </c>
      <c r="E834">
        <v>3500</v>
      </c>
      <c r="F834" t="s">
        <v>21</v>
      </c>
      <c r="G834" t="s">
        <v>21</v>
      </c>
      <c r="H834" s="1">
        <v>45453</v>
      </c>
      <c r="I834">
        <v>2024</v>
      </c>
      <c r="J834">
        <v>6</v>
      </c>
      <c r="K834" t="s">
        <v>22</v>
      </c>
      <c r="L834" t="s">
        <v>21</v>
      </c>
      <c r="M834">
        <v>1</v>
      </c>
    </row>
    <row r="835" spans="1:13" x14ac:dyDescent="0.25">
      <c r="A835" t="s">
        <v>742</v>
      </c>
      <c r="B835" t="s">
        <v>13</v>
      </c>
      <c r="C835" t="s">
        <v>48</v>
      </c>
      <c r="D835" t="s">
        <v>22</v>
      </c>
      <c r="E835">
        <v>45</v>
      </c>
      <c r="F835">
        <v>0.11</v>
      </c>
      <c r="G835">
        <v>1</v>
      </c>
      <c r="H835" s="1">
        <v>45453</v>
      </c>
      <c r="I835">
        <v>2024</v>
      </c>
      <c r="J835">
        <v>6</v>
      </c>
      <c r="K835" t="s">
        <v>16</v>
      </c>
      <c r="L835">
        <v>0</v>
      </c>
      <c r="M835">
        <v>1</v>
      </c>
    </row>
    <row r="836" spans="1:13" x14ac:dyDescent="0.25">
      <c r="A836" t="s">
        <v>743</v>
      </c>
      <c r="B836" t="s">
        <v>24</v>
      </c>
      <c r="C836" t="s">
        <v>184</v>
      </c>
      <c r="D836" t="s">
        <v>46</v>
      </c>
      <c r="E836">
        <v>1060</v>
      </c>
      <c r="F836" t="s">
        <v>21</v>
      </c>
      <c r="G836">
        <v>103</v>
      </c>
      <c r="H836" s="1">
        <v>45449</v>
      </c>
      <c r="I836">
        <v>2024</v>
      </c>
      <c r="J836">
        <v>6</v>
      </c>
      <c r="K836" t="s">
        <v>36</v>
      </c>
      <c r="L836" t="s">
        <v>21</v>
      </c>
      <c r="M836">
        <v>1</v>
      </c>
    </row>
    <row r="837" spans="1:13" x14ac:dyDescent="0.25">
      <c r="A837" t="s">
        <v>744</v>
      </c>
      <c r="B837" t="s">
        <v>66</v>
      </c>
      <c r="C837" t="s">
        <v>14</v>
      </c>
      <c r="D837" t="s">
        <v>22</v>
      </c>
      <c r="E837">
        <v>1000</v>
      </c>
      <c r="F837" t="s">
        <v>21</v>
      </c>
      <c r="G837">
        <v>214</v>
      </c>
      <c r="H837" s="1">
        <v>45449</v>
      </c>
      <c r="I837">
        <v>2024</v>
      </c>
      <c r="J837">
        <v>6</v>
      </c>
      <c r="K837" t="s">
        <v>36</v>
      </c>
      <c r="L837" t="s">
        <v>21</v>
      </c>
      <c r="M837">
        <v>1</v>
      </c>
    </row>
    <row r="838" spans="1:13" x14ac:dyDescent="0.25">
      <c r="A838" t="s">
        <v>353</v>
      </c>
      <c r="B838" t="s">
        <v>77</v>
      </c>
      <c r="C838" t="s">
        <v>48</v>
      </c>
      <c r="D838" t="s">
        <v>33</v>
      </c>
      <c r="E838">
        <v>30</v>
      </c>
      <c r="F838" t="s">
        <v>21</v>
      </c>
      <c r="G838">
        <v>72</v>
      </c>
      <c r="H838" s="1">
        <v>45449</v>
      </c>
      <c r="I838">
        <v>2024</v>
      </c>
      <c r="J838">
        <v>6</v>
      </c>
      <c r="K838" t="s">
        <v>30</v>
      </c>
      <c r="L838" t="s">
        <v>21</v>
      </c>
      <c r="M838">
        <v>1</v>
      </c>
    </row>
    <row r="839" spans="1:13" x14ac:dyDescent="0.25">
      <c r="A839" t="s">
        <v>745</v>
      </c>
      <c r="B839" t="s">
        <v>95</v>
      </c>
      <c r="C839" t="s">
        <v>137</v>
      </c>
      <c r="D839" t="s">
        <v>22</v>
      </c>
      <c r="E839">
        <v>150</v>
      </c>
      <c r="F839" t="s">
        <v>21</v>
      </c>
      <c r="G839">
        <v>691</v>
      </c>
      <c r="H839" s="1">
        <v>45448</v>
      </c>
      <c r="I839">
        <v>2024</v>
      </c>
      <c r="J839">
        <v>6</v>
      </c>
      <c r="K839" t="s">
        <v>36</v>
      </c>
      <c r="L839" t="s">
        <v>21</v>
      </c>
      <c r="M839">
        <v>1</v>
      </c>
    </row>
    <row r="840" spans="1:13" x14ac:dyDescent="0.25">
      <c r="A840" t="s">
        <v>746</v>
      </c>
      <c r="B840" t="s">
        <v>77</v>
      </c>
      <c r="C840" t="s">
        <v>29</v>
      </c>
      <c r="D840" t="s">
        <v>15</v>
      </c>
      <c r="E840">
        <v>100</v>
      </c>
      <c r="F840">
        <v>0.2</v>
      </c>
      <c r="G840">
        <v>2000</v>
      </c>
      <c r="H840" s="1">
        <v>45448</v>
      </c>
      <c r="I840">
        <v>2024</v>
      </c>
      <c r="J840">
        <v>6</v>
      </c>
      <c r="K840" t="s">
        <v>26</v>
      </c>
      <c r="L840">
        <v>0</v>
      </c>
      <c r="M840">
        <v>1</v>
      </c>
    </row>
    <row r="841" spans="1:13" x14ac:dyDescent="0.25">
      <c r="A841" t="s">
        <v>115</v>
      </c>
      <c r="B841" t="s">
        <v>95</v>
      </c>
      <c r="C841" t="s">
        <v>29</v>
      </c>
      <c r="D841" t="s">
        <v>22</v>
      </c>
      <c r="E841">
        <v>30</v>
      </c>
      <c r="F841">
        <v>0.3</v>
      </c>
      <c r="G841">
        <v>119</v>
      </c>
      <c r="H841" s="1">
        <v>45448</v>
      </c>
      <c r="I841">
        <v>2024</v>
      </c>
      <c r="J841">
        <v>6</v>
      </c>
      <c r="K841" t="s">
        <v>36</v>
      </c>
      <c r="L841">
        <v>0</v>
      </c>
      <c r="M841">
        <v>1</v>
      </c>
    </row>
    <row r="842" spans="1:13" x14ac:dyDescent="0.25">
      <c r="A842" t="s">
        <v>747</v>
      </c>
      <c r="B842" t="s">
        <v>52</v>
      </c>
      <c r="C842" t="s">
        <v>14</v>
      </c>
      <c r="D842" t="s">
        <v>22</v>
      </c>
      <c r="E842">
        <v>30</v>
      </c>
      <c r="F842">
        <v>0.1</v>
      </c>
      <c r="G842">
        <v>651</v>
      </c>
      <c r="H842" s="1">
        <v>45448</v>
      </c>
      <c r="I842">
        <v>2024</v>
      </c>
      <c r="J842">
        <v>6</v>
      </c>
      <c r="K842" t="s">
        <v>36</v>
      </c>
      <c r="L842">
        <v>0</v>
      </c>
      <c r="M842">
        <v>1</v>
      </c>
    </row>
    <row r="843" spans="1:13" x14ac:dyDescent="0.25">
      <c r="A843" t="s">
        <v>748</v>
      </c>
      <c r="B843" t="s">
        <v>54</v>
      </c>
      <c r="C843" t="s">
        <v>14</v>
      </c>
      <c r="D843" t="s">
        <v>15</v>
      </c>
      <c r="E843" t="s">
        <v>21</v>
      </c>
      <c r="F843">
        <v>0.12</v>
      </c>
      <c r="G843">
        <v>117</v>
      </c>
      <c r="H843" s="1">
        <v>45448</v>
      </c>
      <c r="I843">
        <v>2024</v>
      </c>
      <c r="J843">
        <v>6</v>
      </c>
      <c r="K843" t="s">
        <v>36</v>
      </c>
      <c r="L843">
        <v>0</v>
      </c>
      <c r="M843">
        <v>1</v>
      </c>
    </row>
    <row r="844" spans="1:13" x14ac:dyDescent="0.25">
      <c r="A844" t="s">
        <v>12</v>
      </c>
      <c r="B844" t="s">
        <v>13</v>
      </c>
      <c r="C844" t="s">
        <v>14</v>
      </c>
      <c r="D844" t="s">
        <v>15</v>
      </c>
      <c r="E844">
        <v>1000</v>
      </c>
      <c r="F844" t="s">
        <v>21</v>
      </c>
      <c r="G844">
        <v>1</v>
      </c>
      <c r="H844" s="1">
        <v>45446</v>
      </c>
      <c r="I844">
        <v>2024</v>
      </c>
      <c r="J844">
        <v>6</v>
      </c>
      <c r="K844" t="s">
        <v>16</v>
      </c>
      <c r="L844" t="s">
        <v>21</v>
      </c>
      <c r="M844">
        <v>1</v>
      </c>
    </row>
    <row r="845" spans="1:13" x14ac:dyDescent="0.25">
      <c r="A845" t="s">
        <v>695</v>
      </c>
      <c r="B845" t="s">
        <v>35</v>
      </c>
      <c r="C845" t="s">
        <v>29</v>
      </c>
      <c r="D845" t="s">
        <v>22</v>
      </c>
      <c r="E845">
        <v>100</v>
      </c>
      <c r="F845">
        <v>0.5</v>
      </c>
      <c r="G845">
        <v>86</v>
      </c>
      <c r="H845" s="1">
        <v>45446</v>
      </c>
      <c r="I845">
        <v>2024</v>
      </c>
      <c r="J845">
        <v>6</v>
      </c>
      <c r="K845" t="s">
        <v>30</v>
      </c>
      <c r="L845">
        <v>0</v>
      </c>
      <c r="M845">
        <v>1</v>
      </c>
    </row>
    <row r="846" spans="1:13" x14ac:dyDescent="0.25">
      <c r="A846" t="s">
        <v>108</v>
      </c>
      <c r="B846" t="s">
        <v>18</v>
      </c>
      <c r="C846" t="s">
        <v>14</v>
      </c>
      <c r="D846" t="s">
        <v>15</v>
      </c>
      <c r="E846">
        <v>100</v>
      </c>
      <c r="F846" t="s">
        <v>21</v>
      </c>
      <c r="G846">
        <v>26</v>
      </c>
      <c r="H846" s="1">
        <v>45443</v>
      </c>
      <c r="I846">
        <v>2024</v>
      </c>
      <c r="J846">
        <v>5</v>
      </c>
      <c r="K846" t="s">
        <v>30</v>
      </c>
      <c r="L846" t="s">
        <v>21</v>
      </c>
      <c r="M846">
        <v>1</v>
      </c>
    </row>
    <row r="847" spans="1:13" x14ac:dyDescent="0.25">
      <c r="A847" t="s">
        <v>749</v>
      </c>
      <c r="B847" t="s">
        <v>77</v>
      </c>
      <c r="C847" t="s">
        <v>14</v>
      </c>
      <c r="D847" t="s">
        <v>33</v>
      </c>
      <c r="E847">
        <v>40</v>
      </c>
      <c r="F847" t="s">
        <v>21</v>
      </c>
      <c r="G847">
        <v>67</v>
      </c>
      <c r="H847" s="1">
        <v>45443</v>
      </c>
      <c r="I847">
        <v>2024</v>
      </c>
      <c r="J847">
        <v>5</v>
      </c>
      <c r="K847" t="s">
        <v>30</v>
      </c>
      <c r="L847" t="s">
        <v>21</v>
      </c>
      <c r="M847">
        <v>1</v>
      </c>
    </row>
    <row r="848" spans="1:13" x14ac:dyDescent="0.25">
      <c r="A848" t="s">
        <v>750</v>
      </c>
      <c r="B848" t="s">
        <v>95</v>
      </c>
      <c r="C848" t="s">
        <v>14</v>
      </c>
      <c r="D848" t="s">
        <v>33</v>
      </c>
      <c r="E848" t="s">
        <v>21</v>
      </c>
      <c r="F848">
        <v>0.1</v>
      </c>
      <c r="G848">
        <v>118</v>
      </c>
      <c r="H848" s="1">
        <v>45443</v>
      </c>
      <c r="I848">
        <v>2024</v>
      </c>
      <c r="J848">
        <v>5</v>
      </c>
      <c r="K848" t="s">
        <v>36</v>
      </c>
      <c r="L848">
        <v>0</v>
      </c>
      <c r="M848">
        <v>1</v>
      </c>
    </row>
    <row r="849" spans="1:13" x14ac:dyDescent="0.25">
      <c r="A849" t="s">
        <v>751</v>
      </c>
      <c r="B849" t="s">
        <v>35</v>
      </c>
      <c r="C849" t="s">
        <v>14</v>
      </c>
      <c r="D849" t="s">
        <v>68</v>
      </c>
      <c r="E849" t="s">
        <v>21</v>
      </c>
      <c r="F849" t="s">
        <v>21</v>
      </c>
      <c r="G849">
        <v>32</v>
      </c>
      <c r="H849" s="1">
        <v>45443</v>
      </c>
      <c r="I849">
        <v>2024</v>
      </c>
      <c r="J849">
        <v>5</v>
      </c>
      <c r="K849" t="s">
        <v>30</v>
      </c>
      <c r="L849" t="s">
        <v>21</v>
      </c>
      <c r="M849">
        <v>0</v>
      </c>
    </row>
    <row r="850" spans="1:13" x14ac:dyDescent="0.25">
      <c r="A850" t="s">
        <v>752</v>
      </c>
      <c r="B850" t="s">
        <v>73</v>
      </c>
      <c r="C850" t="s">
        <v>14</v>
      </c>
      <c r="D850" t="s">
        <v>20</v>
      </c>
      <c r="E850">
        <v>73</v>
      </c>
      <c r="F850" t="s">
        <v>21</v>
      </c>
      <c r="G850">
        <v>3</v>
      </c>
      <c r="H850" s="1">
        <v>45442</v>
      </c>
      <c r="I850">
        <v>2024</v>
      </c>
      <c r="J850">
        <v>5</v>
      </c>
      <c r="K850" t="s">
        <v>16</v>
      </c>
      <c r="L850" t="s">
        <v>21</v>
      </c>
      <c r="M850">
        <v>1</v>
      </c>
    </row>
    <row r="851" spans="1:13" x14ac:dyDescent="0.25">
      <c r="A851" t="s">
        <v>753</v>
      </c>
      <c r="B851" t="s">
        <v>140</v>
      </c>
      <c r="C851" t="s">
        <v>14</v>
      </c>
      <c r="D851" t="s">
        <v>22</v>
      </c>
      <c r="E851">
        <v>33</v>
      </c>
      <c r="F851">
        <v>7.0000000000000007E-2</v>
      </c>
      <c r="G851" t="s">
        <v>21</v>
      </c>
      <c r="H851" s="1">
        <v>45442</v>
      </c>
      <c r="I851">
        <v>2024</v>
      </c>
      <c r="J851">
        <v>5</v>
      </c>
      <c r="K851" t="s">
        <v>22</v>
      </c>
      <c r="L851">
        <v>0</v>
      </c>
      <c r="M851">
        <v>1</v>
      </c>
    </row>
    <row r="852" spans="1:13" x14ac:dyDescent="0.25">
      <c r="A852" t="s">
        <v>754</v>
      </c>
      <c r="B852" t="s">
        <v>99</v>
      </c>
      <c r="C852" t="s">
        <v>14</v>
      </c>
      <c r="D852" t="s">
        <v>33</v>
      </c>
      <c r="E852">
        <v>15</v>
      </c>
      <c r="F852">
        <v>0.2</v>
      </c>
      <c r="G852">
        <v>56</v>
      </c>
      <c r="H852" s="1">
        <v>45441</v>
      </c>
      <c r="I852">
        <v>2024</v>
      </c>
      <c r="J852">
        <v>5</v>
      </c>
      <c r="K852" t="s">
        <v>30</v>
      </c>
      <c r="L852">
        <v>0</v>
      </c>
      <c r="M852">
        <v>1</v>
      </c>
    </row>
    <row r="853" spans="1:13" x14ac:dyDescent="0.25">
      <c r="A853" t="s">
        <v>730</v>
      </c>
      <c r="B853" t="s">
        <v>66</v>
      </c>
      <c r="C853" t="s">
        <v>14</v>
      </c>
      <c r="D853" t="s">
        <v>15</v>
      </c>
      <c r="E853" t="s">
        <v>21</v>
      </c>
      <c r="F853" t="s">
        <v>21</v>
      </c>
      <c r="G853">
        <v>1700</v>
      </c>
      <c r="H853" s="1">
        <v>45441</v>
      </c>
      <c r="I853">
        <v>2024</v>
      </c>
      <c r="J853">
        <v>5</v>
      </c>
      <c r="K853" t="s">
        <v>26</v>
      </c>
      <c r="L853" t="s">
        <v>21</v>
      </c>
      <c r="M853">
        <v>0</v>
      </c>
    </row>
    <row r="854" spans="1:13" x14ac:dyDescent="0.25">
      <c r="A854" t="s">
        <v>755</v>
      </c>
      <c r="B854" t="s">
        <v>77</v>
      </c>
      <c r="C854" t="s">
        <v>80</v>
      </c>
      <c r="D854" t="s">
        <v>15</v>
      </c>
      <c r="E854" t="s">
        <v>21</v>
      </c>
      <c r="F854" t="s">
        <v>21</v>
      </c>
      <c r="G854">
        <v>746</v>
      </c>
      <c r="H854" s="1">
        <v>45441</v>
      </c>
      <c r="I854">
        <v>2024</v>
      </c>
      <c r="J854">
        <v>5</v>
      </c>
      <c r="K854" t="s">
        <v>36</v>
      </c>
      <c r="L854" t="s">
        <v>21</v>
      </c>
      <c r="M854">
        <v>0</v>
      </c>
    </row>
    <row r="855" spans="1:13" x14ac:dyDescent="0.25">
      <c r="A855" t="s">
        <v>756</v>
      </c>
      <c r="B855" t="s">
        <v>95</v>
      </c>
      <c r="C855" t="s">
        <v>757</v>
      </c>
      <c r="D855" t="s">
        <v>20</v>
      </c>
      <c r="E855">
        <v>22</v>
      </c>
      <c r="F855" t="s">
        <v>21</v>
      </c>
      <c r="G855">
        <v>1200</v>
      </c>
      <c r="H855" s="1">
        <v>45437</v>
      </c>
      <c r="I855">
        <v>2024</v>
      </c>
      <c r="J855">
        <v>5</v>
      </c>
      <c r="K855" t="s">
        <v>26</v>
      </c>
      <c r="L855" t="s">
        <v>21</v>
      </c>
      <c r="M855">
        <v>1</v>
      </c>
    </row>
    <row r="856" spans="1:13" x14ac:dyDescent="0.25">
      <c r="A856" t="s">
        <v>65</v>
      </c>
      <c r="B856" t="s">
        <v>66</v>
      </c>
      <c r="C856" t="s">
        <v>14</v>
      </c>
      <c r="D856" t="s">
        <v>15</v>
      </c>
      <c r="E856">
        <v>400</v>
      </c>
      <c r="F856">
        <v>0.06</v>
      </c>
      <c r="G856">
        <v>8300</v>
      </c>
      <c r="H856" s="1">
        <v>45436</v>
      </c>
      <c r="I856">
        <v>2024</v>
      </c>
      <c r="J856">
        <v>5</v>
      </c>
      <c r="K856" t="s">
        <v>26</v>
      </c>
      <c r="L856">
        <v>0</v>
      </c>
      <c r="M856">
        <v>1</v>
      </c>
    </row>
    <row r="857" spans="1:13" x14ac:dyDescent="0.25">
      <c r="A857" t="s">
        <v>736</v>
      </c>
      <c r="B857" t="s">
        <v>490</v>
      </c>
      <c r="C857" t="s">
        <v>323</v>
      </c>
      <c r="D857" t="s">
        <v>15</v>
      </c>
      <c r="E857">
        <v>34</v>
      </c>
      <c r="F857">
        <v>0.13</v>
      </c>
      <c r="G857">
        <v>424</v>
      </c>
      <c r="H857" s="1">
        <v>45436</v>
      </c>
      <c r="I857">
        <v>2024</v>
      </c>
      <c r="J857">
        <v>5</v>
      </c>
      <c r="K857" t="s">
        <v>36</v>
      </c>
      <c r="L857">
        <v>0</v>
      </c>
      <c r="M857">
        <v>1</v>
      </c>
    </row>
    <row r="858" spans="1:13" x14ac:dyDescent="0.25">
      <c r="A858" t="s">
        <v>758</v>
      </c>
      <c r="B858" t="s">
        <v>54</v>
      </c>
      <c r="C858" t="s">
        <v>14</v>
      </c>
      <c r="D858" t="s">
        <v>194</v>
      </c>
      <c r="E858">
        <v>105</v>
      </c>
      <c r="F858">
        <v>0.25</v>
      </c>
      <c r="G858">
        <v>390</v>
      </c>
      <c r="H858" s="1">
        <v>45435</v>
      </c>
      <c r="I858">
        <v>2024</v>
      </c>
      <c r="J858">
        <v>5</v>
      </c>
      <c r="K858" t="s">
        <v>36</v>
      </c>
      <c r="L858">
        <v>0</v>
      </c>
      <c r="M858">
        <v>1</v>
      </c>
    </row>
    <row r="859" spans="1:13" x14ac:dyDescent="0.25">
      <c r="A859" t="s">
        <v>759</v>
      </c>
      <c r="B859" t="s">
        <v>106</v>
      </c>
      <c r="C859" t="s">
        <v>14</v>
      </c>
      <c r="D859" t="s">
        <v>43</v>
      </c>
      <c r="E859">
        <v>300</v>
      </c>
      <c r="F859">
        <v>0.25</v>
      </c>
      <c r="G859">
        <v>643</v>
      </c>
      <c r="H859" s="1">
        <v>45434</v>
      </c>
      <c r="I859">
        <v>2024</v>
      </c>
      <c r="J859">
        <v>5</v>
      </c>
      <c r="K859" t="s">
        <v>36</v>
      </c>
      <c r="L859">
        <v>0</v>
      </c>
      <c r="M859">
        <v>1</v>
      </c>
    </row>
    <row r="860" spans="1:13" x14ac:dyDescent="0.25">
      <c r="A860" t="s">
        <v>760</v>
      </c>
      <c r="B860" t="s">
        <v>35</v>
      </c>
      <c r="C860" t="s">
        <v>14</v>
      </c>
      <c r="D860" t="s">
        <v>15</v>
      </c>
      <c r="E860">
        <v>180</v>
      </c>
      <c r="F860">
        <v>1</v>
      </c>
      <c r="G860">
        <v>899</v>
      </c>
      <c r="H860" s="1">
        <v>45434</v>
      </c>
      <c r="I860">
        <v>2024</v>
      </c>
      <c r="J860">
        <v>5</v>
      </c>
      <c r="K860" t="s">
        <v>36</v>
      </c>
      <c r="L860">
        <v>1</v>
      </c>
      <c r="M860">
        <v>1</v>
      </c>
    </row>
    <row r="861" spans="1:13" x14ac:dyDescent="0.25">
      <c r="A861" t="s">
        <v>761</v>
      </c>
      <c r="B861" t="s">
        <v>95</v>
      </c>
      <c r="C861" t="s">
        <v>14</v>
      </c>
      <c r="D861" t="s">
        <v>46</v>
      </c>
      <c r="E861" t="s">
        <v>21</v>
      </c>
      <c r="F861">
        <v>0.3</v>
      </c>
      <c r="G861">
        <v>272</v>
      </c>
      <c r="H861" s="1">
        <v>45434</v>
      </c>
      <c r="I861">
        <v>2024</v>
      </c>
      <c r="J861">
        <v>5</v>
      </c>
      <c r="K861" t="s">
        <v>36</v>
      </c>
      <c r="L861">
        <v>0</v>
      </c>
      <c r="M861">
        <v>1</v>
      </c>
    </row>
    <row r="862" spans="1:13" x14ac:dyDescent="0.25">
      <c r="A862" t="s">
        <v>17</v>
      </c>
      <c r="B862" t="s">
        <v>18</v>
      </c>
      <c r="C862" t="s">
        <v>14</v>
      </c>
      <c r="D862" t="s">
        <v>20</v>
      </c>
      <c r="E862">
        <v>1000</v>
      </c>
      <c r="F862" t="s">
        <v>21</v>
      </c>
      <c r="G862" t="s">
        <v>21</v>
      </c>
      <c r="H862" s="1">
        <v>45433</v>
      </c>
      <c r="I862">
        <v>2024</v>
      </c>
      <c r="J862">
        <v>5</v>
      </c>
      <c r="K862" t="s">
        <v>22</v>
      </c>
      <c r="L862" t="s">
        <v>21</v>
      </c>
      <c r="M862">
        <v>1</v>
      </c>
    </row>
    <row r="863" spans="1:13" x14ac:dyDescent="0.25">
      <c r="A863" t="s">
        <v>762</v>
      </c>
      <c r="B863" t="s">
        <v>40</v>
      </c>
      <c r="C863" t="s">
        <v>14</v>
      </c>
      <c r="D863" t="s">
        <v>33</v>
      </c>
      <c r="E863" t="s">
        <v>21</v>
      </c>
      <c r="F863">
        <v>1</v>
      </c>
      <c r="G863">
        <v>38</v>
      </c>
      <c r="H863" s="1">
        <v>45431</v>
      </c>
      <c r="I863">
        <v>2024</v>
      </c>
      <c r="J863">
        <v>5</v>
      </c>
      <c r="K863" t="s">
        <v>30</v>
      </c>
      <c r="L863">
        <v>1</v>
      </c>
      <c r="M863">
        <v>1</v>
      </c>
    </row>
    <row r="864" spans="1:13" x14ac:dyDescent="0.25">
      <c r="A864" t="s">
        <v>763</v>
      </c>
      <c r="B864" t="s">
        <v>102</v>
      </c>
      <c r="C864" t="s">
        <v>381</v>
      </c>
      <c r="D864" t="s">
        <v>22</v>
      </c>
      <c r="E864">
        <v>4000</v>
      </c>
      <c r="F864" t="s">
        <v>21</v>
      </c>
      <c r="G864" t="s">
        <v>21</v>
      </c>
      <c r="H864" s="1">
        <v>45428</v>
      </c>
      <c r="I864">
        <v>2024</v>
      </c>
      <c r="J864">
        <v>5</v>
      </c>
      <c r="K864" t="s">
        <v>22</v>
      </c>
      <c r="L864" t="s">
        <v>21</v>
      </c>
      <c r="M864">
        <v>1</v>
      </c>
    </row>
    <row r="865" spans="1:13" x14ac:dyDescent="0.25">
      <c r="A865" t="s">
        <v>764</v>
      </c>
      <c r="B865" t="s">
        <v>77</v>
      </c>
      <c r="C865" t="s">
        <v>83</v>
      </c>
      <c r="D865" t="s">
        <v>55</v>
      </c>
      <c r="E865">
        <v>60</v>
      </c>
      <c r="F865" t="s">
        <v>21</v>
      </c>
      <c r="G865">
        <v>1300</v>
      </c>
      <c r="H865" s="1">
        <v>45428</v>
      </c>
      <c r="I865">
        <v>2024</v>
      </c>
      <c r="J865">
        <v>5</v>
      </c>
      <c r="K865" t="s">
        <v>26</v>
      </c>
      <c r="L865" t="s">
        <v>21</v>
      </c>
      <c r="M865">
        <v>1</v>
      </c>
    </row>
    <row r="866" spans="1:13" x14ac:dyDescent="0.25">
      <c r="A866" t="s">
        <v>765</v>
      </c>
      <c r="B866" t="s">
        <v>114</v>
      </c>
      <c r="C866" t="s">
        <v>14</v>
      </c>
      <c r="D866" t="s">
        <v>22</v>
      </c>
      <c r="E866">
        <v>30</v>
      </c>
      <c r="F866">
        <v>0.2</v>
      </c>
      <c r="G866">
        <v>222</v>
      </c>
      <c r="H866" s="1">
        <v>45428</v>
      </c>
      <c r="I866">
        <v>2024</v>
      </c>
      <c r="J866">
        <v>5</v>
      </c>
      <c r="K866" t="s">
        <v>36</v>
      </c>
      <c r="L866">
        <v>0</v>
      </c>
      <c r="M866">
        <v>1</v>
      </c>
    </row>
    <row r="867" spans="1:13" x14ac:dyDescent="0.25">
      <c r="A867" t="s">
        <v>766</v>
      </c>
      <c r="B867" t="s">
        <v>95</v>
      </c>
      <c r="C867" t="s">
        <v>14</v>
      </c>
      <c r="D867" t="s">
        <v>347</v>
      </c>
      <c r="E867" t="s">
        <v>21</v>
      </c>
      <c r="F867">
        <v>0.06</v>
      </c>
      <c r="G867">
        <v>3400</v>
      </c>
      <c r="H867" s="1">
        <v>45428</v>
      </c>
      <c r="I867">
        <v>2024</v>
      </c>
      <c r="J867">
        <v>5</v>
      </c>
      <c r="K867" t="s">
        <v>26</v>
      </c>
      <c r="L867">
        <v>0</v>
      </c>
      <c r="M867">
        <v>1</v>
      </c>
    </row>
    <row r="868" spans="1:13" x14ac:dyDescent="0.25">
      <c r="A868" t="s">
        <v>767</v>
      </c>
      <c r="B868" t="s">
        <v>66</v>
      </c>
      <c r="C868" t="s">
        <v>80</v>
      </c>
      <c r="D868" t="s">
        <v>20</v>
      </c>
      <c r="E868" t="s">
        <v>21</v>
      </c>
      <c r="F868">
        <v>1</v>
      </c>
      <c r="G868">
        <v>39</v>
      </c>
      <c r="H868" s="1">
        <v>45428</v>
      </c>
      <c r="I868">
        <v>2024</v>
      </c>
      <c r="J868">
        <v>5</v>
      </c>
      <c r="K868" t="s">
        <v>30</v>
      </c>
      <c r="L868">
        <v>1</v>
      </c>
      <c r="M868">
        <v>1</v>
      </c>
    </row>
    <row r="869" spans="1:13" x14ac:dyDescent="0.25">
      <c r="A869" t="s">
        <v>768</v>
      </c>
      <c r="B869" t="s">
        <v>45</v>
      </c>
      <c r="C869" t="s">
        <v>14</v>
      </c>
      <c r="D869" t="s">
        <v>46</v>
      </c>
      <c r="E869" t="s">
        <v>21</v>
      </c>
      <c r="F869">
        <v>0.3</v>
      </c>
      <c r="G869" t="s">
        <v>21</v>
      </c>
      <c r="H869" s="1">
        <v>45428</v>
      </c>
      <c r="I869">
        <v>2024</v>
      </c>
      <c r="J869">
        <v>5</v>
      </c>
      <c r="K869" t="s">
        <v>22</v>
      </c>
      <c r="L869">
        <v>0</v>
      </c>
      <c r="M869">
        <v>1</v>
      </c>
    </row>
    <row r="870" spans="1:13" x14ac:dyDescent="0.25">
      <c r="A870" t="s">
        <v>769</v>
      </c>
      <c r="B870" t="s">
        <v>13</v>
      </c>
      <c r="C870" t="s">
        <v>14</v>
      </c>
      <c r="D870" t="s">
        <v>55</v>
      </c>
      <c r="E870">
        <v>100</v>
      </c>
      <c r="F870" t="s">
        <v>21</v>
      </c>
      <c r="G870">
        <v>214</v>
      </c>
      <c r="H870" s="1">
        <v>45427</v>
      </c>
      <c r="I870">
        <v>2024</v>
      </c>
      <c r="J870">
        <v>5</v>
      </c>
      <c r="K870" t="s">
        <v>36</v>
      </c>
      <c r="L870" t="s">
        <v>21</v>
      </c>
      <c r="M870">
        <v>1</v>
      </c>
    </row>
    <row r="871" spans="1:13" x14ac:dyDescent="0.25">
      <c r="A871" t="s">
        <v>770</v>
      </c>
      <c r="B871" t="s">
        <v>13</v>
      </c>
      <c r="C871" t="s">
        <v>14</v>
      </c>
      <c r="D871" t="s">
        <v>33</v>
      </c>
      <c r="E871">
        <v>36</v>
      </c>
      <c r="F871" t="s">
        <v>21</v>
      </c>
      <c r="G871">
        <v>49</v>
      </c>
      <c r="H871" s="1">
        <v>45427</v>
      </c>
      <c r="I871">
        <v>2024</v>
      </c>
      <c r="J871">
        <v>5</v>
      </c>
      <c r="K871" t="s">
        <v>30</v>
      </c>
      <c r="L871" t="s">
        <v>21</v>
      </c>
      <c r="M871">
        <v>1</v>
      </c>
    </row>
    <row r="872" spans="1:13" x14ac:dyDescent="0.25">
      <c r="A872" t="s">
        <v>771</v>
      </c>
      <c r="B872" t="s">
        <v>77</v>
      </c>
      <c r="C872" t="s">
        <v>14</v>
      </c>
      <c r="D872" t="s">
        <v>22</v>
      </c>
      <c r="E872" t="s">
        <v>21</v>
      </c>
      <c r="F872">
        <v>1</v>
      </c>
      <c r="G872">
        <v>3</v>
      </c>
      <c r="H872" s="1">
        <v>45426</v>
      </c>
      <c r="I872">
        <v>2024</v>
      </c>
      <c r="J872">
        <v>5</v>
      </c>
      <c r="K872" t="s">
        <v>16</v>
      </c>
      <c r="L872">
        <v>1</v>
      </c>
      <c r="M872">
        <v>1</v>
      </c>
    </row>
    <row r="873" spans="1:13" x14ac:dyDescent="0.25">
      <c r="A873" t="s">
        <v>334</v>
      </c>
      <c r="B873" t="s">
        <v>40</v>
      </c>
      <c r="C873" t="s">
        <v>14</v>
      </c>
      <c r="D873" t="s">
        <v>20</v>
      </c>
      <c r="E873">
        <v>1000</v>
      </c>
      <c r="F873">
        <v>0.08</v>
      </c>
      <c r="G873">
        <v>5</v>
      </c>
      <c r="H873" s="1">
        <v>45425</v>
      </c>
      <c r="I873">
        <v>2024</v>
      </c>
      <c r="J873">
        <v>5</v>
      </c>
      <c r="K873" t="s">
        <v>16</v>
      </c>
      <c r="L873">
        <v>0</v>
      </c>
      <c r="M873">
        <v>1</v>
      </c>
    </row>
    <row r="874" spans="1:13" x14ac:dyDescent="0.25">
      <c r="A874" t="s">
        <v>772</v>
      </c>
      <c r="B874" t="s">
        <v>66</v>
      </c>
      <c r="C874" t="s">
        <v>14</v>
      </c>
      <c r="D874" t="s">
        <v>22</v>
      </c>
      <c r="E874">
        <v>550</v>
      </c>
      <c r="F874">
        <v>0.4</v>
      </c>
      <c r="G874" t="s">
        <v>21</v>
      </c>
      <c r="H874" s="1">
        <v>45422</v>
      </c>
      <c r="I874">
        <v>2024</v>
      </c>
      <c r="J874">
        <v>5</v>
      </c>
      <c r="K874" t="s">
        <v>22</v>
      </c>
      <c r="L874">
        <v>0</v>
      </c>
      <c r="M874">
        <v>1</v>
      </c>
    </row>
    <row r="875" spans="1:13" x14ac:dyDescent="0.25">
      <c r="A875" t="s">
        <v>85</v>
      </c>
      <c r="B875" t="s">
        <v>66</v>
      </c>
      <c r="C875" t="s">
        <v>14</v>
      </c>
      <c r="D875" t="s">
        <v>15</v>
      </c>
      <c r="E875">
        <v>120</v>
      </c>
      <c r="F875" t="s">
        <v>21</v>
      </c>
      <c r="G875">
        <v>10700</v>
      </c>
      <c r="H875" s="1">
        <v>45422</v>
      </c>
      <c r="I875">
        <v>2024</v>
      </c>
      <c r="J875">
        <v>5</v>
      </c>
      <c r="K875" t="s">
        <v>26</v>
      </c>
      <c r="L875" t="s">
        <v>21</v>
      </c>
      <c r="M875">
        <v>1</v>
      </c>
    </row>
    <row r="876" spans="1:13" x14ac:dyDescent="0.25">
      <c r="A876" t="s">
        <v>108</v>
      </c>
      <c r="B876" t="s">
        <v>18</v>
      </c>
      <c r="C876" t="s">
        <v>14</v>
      </c>
      <c r="D876" t="s">
        <v>15</v>
      </c>
      <c r="E876">
        <v>57</v>
      </c>
      <c r="F876" t="s">
        <v>21</v>
      </c>
      <c r="G876">
        <v>26</v>
      </c>
      <c r="H876" s="1">
        <v>45422</v>
      </c>
      <c r="I876">
        <v>2024</v>
      </c>
      <c r="J876">
        <v>5</v>
      </c>
      <c r="K876" t="s">
        <v>30</v>
      </c>
      <c r="L876" t="s">
        <v>21</v>
      </c>
      <c r="M876">
        <v>1</v>
      </c>
    </row>
    <row r="877" spans="1:13" x14ac:dyDescent="0.25">
      <c r="A877" t="s">
        <v>773</v>
      </c>
      <c r="B877" t="s">
        <v>13</v>
      </c>
      <c r="C877" t="s">
        <v>174</v>
      </c>
      <c r="D877" t="s">
        <v>46</v>
      </c>
      <c r="E877" t="s">
        <v>21</v>
      </c>
      <c r="F877" t="s">
        <v>21</v>
      </c>
      <c r="G877">
        <v>148</v>
      </c>
      <c r="H877" s="1">
        <v>45422</v>
      </c>
      <c r="I877">
        <v>2024</v>
      </c>
      <c r="J877">
        <v>5</v>
      </c>
      <c r="K877" t="s">
        <v>36</v>
      </c>
      <c r="L877" t="s">
        <v>21</v>
      </c>
      <c r="M877">
        <v>0</v>
      </c>
    </row>
    <row r="878" spans="1:13" x14ac:dyDescent="0.25">
      <c r="A878" t="s">
        <v>774</v>
      </c>
      <c r="B878" t="s">
        <v>73</v>
      </c>
      <c r="C878" t="s">
        <v>14</v>
      </c>
      <c r="D878" t="s">
        <v>15</v>
      </c>
      <c r="E878">
        <v>800</v>
      </c>
      <c r="F878">
        <v>0.13</v>
      </c>
      <c r="G878">
        <v>834</v>
      </c>
      <c r="H878" s="1">
        <v>45421</v>
      </c>
      <c r="I878">
        <v>2024</v>
      </c>
      <c r="J878">
        <v>5</v>
      </c>
      <c r="K878" t="s">
        <v>36</v>
      </c>
      <c r="L878">
        <v>0</v>
      </c>
      <c r="M878">
        <v>1</v>
      </c>
    </row>
    <row r="879" spans="1:13" x14ac:dyDescent="0.25">
      <c r="A879" t="s">
        <v>775</v>
      </c>
      <c r="B879" t="s">
        <v>35</v>
      </c>
      <c r="C879" t="s">
        <v>29</v>
      </c>
      <c r="D879" t="s">
        <v>55</v>
      </c>
      <c r="E879">
        <v>40</v>
      </c>
      <c r="F879">
        <v>0.3</v>
      </c>
      <c r="G879">
        <v>124</v>
      </c>
      <c r="H879" s="1">
        <v>45421</v>
      </c>
      <c r="I879">
        <v>2024</v>
      </c>
      <c r="J879">
        <v>5</v>
      </c>
      <c r="K879" t="s">
        <v>36</v>
      </c>
      <c r="L879">
        <v>0</v>
      </c>
      <c r="M879">
        <v>1</v>
      </c>
    </row>
    <row r="880" spans="1:13" x14ac:dyDescent="0.25">
      <c r="A880" t="s">
        <v>776</v>
      </c>
      <c r="B880" t="s">
        <v>106</v>
      </c>
      <c r="C880" t="s">
        <v>48</v>
      </c>
      <c r="D880" t="s">
        <v>20</v>
      </c>
      <c r="E880">
        <v>145</v>
      </c>
      <c r="F880">
        <v>0.25</v>
      </c>
      <c r="G880" t="s">
        <v>21</v>
      </c>
      <c r="H880" s="1">
        <v>45420</v>
      </c>
      <c r="I880">
        <v>2024</v>
      </c>
      <c r="J880">
        <v>5</v>
      </c>
      <c r="K880" t="s">
        <v>22</v>
      </c>
      <c r="L880">
        <v>0</v>
      </c>
      <c r="M880">
        <v>1</v>
      </c>
    </row>
    <row r="881" spans="1:13" x14ac:dyDescent="0.25">
      <c r="A881" t="s">
        <v>353</v>
      </c>
      <c r="B881" t="s">
        <v>77</v>
      </c>
      <c r="C881" t="s">
        <v>48</v>
      </c>
      <c r="D881" t="s">
        <v>33</v>
      </c>
      <c r="E881">
        <v>100</v>
      </c>
      <c r="F881">
        <v>0.15</v>
      </c>
      <c r="G881">
        <v>72</v>
      </c>
      <c r="H881" s="1">
        <v>45420</v>
      </c>
      <c r="I881">
        <v>2024</v>
      </c>
      <c r="J881">
        <v>5</v>
      </c>
      <c r="K881" t="s">
        <v>30</v>
      </c>
      <c r="L881">
        <v>0</v>
      </c>
      <c r="M881">
        <v>1</v>
      </c>
    </row>
    <row r="882" spans="1:13" x14ac:dyDescent="0.25">
      <c r="A882" t="s">
        <v>777</v>
      </c>
      <c r="B882" t="s">
        <v>18</v>
      </c>
      <c r="C882" t="s">
        <v>14</v>
      </c>
      <c r="D882" t="s">
        <v>22</v>
      </c>
      <c r="E882">
        <v>96</v>
      </c>
      <c r="F882">
        <v>1</v>
      </c>
      <c r="G882" t="s">
        <v>21</v>
      </c>
      <c r="H882" s="1">
        <v>45420</v>
      </c>
      <c r="I882">
        <v>2024</v>
      </c>
      <c r="J882">
        <v>5</v>
      </c>
      <c r="K882" t="s">
        <v>22</v>
      </c>
      <c r="L882">
        <v>1</v>
      </c>
      <c r="M882">
        <v>1</v>
      </c>
    </row>
    <row r="883" spans="1:13" x14ac:dyDescent="0.25">
      <c r="A883" t="s">
        <v>778</v>
      </c>
      <c r="B883" t="s">
        <v>70</v>
      </c>
      <c r="C883" t="s">
        <v>14</v>
      </c>
      <c r="D883" t="s">
        <v>33</v>
      </c>
      <c r="E883" t="s">
        <v>21</v>
      </c>
      <c r="F883">
        <v>1</v>
      </c>
      <c r="G883">
        <v>64</v>
      </c>
      <c r="H883" s="1">
        <v>45420</v>
      </c>
      <c r="I883">
        <v>2024</v>
      </c>
      <c r="J883">
        <v>5</v>
      </c>
      <c r="K883" t="s">
        <v>30</v>
      </c>
      <c r="L883">
        <v>1</v>
      </c>
      <c r="M883">
        <v>1</v>
      </c>
    </row>
    <row r="884" spans="1:13" x14ac:dyDescent="0.25">
      <c r="A884" t="s">
        <v>779</v>
      </c>
      <c r="B884" t="s">
        <v>13</v>
      </c>
      <c r="C884" t="s">
        <v>174</v>
      </c>
      <c r="D884" t="s">
        <v>15</v>
      </c>
      <c r="E884" t="s">
        <v>21</v>
      </c>
      <c r="F884">
        <v>0.06</v>
      </c>
      <c r="G884">
        <v>79</v>
      </c>
      <c r="H884" s="1">
        <v>45420</v>
      </c>
      <c r="I884">
        <v>2024</v>
      </c>
      <c r="J884">
        <v>5</v>
      </c>
      <c r="K884" t="s">
        <v>30</v>
      </c>
      <c r="L884">
        <v>0</v>
      </c>
      <c r="M884">
        <v>1</v>
      </c>
    </row>
    <row r="885" spans="1:13" x14ac:dyDescent="0.25">
      <c r="A885" t="s">
        <v>780</v>
      </c>
      <c r="B885" t="s">
        <v>13</v>
      </c>
      <c r="C885" t="s">
        <v>80</v>
      </c>
      <c r="D885" t="s">
        <v>55</v>
      </c>
      <c r="E885" t="s">
        <v>21</v>
      </c>
      <c r="F885" t="s">
        <v>21</v>
      </c>
      <c r="G885">
        <v>1000</v>
      </c>
      <c r="H885" s="1">
        <v>45419</v>
      </c>
      <c r="I885">
        <v>2024</v>
      </c>
      <c r="J885">
        <v>5</v>
      </c>
      <c r="K885" t="s">
        <v>26</v>
      </c>
      <c r="L885" t="s">
        <v>21</v>
      </c>
      <c r="M885">
        <v>0</v>
      </c>
    </row>
    <row r="886" spans="1:13" x14ac:dyDescent="0.25">
      <c r="A886" t="s">
        <v>781</v>
      </c>
      <c r="B886" t="s">
        <v>217</v>
      </c>
      <c r="C886" t="s">
        <v>14</v>
      </c>
      <c r="D886" t="s">
        <v>15</v>
      </c>
      <c r="E886">
        <v>170</v>
      </c>
      <c r="F886">
        <v>0.33</v>
      </c>
      <c r="G886">
        <v>516</v>
      </c>
      <c r="H886" s="1">
        <v>45418</v>
      </c>
      <c r="I886">
        <v>2024</v>
      </c>
      <c r="J886">
        <v>5</v>
      </c>
      <c r="K886" t="s">
        <v>36</v>
      </c>
      <c r="L886">
        <v>0</v>
      </c>
      <c r="M886">
        <v>1</v>
      </c>
    </row>
    <row r="887" spans="1:13" x14ac:dyDescent="0.25">
      <c r="A887" t="s">
        <v>760</v>
      </c>
      <c r="B887" t="s">
        <v>35</v>
      </c>
      <c r="C887" t="s">
        <v>14</v>
      </c>
      <c r="D887" t="s">
        <v>15</v>
      </c>
      <c r="E887">
        <v>230</v>
      </c>
      <c r="F887">
        <v>0.49</v>
      </c>
      <c r="G887">
        <v>899</v>
      </c>
      <c r="H887" s="1">
        <v>45415</v>
      </c>
      <c r="I887">
        <v>2024</v>
      </c>
      <c r="J887">
        <v>5</v>
      </c>
      <c r="K887" t="s">
        <v>36</v>
      </c>
      <c r="L887">
        <v>0</v>
      </c>
      <c r="M887">
        <v>1</v>
      </c>
    </row>
    <row r="888" spans="1:13" x14ac:dyDescent="0.25">
      <c r="A888" t="s">
        <v>85</v>
      </c>
      <c r="B888" t="s">
        <v>66</v>
      </c>
      <c r="C888" t="s">
        <v>14</v>
      </c>
      <c r="D888" t="s">
        <v>15</v>
      </c>
      <c r="E888">
        <v>150</v>
      </c>
      <c r="F888">
        <v>0.01</v>
      </c>
      <c r="G888">
        <v>10700</v>
      </c>
      <c r="H888" s="1">
        <v>45415</v>
      </c>
      <c r="I888">
        <v>2024</v>
      </c>
      <c r="J888">
        <v>5</v>
      </c>
      <c r="K888" t="s">
        <v>26</v>
      </c>
      <c r="L888">
        <v>0</v>
      </c>
      <c r="M888">
        <v>1</v>
      </c>
    </row>
    <row r="889" spans="1:13" x14ac:dyDescent="0.25">
      <c r="A889" t="s">
        <v>426</v>
      </c>
      <c r="B889" t="s">
        <v>66</v>
      </c>
      <c r="C889" t="s">
        <v>14</v>
      </c>
      <c r="D889" t="s">
        <v>15</v>
      </c>
      <c r="E889">
        <v>140</v>
      </c>
      <c r="F889">
        <v>0.2</v>
      </c>
      <c r="G889">
        <v>780</v>
      </c>
      <c r="H889" s="1">
        <v>45415</v>
      </c>
      <c r="I889">
        <v>2024</v>
      </c>
      <c r="J889">
        <v>5</v>
      </c>
      <c r="K889" t="s">
        <v>36</v>
      </c>
      <c r="L889">
        <v>0</v>
      </c>
      <c r="M889">
        <v>1</v>
      </c>
    </row>
    <row r="890" spans="1:13" x14ac:dyDescent="0.25">
      <c r="A890" t="s">
        <v>500</v>
      </c>
      <c r="B890" t="s">
        <v>89</v>
      </c>
      <c r="C890" t="s">
        <v>14</v>
      </c>
      <c r="D890" t="s">
        <v>15</v>
      </c>
      <c r="E890">
        <v>116</v>
      </c>
      <c r="F890">
        <v>0.03</v>
      </c>
      <c r="G890">
        <v>429</v>
      </c>
      <c r="H890" s="1">
        <v>45415</v>
      </c>
      <c r="I890">
        <v>2024</v>
      </c>
      <c r="J890">
        <v>5</v>
      </c>
      <c r="K890" t="s">
        <v>36</v>
      </c>
      <c r="L890">
        <v>0</v>
      </c>
      <c r="M890">
        <v>1</v>
      </c>
    </row>
    <row r="891" spans="1:13" x14ac:dyDescent="0.25">
      <c r="A891" t="s">
        <v>782</v>
      </c>
      <c r="B891" t="s">
        <v>52</v>
      </c>
      <c r="C891" t="s">
        <v>14</v>
      </c>
      <c r="D891" t="s">
        <v>15</v>
      </c>
      <c r="E891">
        <v>28</v>
      </c>
      <c r="F891" t="s">
        <v>21</v>
      </c>
      <c r="G891">
        <v>932</v>
      </c>
      <c r="H891" s="1">
        <v>45415</v>
      </c>
      <c r="I891">
        <v>2024</v>
      </c>
      <c r="J891">
        <v>5</v>
      </c>
      <c r="K891" t="s">
        <v>36</v>
      </c>
      <c r="L891" t="s">
        <v>21</v>
      </c>
      <c r="M891">
        <v>1</v>
      </c>
    </row>
    <row r="892" spans="1:13" x14ac:dyDescent="0.25">
      <c r="A892" t="s">
        <v>272</v>
      </c>
      <c r="B892" t="s">
        <v>207</v>
      </c>
      <c r="C892" t="s">
        <v>14</v>
      </c>
      <c r="D892" t="s">
        <v>15</v>
      </c>
      <c r="E892">
        <v>400</v>
      </c>
      <c r="F892">
        <v>0.15</v>
      </c>
      <c r="G892">
        <v>1900</v>
      </c>
      <c r="H892" s="1">
        <v>45414</v>
      </c>
      <c r="I892">
        <v>2024</v>
      </c>
      <c r="J892">
        <v>5</v>
      </c>
      <c r="K892" t="s">
        <v>26</v>
      </c>
      <c r="L892">
        <v>0</v>
      </c>
      <c r="M892">
        <v>1</v>
      </c>
    </row>
    <row r="893" spans="1:13" x14ac:dyDescent="0.25">
      <c r="A893" t="s">
        <v>783</v>
      </c>
      <c r="B893" t="s">
        <v>66</v>
      </c>
      <c r="C893" t="s">
        <v>757</v>
      </c>
      <c r="D893" t="s">
        <v>22</v>
      </c>
      <c r="E893">
        <v>29</v>
      </c>
      <c r="F893" t="s">
        <v>21</v>
      </c>
      <c r="G893">
        <v>601</v>
      </c>
      <c r="H893" s="1">
        <v>45414</v>
      </c>
      <c r="I893">
        <v>2024</v>
      </c>
      <c r="J893">
        <v>5</v>
      </c>
      <c r="K893" t="s">
        <v>36</v>
      </c>
      <c r="L893" t="s">
        <v>21</v>
      </c>
      <c r="M893">
        <v>1</v>
      </c>
    </row>
    <row r="894" spans="1:13" x14ac:dyDescent="0.25">
      <c r="A894" t="s">
        <v>108</v>
      </c>
      <c r="B894" t="s">
        <v>18</v>
      </c>
      <c r="C894" t="s">
        <v>14</v>
      </c>
      <c r="D894" t="s">
        <v>15</v>
      </c>
      <c r="E894">
        <v>200</v>
      </c>
      <c r="F894" t="s">
        <v>21</v>
      </c>
      <c r="G894">
        <v>26</v>
      </c>
      <c r="H894" s="1">
        <v>45413</v>
      </c>
      <c r="I894">
        <v>2024</v>
      </c>
      <c r="J894">
        <v>5</v>
      </c>
      <c r="K894" t="s">
        <v>30</v>
      </c>
      <c r="L894" t="s">
        <v>21</v>
      </c>
      <c r="M894">
        <v>1</v>
      </c>
    </row>
    <row r="895" spans="1:13" x14ac:dyDescent="0.25">
      <c r="A895" t="s">
        <v>784</v>
      </c>
      <c r="B895" t="s">
        <v>77</v>
      </c>
      <c r="C895" t="s">
        <v>14</v>
      </c>
      <c r="D895" t="s">
        <v>20</v>
      </c>
      <c r="E895">
        <v>112</v>
      </c>
      <c r="F895">
        <v>1</v>
      </c>
      <c r="G895" t="s">
        <v>21</v>
      </c>
      <c r="H895" s="1">
        <v>45413</v>
      </c>
      <c r="I895">
        <v>2024</v>
      </c>
      <c r="J895">
        <v>5</v>
      </c>
      <c r="K895" t="s">
        <v>22</v>
      </c>
      <c r="L895">
        <v>1</v>
      </c>
      <c r="M895">
        <v>1</v>
      </c>
    </row>
    <row r="896" spans="1:13" x14ac:dyDescent="0.25">
      <c r="A896" t="s">
        <v>785</v>
      </c>
      <c r="B896" t="s">
        <v>77</v>
      </c>
      <c r="C896" t="s">
        <v>14</v>
      </c>
      <c r="D896" t="s">
        <v>33</v>
      </c>
      <c r="E896" t="s">
        <v>21</v>
      </c>
      <c r="F896">
        <v>1</v>
      </c>
      <c r="G896">
        <v>38</v>
      </c>
      <c r="H896" s="1">
        <v>45413</v>
      </c>
      <c r="I896">
        <v>2024</v>
      </c>
      <c r="J896">
        <v>5</v>
      </c>
      <c r="K896" t="s">
        <v>30</v>
      </c>
      <c r="L896">
        <v>1</v>
      </c>
      <c r="M896">
        <v>1</v>
      </c>
    </row>
    <row r="897" spans="1:13" x14ac:dyDescent="0.25">
      <c r="A897" t="s">
        <v>786</v>
      </c>
      <c r="B897" t="s">
        <v>66</v>
      </c>
      <c r="C897" t="s">
        <v>14</v>
      </c>
      <c r="D897" t="s">
        <v>15</v>
      </c>
      <c r="E897">
        <v>500</v>
      </c>
      <c r="F897" t="s">
        <v>21</v>
      </c>
      <c r="G897">
        <v>20200</v>
      </c>
      <c r="H897" s="1">
        <v>45412</v>
      </c>
      <c r="I897">
        <v>2024</v>
      </c>
      <c r="J897">
        <v>4</v>
      </c>
      <c r="K897" t="s">
        <v>26</v>
      </c>
      <c r="L897" t="s">
        <v>21</v>
      </c>
      <c r="M897">
        <v>1</v>
      </c>
    </row>
    <row r="898" spans="1:13" x14ac:dyDescent="0.25">
      <c r="A898" t="s">
        <v>787</v>
      </c>
      <c r="B898" t="s">
        <v>77</v>
      </c>
      <c r="C898" t="s">
        <v>29</v>
      </c>
      <c r="D898" t="s">
        <v>33</v>
      </c>
      <c r="E898">
        <v>50</v>
      </c>
      <c r="F898">
        <v>0.5</v>
      </c>
      <c r="G898">
        <v>30</v>
      </c>
      <c r="H898" s="1">
        <v>45412</v>
      </c>
      <c r="I898">
        <v>2024</v>
      </c>
      <c r="J898">
        <v>4</v>
      </c>
      <c r="K898" t="s">
        <v>30</v>
      </c>
      <c r="L898">
        <v>0</v>
      </c>
      <c r="M898">
        <v>1</v>
      </c>
    </row>
    <row r="899" spans="1:13" x14ac:dyDescent="0.25">
      <c r="A899" t="s">
        <v>788</v>
      </c>
      <c r="B899" t="s">
        <v>35</v>
      </c>
      <c r="C899" t="s">
        <v>14</v>
      </c>
      <c r="D899" t="s">
        <v>15</v>
      </c>
      <c r="E899" t="s">
        <v>21</v>
      </c>
      <c r="F899">
        <v>0.46</v>
      </c>
      <c r="G899">
        <v>271</v>
      </c>
      <c r="H899" s="1">
        <v>45412</v>
      </c>
      <c r="I899">
        <v>2024</v>
      </c>
      <c r="J899">
        <v>4</v>
      </c>
      <c r="K899" t="s">
        <v>36</v>
      </c>
      <c r="L899">
        <v>0</v>
      </c>
      <c r="M899">
        <v>1</v>
      </c>
    </row>
    <row r="900" spans="1:13" x14ac:dyDescent="0.25">
      <c r="A900" t="s">
        <v>108</v>
      </c>
      <c r="B900" t="s">
        <v>18</v>
      </c>
      <c r="C900" t="s">
        <v>14</v>
      </c>
      <c r="D900" t="s">
        <v>15</v>
      </c>
      <c r="E900" t="s">
        <v>21</v>
      </c>
      <c r="F900" t="s">
        <v>21</v>
      </c>
      <c r="G900">
        <v>26</v>
      </c>
      <c r="H900" s="1">
        <v>45412</v>
      </c>
      <c r="I900">
        <v>2024</v>
      </c>
      <c r="J900">
        <v>4</v>
      </c>
      <c r="K900" t="s">
        <v>30</v>
      </c>
      <c r="L900" t="s">
        <v>21</v>
      </c>
      <c r="M900">
        <v>0</v>
      </c>
    </row>
    <row r="901" spans="1:13" x14ac:dyDescent="0.25">
      <c r="A901" t="s">
        <v>789</v>
      </c>
      <c r="B901" t="s">
        <v>95</v>
      </c>
      <c r="C901" t="s">
        <v>80</v>
      </c>
      <c r="D901" t="s">
        <v>111</v>
      </c>
      <c r="E901">
        <v>3300</v>
      </c>
      <c r="F901" t="s">
        <v>21</v>
      </c>
      <c r="G901">
        <v>1800</v>
      </c>
      <c r="H901" s="1">
        <v>45411</v>
      </c>
      <c r="I901">
        <v>2024</v>
      </c>
      <c r="J901">
        <v>4</v>
      </c>
      <c r="K901" t="s">
        <v>26</v>
      </c>
      <c r="L901" t="s">
        <v>21</v>
      </c>
      <c r="M901">
        <v>1</v>
      </c>
    </row>
    <row r="902" spans="1:13" x14ac:dyDescent="0.25">
      <c r="A902" t="s">
        <v>790</v>
      </c>
      <c r="B902" t="s">
        <v>66</v>
      </c>
      <c r="C902" t="s">
        <v>48</v>
      </c>
      <c r="D902" t="s">
        <v>429</v>
      </c>
      <c r="E902">
        <v>180</v>
      </c>
      <c r="F902">
        <v>0.1</v>
      </c>
      <c r="G902">
        <v>5000</v>
      </c>
      <c r="H902" s="1">
        <v>45411</v>
      </c>
      <c r="I902">
        <v>2024</v>
      </c>
      <c r="J902">
        <v>4</v>
      </c>
      <c r="K902" t="s">
        <v>26</v>
      </c>
      <c r="L902">
        <v>0</v>
      </c>
      <c r="M902">
        <v>1</v>
      </c>
    </row>
    <row r="903" spans="1:13" x14ac:dyDescent="0.25">
      <c r="A903" t="s">
        <v>717</v>
      </c>
      <c r="B903" t="s">
        <v>66</v>
      </c>
      <c r="C903" t="s">
        <v>64</v>
      </c>
      <c r="D903" t="s">
        <v>111</v>
      </c>
      <c r="E903">
        <v>21</v>
      </c>
      <c r="F903">
        <v>0.1</v>
      </c>
      <c r="G903">
        <v>974</v>
      </c>
      <c r="H903" s="1">
        <v>45411</v>
      </c>
      <c r="I903">
        <v>2024</v>
      </c>
      <c r="J903">
        <v>4</v>
      </c>
      <c r="K903" t="s">
        <v>36</v>
      </c>
      <c r="L903">
        <v>0</v>
      </c>
      <c r="M903">
        <v>1</v>
      </c>
    </row>
    <row r="904" spans="1:13" x14ac:dyDescent="0.25">
      <c r="A904" t="s">
        <v>791</v>
      </c>
      <c r="B904" t="s">
        <v>77</v>
      </c>
      <c r="C904" t="s">
        <v>14</v>
      </c>
      <c r="D904" t="s">
        <v>49</v>
      </c>
      <c r="E904" t="s">
        <v>21</v>
      </c>
      <c r="F904">
        <v>1</v>
      </c>
      <c r="G904">
        <v>6</v>
      </c>
      <c r="H904" s="1">
        <v>45411</v>
      </c>
      <c r="I904">
        <v>2024</v>
      </c>
      <c r="J904">
        <v>4</v>
      </c>
      <c r="K904" t="s">
        <v>16</v>
      </c>
      <c r="L904">
        <v>1</v>
      </c>
      <c r="M904">
        <v>1</v>
      </c>
    </row>
    <row r="905" spans="1:13" x14ac:dyDescent="0.25">
      <c r="A905" t="s">
        <v>730</v>
      </c>
      <c r="B905" t="s">
        <v>66</v>
      </c>
      <c r="C905" t="s">
        <v>14</v>
      </c>
      <c r="D905" t="s">
        <v>15</v>
      </c>
      <c r="E905" t="s">
        <v>21</v>
      </c>
      <c r="F905" t="s">
        <v>21</v>
      </c>
      <c r="G905">
        <v>1700</v>
      </c>
      <c r="H905" s="1">
        <v>45411</v>
      </c>
      <c r="I905">
        <v>2024</v>
      </c>
      <c r="J905">
        <v>4</v>
      </c>
      <c r="K905" t="s">
        <v>26</v>
      </c>
      <c r="L905" t="s">
        <v>21</v>
      </c>
      <c r="M905">
        <v>0</v>
      </c>
    </row>
    <row r="906" spans="1:13" x14ac:dyDescent="0.25">
      <c r="A906" t="s">
        <v>792</v>
      </c>
      <c r="B906" t="s">
        <v>35</v>
      </c>
      <c r="C906" t="s">
        <v>48</v>
      </c>
      <c r="D906" t="s">
        <v>55</v>
      </c>
      <c r="E906">
        <v>150</v>
      </c>
      <c r="F906">
        <v>0.27</v>
      </c>
      <c r="G906">
        <v>130</v>
      </c>
      <c r="H906" s="1">
        <v>45409</v>
      </c>
      <c r="I906">
        <v>2024</v>
      </c>
      <c r="J906">
        <v>4</v>
      </c>
      <c r="K906" t="s">
        <v>36</v>
      </c>
      <c r="L906">
        <v>0</v>
      </c>
      <c r="M906">
        <v>1</v>
      </c>
    </row>
    <row r="907" spans="1:13" x14ac:dyDescent="0.25">
      <c r="A907" t="s">
        <v>793</v>
      </c>
      <c r="B907" t="s">
        <v>490</v>
      </c>
      <c r="C907" t="s">
        <v>14</v>
      </c>
      <c r="D907" t="s">
        <v>33</v>
      </c>
      <c r="E907">
        <v>30</v>
      </c>
      <c r="F907">
        <v>0.25</v>
      </c>
      <c r="G907">
        <v>158</v>
      </c>
      <c r="H907" s="1">
        <v>45407</v>
      </c>
      <c r="I907">
        <v>2024</v>
      </c>
      <c r="J907">
        <v>4</v>
      </c>
      <c r="K907" t="s">
        <v>36</v>
      </c>
      <c r="L907">
        <v>0</v>
      </c>
      <c r="M907">
        <v>1</v>
      </c>
    </row>
    <row r="908" spans="1:13" x14ac:dyDescent="0.25">
      <c r="A908" t="s">
        <v>794</v>
      </c>
      <c r="B908" t="s">
        <v>54</v>
      </c>
      <c r="C908" t="s">
        <v>14</v>
      </c>
      <c r="D908" t="s">
        <v>33</v>
      </c>
      <c r="E908" t="s">
        <v>21</v>
      </c>
      <c r="F908" t="s">
        <v>21</v>
      </c>
      <c r="G908">
        <v>145</v>
      </c>
      <c r="H908" s="1">
        <v>45407</v>
      </c>
      <c r="I908">
        <v>2024</v>
      </c>
      <c r="J908">
        <v>4</v>
      </c>
      <c r="K908" t="s">
        <v>36</v>
      </c>
      <c r="L908" t="s">
        <v>21</v>
      </c>
      <c r="M908">
        <v>0</v>
      </c>
    </row>
    <row r="909" spans="1:13" x14ac:dyDescent="0.25">
      <c r="A909" t="s">
        <v>270</v>
      </c>
      <c r="B909" t="s">
        <v>73</v>
      </c>
      <c r="C909" t="s">
        <v>14</v>
      </c>
      <c r="D909" t="s">
        <v>15</v>
      </c>
      <c r="E909" t="s">
        <v>21</v>
      </c>
      <c r="F909" t="s">
        <v>21</v>
      </c>
      <c r="G909">
        <v>3300</v>
      </c>
      <c r="H909" s="1">
        <v>45406</v>
      </c>
      <c r="I909">
        <v>2024</v>
      </c>
      <c r="J909">
        <v>4</v>
      </c>
      <c r="K909" t="s">
        <v>26</v>
      </c>
      <c r="L909" t="s">
        <v>21</v>
      </c>
      <c r="M909">
        <v>0</v>
      </c>
    </row>
    <row r="910" spans="1:13" x14ac:dyDescent="0.25">
      <c r="A910" t="s">
        <v>795</v>
      </c>
      <c r="B910" t="s">
        <v>35</v>
      </c>
      <c r="C910" t="s">
        <v>14</v>
      </c>
      <c r="D910" t="s">
        <v>111</v>
      </c>
      <c r="E910">
        <v>100</v>
      </c>
      <c r="F910">
        <v>0.2</v>
      </c>
      <c r="G910">
        <v>1400</v>
      </c>
      <c r="H910" s="1">
        <v>45405</v>
      </c>
      <c r="I910">
        <v>2024</v>
      </c>
      <c r="J910">
        <v>4</v>
      </c>
      <c r="K910" t="s">
        <v>26</v>
      </c>
      <c r="L910">
        <v>0</v>
      </c>
      <c r="M910">
        <v>1</v>
      </c>
    </row>
    <row r="911" spans="1:13" x14ac:dyDescent="0.25">
      <c r="A911" t="s">
        <v>796</v>
      </c>
      <c r="B911" t="s">
        <v>24</v>
      </c>
      <c r="C911" t="s">
        <v>274</v>
      </c>
      <c r="D911" t="s">
        <v>20</v>
      </c>
      <c r="E911">
        <v>100</v>
      </c>
      <c r="F911">
        <v>0.16</v>
      </c>
      <c r="G911" t="s">
        <v>21</v>
      </c>
      <c r="H911" s="1">
        <v>45405</v>
      </c>
      <c r="I911">
        <v>2024</v>
      </c>
      <c r="J911">
        <v>4</v>
      </c>
      <c r="K911" t="s">
        <v>22</v>
      </c>
      <c r="L911">
        <v>0</v>
      </c>
      <c r="M911">
        <v>1</v>
      </c>
    </row>
    <row r="912" spans="1:13" x14ac:dyDescent="0.25">
      <c r="A912" t="s">
        <v>797</v>
      </c>
      <c r="B912" t="s">
        <v>35</v>
      </c>
      <c r="C912" t="s">
        <v>14</v>
      </c>
      <c r="D912" t="s">
        <v>20</v>
      </c>
      <c r="E912" t="s">
        <v>21</v>
      </c>
      <c r="F912" t="s">
        <v>21</v>
      </c>
      <c r="G912">
        <v>299</v>
      </c>
      <c r="H912" s="1">
        <v>45405</v>
      </c>
      <c r="I912">
        <v>2024</v>
      </c>
      <c r="J912">
        <v>4</v>
      </c>
      <c r="K912" t="s">
        <v>36</v>
      </c>
      <c r="L912" t="s">
        <v>21</v>
      </c>
      <c r="M912">
        <v>0</v>
      </c>
    </row>
    <row r="913" spans="1:13" x14ac:dyDescent="0.25">
      <c r="A913" t="s">
        <v>798</v>
      </c>
      <c r="B913" t="s">
        <v>114</v>
      </c>
      <c r="C913" t="s">
        <v>14</v>
      </c>
      <c r="D913" t="s">
        <v>194</v>
      </c>
      <c r="E913">
        <v>150</v>
      </c>
      <c r="F913">
        <v>0.08</v>
      </c>
      <c r="G913">
        <v>802</v>
      </c>
      <c r="H913" s="1">
        <v>45401</v>
      </c>
      <c r="I913">
        <v>2024</v>
      </c>
      <c r="J913">
        <v>4</v>
      </c>
      <c r="K913" t="s">
        <v>36</v>
      </c>
      <c r="L913">
        <v>0</v>
      </c>
      <c r="M913">
        <v>1</v>
      </c>
    </row>
    <row r="914" spans="1:13" x14ac:dyDescent="0.25">
      <c r="A914" t="s">
        <v>799</v>
      </c>
      <c r="B914" t="s">
        <v>91</v>
      </c>
      <c r="C914" t="s">
        <v>14</v>
      </c>
      <c r="D914" t="s">
        <v>33</v>
      </c>
      <c r="E914" t="s">
        <v>21</v>
      </c>
      <c r="F914" t="s">
        <v>21</v>
      </c>
      <c r="G914">
        <v>35</v>
      </c>
      <c r="H914" s="1">
        <v>45401</v>
      </c>
      <c r="I914">
        <v>2024</v>
      </c>
      <c r="J914">
        <v>4</v>
      </c>
      <c r="K914" t="s">
        <v>30</v>
      </c>
      <c r="L914" t="s">
        <v>21</v>
      </c>
      <c r="M914">
        <v>0</v>
      </c>
    </row>
    <row r="915" spans="1:13" x14ac:dyDescent="0.25">
      <c r="A915" t="s">
        <v>800</v>
      </c>
      <c r="B915" t="s">
        <v>24</v>
      </c>
      <c r="C915" t="s">
        <v>48</v>
      </c>
      <c r="D915" t="s">
        <v>22</v>
      </c>
      <c r="E915">
        <v>150</v>
      </c>
      <c r="F915">
        <v>0.15</v>
      </c>
      <c r="G915">
        <v>180</v>
      </c>
      <c r="H915" s="1">
        <v>45400</v>
      </c>
      <c r="I915">
        <v>2024</v>
      </c>
      <c r="J915">
        <v>4</v>
      </c>
      <c r="K915" t="s">
        <v>36</v>
      </c>
      <c r="L915">
        <v>0</v>
      </c>
      <c r="M915">
        <v>1</v>
      </c>
    </row>
    <row r="916" spans="1:13" x14ac:dyDescent="0.25">
      <c r="A916" t="s">
        <v>801</v>
      </c>
      <c r="B916" t="s">
        <v>54</v>
      </c>
      <c r="C916" t="s">
        <v>802</v>
      </c>
      <c r="D916" t="s">
        <v>55</v>
      </c>
      <c r="E916">
        <v>50</v>
      </c>
      <c r="F916">
        <v>0.1</v>
      </c>
      <c r="G916">
        <v>159</v>
      </c>
      <c r="H916" s="1">
        <v>45400</v>
      </c>
      <c r="I916">
        <v>2024</v>
      </c>
      <c r="J916">
        <v>4</v>
      </c>
      <c r="K916" t="s">
        <v>36</v>
      </c>
      <c r="L916">
        <v>0</v>
      </c>
      <c r="M916">
        <v>1</v>
      </c>
    </row>
    <row r="917" spans="1:13" x14ac:dyDescent="0.25">
      <c r="A917" t="s">
        <v>803</v>
      </c>
      <c r="B917" t="s">
        <v>93</v>
      </c>
      <c r="C917" t="s">
        <v>80</v>
      </c>
      <c r="D917" t="s">
        <v>22</v>
      </c>
      <c r="E917">
        <v>20</v>
      </c>
      <c r="F917" t="s">
        <v>21</v>
      </c>
      <c r="G917">
        <v>174</v>
      </c>
      <c r="H917" s="1">
        <v>45400</v>
      </c>
      <c r="I917">
        <v>2024</v>
      </c>
      <c r="J917">
        <v>4</v>
      </c>
      <c r="K917" t="s">
        <v>36</v>
      </c>
      <c r="L917" t="s">
        <v>21</v>
      </c>
      <c r="M917">
        <v>1</v>
      </c>
    </row>
    <row r="918" spans="1:13" x14ac:dyDescent="0.25">
      <c r="A918" t="s">
        <v>804</v>
      </c>
      <c r="B918" t="s">
        <v>140</v>
      </c>
      <c r="C918" t="s">
        <v>14</v>
      </c>
      <c r="D918" t="s">
        <v>22</v>
      </c>
      <c r="E918" t="s">
        <v>21</v>
      </c>
      <c r="F918">
        <v>0.05</v>
      </c>
      <c r="G918">
        <v>400</v>
      </c>
      <c r="H918" s="1">
        <v>45400</v>
      </c>
      <c r="I918">
        <v>2024</v>
      </c>
      <c r="J918">
        <v>4</v>
      </c>
      <c r="K918" t="s">
        <v>36</v>
      </c>
      <c r="L918">
        <v>0</v>
      </c>
      <c r="M918">
        <v>1</v>
      </c>
    </row>
    <row r="919" spans="1:13" x14ac:dyDescent="0.25">
      <c r="A919" t="s">
        <v>805</v>
      </c>
      <c r="B919" t="s">
        <v>13</v>
      </c>
      <c r="C919" t="s">
        <v>14</v>
      </c>
      <c r="D919" t="s">
        <v>20</v>
      </c>
      <c r="E919" t="s">
        <v>21</v>
      </c>
      <c r="F919" t="s">
        <v>21</v>
      </c>
      <c r="G919">
        <v>1</v>
      </c>
      <c r="H919" s="1">
        <v>45399</v>
      </c>
      <c r="I919">
        <v>2024</v>
      </c>
      <c r="J919">
        <v>4</v>
      </c>
      <c r="K919" t="s">
        <v>16</v>
      </c>
      <c r="L919" t="s">
        <v>21</v>
      </c>
      <c r="M919">
        <v>0</v>
      </c>
    </row>
    <row r="920" spans="1:13" x14ac:dyDescent="0.25">
      <c r="A920" t="s">
        <v>108</v>
      </c>
      <c r="B920" t="s">
        <v>18</v>
      </c>
      <c r="C920" t="s">
        <v>14</v>
      </c>
      <c r="D920" t="s">
        <v>15</v>
      </c>
      <c r="E920" t="s">
        <v>21</v>
      </c>
      <c r="F920" t="s">
        <v>21</v>
      </c>
      <c r="G920">
        <v>26</v>
      </c>
      <c r="H920" s="1">
        <v>45399</v>
      </c>
      <c r="I920">
        <v>2024</v>
      </c>
      <c r="J920">
        <v>4</v>
      </c>
      <c r="K920" t="s">
        <v>30</v>
      </c>
      <c r="L920" t="s">
        <v>21</v>
      </c>
      <c r="M920">
        <v>0</v>
      </c>
    </row>
    <row r="921" spans="1:13" x14ac:dyDescent="0.25">
      <c r="A921" t="s">
        <v>85</v>
      </c>
      <c r="B921" t="s">
        <v>66</v>
      </c>
      <c r="C921" t="s">
        <v>14</v>
      </c>
      <c r="D921" t="s">
        <v>15</v>
      </c>
      <c r="E921" t="s">
        <v>21</v>
      </c>
      <c r="F921">
        <v>0.01</v>
      </c>
      <c r="G921">
        <v>10700</v>
      </c>
      <c r="H921" s="1">
        <v>45399</v>
      </c>
      <c r="I921">
        <v>2024</v>
      </c>
      <c r="J921">
        <v>4</v>
      </c>
      <c r="K921" t="s">
        <v>26</v>
      </c>
      <c r="L921">
        <v>0</v>
      </c>
      <c r="M921">
        <v>1</v>
      </c>
    </row>
    <row r="922" spans="1:13" x14ac:dyDescent="0.25">
      <c r="A922" t="s">
        <v>806</v>
      </c>
      <c r="B922" t="s">
        <v>18</v>
      </c>
      <c r="C922" t="s">
        <v>14</v>
      </c>
      <c r="D922" t="s">
        <v>15</v>
      </c>
      <c r="E922">
        <v>579</v>
      </c>
      <c r="F922">
        <v>0.05</v>
      </c>
      <c r="G922">
        <v>4100</v>
      </c>
      <c r="H922" s="1">
        <v>45398</v>
      </c>
      <c r="I922">
        <v>2024</v>
      </c>
      <c r="J922">
        <v>4</v>
      </c>
      <c r="K922" t="s">
        <v>26</v>
      </c>
      <c r="L922">
        <v>0</v>
      </c>
      <c r="M922">
        <v>1</v>
      </c>
    </row>
    <row r="923" spans="1:13" x14ac:dyDescent="0.25">
      <c r="A923" t="s">
        <v>620</v>
      </c>
      <c r="B923" t="s">
        <v>93</v>
      </c>
      <c r="C923" t="s">
        <v>14</v>
      </c>
      <c r="D923" t="s">
        <v>33</v>
      </c>
      <c r="E923">
        <v>12</v>
      </c>
      <c r="F923">
        <v>0.25</v>
      </c>
      <c r="G923">
        <v>75</v>
      </c>
      <c r="H923" s="1">
        <v>45398</v>
      </c>
      <c r="I923">
        <v>2024</v>
      </c>
      <c r="J923">
        <v>4</v>
      </c>
      <c r="K923" t="s">
        <v>30</v>
      </c>
      <c r="L923">
        <v>0</v>
      </c>
      <c r="M923">
        <v>1</v>
      </c>
    </row>
    <row r="924" spans="1:13" x14ac:dyDescent="0.25">
      <c r="A924" t="s">
        <v>786</v>
      </c>
      <c r="B924" t="s">
        <v>66</v>
      </c>
      <c r="C924" t="s">
        <v>14</v>
      </c>
      <c r="D924" t="s">
        <v>15</v>
      </c>
      <c r="E924">
        <v>14000</v>
      </c>
      <c r="F924">
        <v>0.1</v>
      </c>
      <c r="G924">
        <v>20200</v>
      </c>
      <c r="H924" s="1">
        <v>45397</v>
      </c>
      <c r="I924">
        <v>2024</v>
      </c>
      <c r="J924">
        <v>4</v>
      </c>
      <c r="K924" t="s">
        <v>26</v>
      </c>
      <c r="L924">
        <v>0</v>
      </c>
      <c r="M924">
        <v>1</v>
      </c>
    </row>
    <row r="925" spans="1:13" x14ac:dyDescent="0.25">
      <c r="A925" t="s">
        <v>807</v>
      </c>
      <c r="B925" t="s">
        <v>54</v>
      </c>
      <c r="C925" t="s">
        <v>539</v>
      </c>
      <c r="D925" t="s">
        <v>15</v>
      </c>
      <c r="E925">
        <v>140</v>
      </c>
      <c r="F925">
        <v>0.04</v>
      </c>
      <c r="G925">
        <v>61</v>
      </c>
      <c r="H925" s="1">
        <v>45394</v>
      </c>
      <c r="I925">
        <v>2024</v>
      </c>
      <c r="J925">
        <v>4</v>
      </c>
      <c r="K925" t="s">
        <v>30</v>
      </c>
      <c r="L925">
        <v>0</v>
      </c>
      <c r="M925">
        <v>1</v>
      </c>
    </row>
    <row r="926" spans="1:13" x14ac:dyDescent="0.25">
      <c r="A926" t="s">
        <v>756</v>
      </c>
      <c r="B926" t="s">
        <v>95</v>
      </c>
      <c r="C926" t="s">
        <v>757</v>
      </c>
      <c r="D926" t="s">
        <v>20</v>
      </c>
      <c r="E926">
        <v>25</v>
      </c>
      <c r="F926" t="s">
        <v>21</v>
      </c>
      <c r="G926">
        <v>1200</v>
      </c>
      <c r="H926" s="1">
        <v>45394</v>
      </c>
      <c r="I926">
        <v>2024</v>
      </c>
      <c r="J926">
        <v>4</v>
      </c>
      <c r="K926" t="s">
        <v>26</v>
      </c>
      <c r="L926" t="s">
        <v>21</v>
      </c>
      <c r="M926">
        <v>1</v>
      </c>
    </row>
    <row r="927" spans="1:13" x14ac:dyDescent="0.25">
      <c r="A927" t="s">
        <v>17</v>
      </c>
      <c r="B927" t="s">
        <v>18</v>
      </c>
      <c r="C927" t="s">
        <v>19</v>
      </c>
      <c r="D927" t="s">
        <v>20</v>
      </c>
      <c r="E927">
        <v>250</v>
      </c>
      <c r="F927" t="s">
        <v>21</v>
      </c>
      <c r="G927" t="s">
        <v>21</v>
      </c>
      <c r="H927" s="1">
        <v>45393</v>
      </c>
      <c r="I927">
        <v>2024</v>
      </c>
      <c r="J927">
        <v>4</v>
      </c>
      <c r="K927" t="s">
        <v>22</v>
      </c>
      <c r="L927" t="s">
        <v>21</v>
      </c>
      <c r="M927">
        <v>1</v>
      </c>
    </row>
    <row r="928" spans="1:13" x14ac:dyDescent="0.25">
      <c r="A928" t="s">
        <v>808</v>
      </c>
      <c r="B928" t="s">
        <v>117</v>
      </c>
      <c r="C928" t="s">
        <v>14</v>
      </c>
      <c r="D928" t="s">
        <v>46</v>
      </c>
      <c r="E928">
        <v>30</v>
      </c>
      <c r="F928">
        <v>0.15</v>
      </c>
      <c r="G928">
        <v>336</v>
      </c>
      <c r="H928" s="1">
        <v>45393</v>
      </c>
      <c r="I928">
        <v>2024</v>
      </c>
      <c r="J928">
        <v>4</v>
      </c>
      <c r="K928" t="s">
        <v>36</v>
      </c>
      <c r="L928">
        <v>0</v>
      </c>
      <c r="M928">
        <v>1</v>
      </c>
    </row>
    <row r="929" spans="1:13" x14ac:dyDescent="0.25">
      <c r="A929" t="s">
        <v>809</v>
      </c>
      <c r="B929" t="s">
        <v>35</v>
      </c>
      <c r="C929" t="s">
        <v>14</v>
      </c>
      <c r="D929" t="s">
        <v>111</v>
      </c>
      <c r="E929" t="s">
        <v>21</v>
      </c>
      <c r="F929">
        <v>0.1</v>
      </c>
      <c r="G929">
        <v>826</v>
      </c>
      <c r="H929" s="1">
        <v>45393</v>
      </c>
      <c r="I929">
        <v>2024</v>
      </c>
      <c r="J929">
        <v>4</v>
      </c>
      <c r="K929" t="s">
        <v>36</v>
      </c>
      <c r="L929">
        <v>0</v>
      </c>
      <c r="M929">
        <v>1</v>
      </c>
    </row>
    <row r="930" spans="1:13" x14ac:dyDescent="0.25">
      <c r="A930" t="s">
        <v>810</v>
      </c>
      <c r="B930" t="s">
        <v>35</v>
      </c>
      <c r="C930" t="s">
        <v>80</v>
      </c>
      <c r="D930" t="s">
        <v>33</v>
      </c>
      <c r="E930" t="s">
        <v>21</v>
      </c>
      <c r="F930">
        <v>0.2</v>
      </c>
      <c r="G930">
        <v>89</v>
      </c>
      <c r="H930" s="1">
        <v>45393</v>
      </c>
      <c r="I930">
        <v>2024</v>
      </c>
      <c r="J930">
        <v>4</v>
      </c>
      <c r="K930" t="s">
        <v>30</v>
      </c>
      <c r="L930">
        <v>0</v>
      </c>
      <c r="M930">
        <v>1</v>
      </c>
    </row>
    <row r="931" spans="1:13" x14ac:dyDescent="0.25">
      <c r="A931" t="s">
        <v>811</v>
      </c>
      <c r="B931" t="s">
        <v>95</v>
      </c>
      <c r="C931" t="s">
        <v>812</v>
      </c>
      <c r="D931" t="s">
        <v>20</v>
      </c>
      <c r="E931">
        <v>200</v>
      </c>
      <c r="F931" t="s">
        <v>21</v>
      </c>
      <c r="G931">
        <v>32</v>
      </c>
      <c r="H931" s="1">
        <v>45392</v>
      </c>
      <c r="I931">
        <v>2024</v>
      </c>
      <c r="J931">
        <v>4</v>
      </c>
      <c r="K931" t="s">
        <v>30</v>
      </c>
      <c r="L931" t="s">
        <v>21</v>
      </c>
      <c r="M931">
        <v>1</v>
      </c>
    </row>
    <row r="932" spans="1:13" x14ac:dyDescent="0.25">
      <c r="A932" t="s">
        <v>813</v>
      </c>
      <c r="B932" t="s">
        <v>106</v>
      </c>
      <c r="C932" t="s">
        <v>48</v>
      </c>
      <c r="D932" t="s">
        <v>33</v>
      </c>
      <c r="E932">
        <v>150</v>
      </c>
      <c r="F932" t="s">
        <v>21</v>
      </c>
      <c r="G932">
        <v>55</v>
      </c>
      <c r="H932" s="1">
        <v>45392</v>
      </c>
      <c r="I932">
        <v>2024</v>
      </c>
      <c r="J932">
        <v>4</v>
      </c>
      <c r="K932" t="s">
        <v>30</v>
      </c>
      <c r="L932" t="s">
        <v>21</v>
      </c>
      <c r="M932">
        <v>1</v>
      </c>
    </row>
    <row r="933" spans="1:13" x14ac:dyDescent="0.25">
      <c r="A933" t="s">
        <v>814</v>
      </c>
      <c r="B933" t="s">
        <v>40</v>
      </c>
      <c r="C933" t="s">
        <v>14</v>
      </c>
      <c r="D933" t="s">
        <v>55</v>
      </c>
      <c r="E933">
        <v>382</v>
      </c>
      <c r="F933">
        <v>0.32</v>
      </c>
      <c r="G933">
        <v>679</v>
      </c>
      <c r="H933" s="1">
        <v>45391</v>
      </c>
      <c r="I933">
        <v>2024</v>
      </c>
      <c r="J933">
        <v>4</v>
      </c>
      <c r="K933" t="s">
        <v>36</v>
      </c>
      <c r="L933">
        <v>0</v>
      </c>
      <c r="M933">
        <v>1</v>
      </c>
    </row>
    <row r="934" spans="1:13" x14ac:dyDescent="0.25">
      <c r="A934" t="s">
        <v>402</v>
      </c>
      <c r="B934" t="s">
        <v>70</v>
      </c>
      <c r="C934" t="s">
        <v>14</v>
      </c>
      <c r="D934" t="s">
        <v>15</v>
      </c>
      <c r="E934">
        <v>62</v>
      </c>
      <c r="F934" t="s">
        <v>21</v>
      </c>
      <c r="G934">
        <v>12</v>
      </c>
      <c r="H934" s="1">
        <v>45391</v>
      </c>
      <c r="I934">
        <v>2024</v>
      </c>
      <c r="J934">
        <v>4</v>
      </c>
      <c r="K934" t="s">
        <v>30</v>
      </c>
      <c r="L934" t="s">
        <v>21</v>
      </c>
      <c r="M934">
        <v>1</v>
      </c>
    </row>
    <row r="935" spans="1:13" x14ac:dyDescent="0.25">
      <c r="A935" t="s">
        <v>815</v>
      </c>
      <c r="B935" t="s">
        <v>24</v>
      </c>
      <c r="C935" t="s">
        <v>87</v>
      </c>
      <c r="D935" t="s">
        <v>20</v>
      </c>
      <c r="E935">
        <v>79</v>
      </c>
      <c r="F935">
        <v>1</v>
      </c>
      <c r="G935" t="s">
        <v>21</v>
      </c>
      <c r="H935" s="1">
        <v>45390</v>
      </c>
      <c r="I935">
        <v>2024</v>
      </c>
      <c r="J935">
        <v>4</v>
      </c>
      <c r="K935" t="s">
        <v>22</v>
      </c>
      <c r="L935">
        <v>1</v>
      </c>
      <c r="M935">
        <v>1</v>
      </c>
    </row>
    <row r="936" spans="1:13" x14ac:dyDescent="0.25">
      <c r="A936" t="s">
        <v>770</v>
      </c>
      <c r="B936" t="s">
        <v>13</v>
      </c>
      <c r="C936" t="s">
        <v>14</v>
      </c>
      <c r="D936" t="s">
        <v>33</v>
      </c>
      <c r="E936">
        <v>49</v>
      </c>
      <c r="F936">
        <v>0.35</v>
      </c>
      <c r="G936">
        <v>49</v>
      </c>
      <c r="H936" s="1">
        <v>45390</v>
      </c>
      <c r="I936">
        <v>2024</v>
      </c>
      <c r="J936">
        <v>4</v>
      </c>
      <c r="K936" t="s">
        <v>30</v>
      </c>
      <c r="L936">
        <v>0</v>
      </c>
      <c r="M936">
        <v>1</v>
      </c>
    </row>
    <row r="937" spans="1:13" x14ac:dyDescent="0.25">
      <c r="A937" t="s">
        <v>816</v>
      </c>
      <c r="B937" t="s">
        <v>13</v>
      </c>
      <c r="C937" t="s">
        <v>174</v>
      </c>
      <c r="D937" t="s">
        <v>22</v>
      </c>
      <c r="E937" t="s">
        <v>21</v>
      </c>
      <c r="F937">
        <v>1</v>
      </c>
      <c r="G937" t="s">
        <v>21</v>
      </c>
      <c r="H937" s="1">
        <v>45389</v>
      </c>
      <c r="I937">
        <v>2024</v>
      </c>
      <c r="J937">
        <v>4</v>
      </c>
      <c r="K937" t="s">
        <v>22</v>
      </c>
      <c r="L937">
        <v>1</v>
      </c>
      <c r="M937">
        <v>1</v>
      </c>
    </row>
    <row r="938" spans="1:13" x14ac:dyDescent="0.25">
      <c r="A938" t="s">
        <v>817</v>
      </c>
      <c r="B938" t="s">
        <v>217</v>
      </c>
      <c r="C938" t="s">
        <v>48</v>
      </c>
      <c r="D938" t="s">
        <v>33</v>
      </c>
      <c r="E938">
        <v>70</v>
      </c>
      <c r="F938">
        <v>0.4</v>
      </c>
      <c r="G938">
        <v>24</v>
      </c>
      <c r="H938" s="1">
        <v>45388</v>
      </c>
      <c r="I938">
        <v>2024</v>
      </c>
      <c r="J938">
        <v>4</v>
      </c>
      <c r="K938" t="s">
        <v>30</v>
      </c>
      <c r="L938">
        <v>0</v>
      </c>
      <c r="M938">
        <v>1</v>
      </c>
    </row>
    <row r="939" spans="1:13" x14ac:dyDescent="0.25">
      <c r="A939" t="s">
        <v>564</v>
      </c>
      <c r="B939" t="s">
        <v>70</v>
      </c>
      <c r="C939" t="s">
        <v>14</v>
      </c>
      <c r="D939" t="s">
        <v>15</v>
      </c>
      <c r="E939">
        <v>614</v>
      </c>
      <c r="F939" t="s">
        <v>21</v>
      </c>
      <c r="G939">
        <v>1200</v>
      </c>
      <c r="H939" s="1">
        <v>45386</v>
      </c>
      <c r="I939">
        <v>2024</v>
      </c>
      <c r="J939">
        <v>4</v>
      </c>
      <c r="K939" t="s">
        <v>26</v>
      </c>
      <c r="L939" t="s">
        <v>21</v>
      </c>
      <c r="M939">
        <v>1</v>
      </c>
    </row>
    <row r="940" spans="1:13" x14ac:dyDescent="0.25">
      <c r="A940" t="s">
        <v>818</v>
      </c>
      <c r="B940" t="s">
        <v>13</v>
      </c>
      <c r="C940" t="s">
        <v>14</v>
      </c>
      <c r="D940" t="s">
        <v>33</v>
      </c>
      <c r="E940" t="s">
        <v>21</v>
      </c>
      <c r="F940" t="s">
        <v>21</v>
      </c>
      <c r="G940">
        <v>179</v>
      </c>
      <c r="H940" s="1">
        <v>45386</v>
      </c>
      <c r="I940">
        <v>2024</v>
      </c>
      <c r="J940">
        <v>4</v>
      </c>
      <c r="K940" t="s">
        <v>36</v>
      </c>
      <c r="L940" t="s">
        <v>21</v>
      </c>
      <c r="M940">
        <v>0</v>
      </c>
    </row>
    <row r="941" spans="1:13" x14ac:dyDescent="0.25">
      <c r="A941" t="s">
        <v>559</v>
      </c>
      <c r="B941" t="s">
        <v>24</v>
      </c>
      <c r="C941" t="s">
        <v>174</v>
      </c>
      <c r="D941" t="s">
        <v>15</v>
      </c>
      <c r="E941">
        <v>280</v>
      </c>
      <c r="F941" t="s">
        <v>21</v>
      </c>
      <c r="G941">
        <v>1200</v>
      </c>
      <c r="H941" s="1">
        <v>45385</v>
      </c>
      <c r="I941">
        <v>2024</v>
      </c>
      <c r="J941">
        <v>4</v>
      </c>
      <c r="K941" t="s">
        <v>26</v>
      </c>
      <c r="L941" t="s">
        <v>21</v>
      </c>
      <c r="M941">
        <v>1</v>
      </c>
    </row>
    <row r="942" spans="1:13" x14ac:dyDescent="0.25">
      <c r="A942" t="s">
        <v>819</v>
      </c>
      <c r="B942" t="s">
        <v>66</v>
      </c>
      <c r="C942" t="s">
        <v>14</v>
      </c>
      <c r="D942" t="s">
        <v>111</v>
      </c>
      <c r="E942">
        <v>100</v>
      </c>
      <c r="F942">
        <v>1</v>
      </c>
      <c r="G942">
        <v>247</v>
      </c>
      <c r="H942" s="1">
        <v>45385</v>
      </c>
      <c r="I942">
        <v>2024</v>
      </c>
      <c r="J942">
        <v>4</v>
      </c>
      <c r="K942" t="s">
        <v>36</v>
      </c>
      <c r="L942">
        <v>1</v>
      </c>
      <c r="M942">
        <v>1</v>
      </c>
    </row>
    <row r="943" spans="1:13" x14ac:dyDescent="0.25">
      <c r="A943" t="s">
        <v>820</v>
      </c>
      <c r="B943" t="s">
        <v>35</v>
      </c>
      <c r="C943" t="s">
        <v>14</v>
      </c>
      <c r="D943" t="s">
        <v>20</v>
      </c>
      <c r="E943">
        <v>13</v>
      </c>
      <c r="F943" t="s">
        <v>21</v>
      </c>
      <c r="G943">
        <v>60</v>
      </c>
      <c r="H943" s="1">
        <v>45385</v>
      </c>
      <c r="I943">
        <v>2024</v>
      </c>
      <c r="J943">
        <v>4</v>
      </c>
      <c r="K943" t="s">
        <v>30</v>
      </c>
      <c r="L943" t="s">
        <v>21</v>
      </c>
      <c r="M943">
        <v>1</v>
      </c>
    </row>
    <row r="944" spans="1:13" x14ac:dyDescent="0.25">
      <c r="A944" t="s">
        <v>240</v>
      </c>
      <c r="B944" t="s">
        <v>24</v>
      </c>
      <c r="C944" t="s">
        <v>14</v>
      </c>
      <c r="D944" t="s">
        <v>15</v>
      </c>
      <c r="E944" t="s">
        <v>21</v>
      </c>
      <c r="F944" t="s">
        <v>21</v>
      </c>
      <c r="G944">
        <v>108</v>
      </c>
      <c r="H944" s="1">
        <v>45385</v>
      </c>
      <c r="I944">
        <v>2024</v>
      </c>
      <c r="J944">
        <v>4</v>
      </c>
      <c r="K944" t="s">
        <v>36</v>
      </c>
      <c r="L944" t="s">
        <v>21</v>
      </c>
      <c r="M944">
        <v>0</v>
      </c>
    </row>
    <row r="945" spans="1:13" x14ac:dyDescent="0.25">
      <c r="A945" t="s">
        <v>821</v>
      </c>
      <c r="B945" t="s">
        <v>93</v>
      </c>
      <c r="C945" t="s">
        <v>48</v>
      </c>
      <c r="D945" t="s">
        <v>22</v>
      </c>
      <c r="E945" t="s">
        <v>21</v>
      </c>
      <c r="F945" t="s">
        <v>21</v>
      </c>
      <c r="G945" t="s">
        <v>21</v>
      </c>
      <c r="H945" s="1">
        <v>45385</v>
      </c>
      <c r="I945">
        <v>2024</v>
      </c>
      <c r="J945">
        <v>4</v>
      </c>
      <c r="K945" t="s">
        <v>22</v>
      </c>
      <c r="L945" t="s">
        <v>21</v>
      </c>
      <c r="M945">
        <v>0</v>
      </c>
    </row>
    <row r="946" spans="1:13" x14ac:dyDescent="0.25">
      <c r="A946" t="s">
        <v>295</v>
      </c>
      <c r="B946" t="s">
        <v>28</v>
      </c>
      <c r="C946" t="s">
        <v>14</v>
      </c>
      <c r="D946" t="s">
        <v>22</v>
      </c>
      <c r="E946" t="s">
        <v>21</v>
      </c>
      <c r="F946" t="s">
        <v>21</v>
      </c>
      <c r="G946">
        <v>547</v>
      </c>
      <c r="H946" s="1">
        <v>45385</v>
      </c>
      <c r="I946">
        <v>2024</v>
      </c>
      <c r="J946">
        <v>4</v>
      </c>
      <c r="K946" t="s">
        <v>36</v>
      </c>
      <c r="L946" t="s">
        <v>21</v>
      </c>
      <c r="M946">
        <v>0</v>
      </c>
    </row>
    <row r="947" spans="1:13" x14ac:dyDescent="0.25">
      <c r="A947" t="s">
        <v>575</v>
      </c>
      <c r="B947" t="s">
        <v>140</v>
      </c>
      <c r="C947" t="s">
        <v>14</v>
      </c>
      <c r="D947" t="s">
        <v>20</v>
      </c>
      <c r="E947" t="s">
        <v>21</v>
      </c>
      <c r="F947" t="s">
        <v>21</v>
      </c>
      <c r="G947">
        <v>214</v>
      </c>
      <c r="H947" s="1">
        <v>45385</v>
      </c>
      <c r="I947">
        <v>2024</v>
      </c>
      <c r="J947">
        <v>4</v>
      </c>
      <c r="K947" t="s">
        <v>36</v>
      </c>
      <c r="L947" t="s">
        <v>21</v>
      </c>
      <c r="M947">
        <v>0</v>
      </c>
    </row>
    <row r="948" spans="1:13" x14ac:dyDescent="0.25">
      <c r="A948" t="s">
        <v>822</v>
      </c>
      <c r="B948" t="s">
        <v>95</v>
      </c>
      <c r="C948" t="s">
        <v>14</v>
      </c>
      <c r="D948" t="s">
        <v>20</v>
      </c>
      <c r="E948" t="s">
        <v>21</v>
      </c>
      <c r="F948">
        <v>1</v>
      </c>
      <c r="G948">
        <v>24</v>
      </c>
      <c r="H948" s="1">
        <v>45385</v>
      </c>
      <c r="I948">
        <v>2024</v>
      </c>
      <c r="J948">
        <v>4</v>
      </c>
      <c r="K948" t="s">
        <v>30</v>
      </c>
      <c r="L948">
        <v>1</v>
      </c>
      <c r="M948">
        <v>1</v>
      </c>
    </row>
    <row r="949" spans="1:13" x14ac:dyDescent="0.25">
      <c r="A949" t="s">
        <v>823</v>
      </c>
      <c r="B949" t="s">
        <v>106</v>
      </c>
      <c r="C949" t="s">
        <v>48</v>
      </c>
      <c r="D949" t="s">
        <v>81</v>
      </c>
      <c r="E949">
        <v>500</v>
      </c>
      <c r="F949">
        <v>0.03</v>
      </c>
      <c r="G949">
        <v>5500</v>
      </c>
      <c r="H949" s="1">
        <v>45384</v>
      </c>
      <c r="I949">
        <v>2024</v>
      </c>
      <c r="J949">
        <v>4</v>
      </c>
      <c r="K949" t="s">
        <v>26</v>
      </c>
      <c r="L949">
        <v>0</v>
      </c>
      <c r="M949">
        <v>1</v>
      </c>
    </row>
    <row r="950" spans="1:13" x14ac:dyDescent="0.25">
      <c r="A950" t="s">
        <v>824</v>
      </c>
      <c r="B950" t="s">
        <v>77</v>
      </c>
      <c r="C950" t="s">
        <v>48</v>
      </c>
      <c r="D950" t="s">
        <v>33</v>
      </c>
      <c r="E950" t="s">
        <v>21</v>
      </c>
      <c r="F950" t="s">
        <v>21</v>
      </c>
      <c r="G950">
        <v>104</v>
      </c>
      <c r="H950" s="1">
        <v>45384</v>
      </c>
      <c r="I950">
        <v>2024</v>
      </c>
      <c r="J950">
        <v>4</v>
      </c>
      <c r="K950" t="s">
        <v>36</v>
      </c>
      <c r="L950" t="s">
        <v>21</v>
      </c>
      <c r="M950">
        <v>0</v>
      </c>
    </row>
    <row r="951" spans="1:13" x14ac:dyDescent="0.25">
      <c r="A951" t="s">
        <v>825</v>
      </c>
      <c r="B951" t="s">
        <v>77</v>
      </c>
      <c r="C951" t="s">
        <v>143</v>
      </c>
      <c r="D951" t="s">
        <v>49</v>
      </c>
      <c r="E951" t="s">
        <v>21</v>
      </c>
      <c r="F951">
        <v>1</v>
      </c>
      <c r="G951">
        <v>2</v>
      </c>
      <c r="H951" s="1">
        <v>45384</v>
      </c>
      <c r="I951">
        <v>2024</v>
      </c>
      <c r="J951">
        <v>4</v>
      </c>
      <c r="K951" t="s">
        <v>16</v>
      </c>
      <c r="L951">
        <v>1</v>
      </c>
      <c r="M951">
        <v>1</v>
      </c>
    </row>
    <row r="952" spans="1:13" x14ac:dyDescent="0.25">
      <c r="A952" t="s">
        <v>826</v>
      </c>
      <c r="B952" t="s">
        <v>35</v>
      </c>
      <c r="C952" t="s">
        <v>14</v>
      </c>
      <c r="D952" t="s">
        <v>46</v>
      </c>
      <c r="E952">
        <v>67</v>
      </c>
      <c r="F952" t="s">
        <v>21</v>
      </c>
      <c r="G952">
        <v>109</v>
      </c>
      <c r="H952" s="1">
        <v>45383</v>
      </c>
      <c r="I952">
        <v>2024</v>
      </c>
      <c r="J952">
        <v>4</v>
      </c>
      <c r="K952" t="s">
        <v>36</v>
      </c>
      <c r="L952" t="s">
        <v>21</v>
      </c>
      <c r="M952">
        <v>1</v>
      </c>
    </row>
    <row r="953" spans="1:13" x14ac:dyDescent="0.25">
      <c r="A953" t="s">
        <v>827</v>
      </c>
      <c r="B953" t="s">
        <v>28</v>
      </c>
      <c r="C953" t="s">
        <v>29</v>
      </c>
      <c r="D953" t="s">
        <v>68</v>
      </c>
      <c r="E953">
        <v>20</v>
      </c>
      <c r="F953">
        <v>0.44</v>
      </c>
      <c r="G953">
        <v>52</v>
      </c>
      <c r="H953" s="1">
        <v>45383</v>
      </c>
      <c r="I953">
        <v>2024</v>
      </c>
      <c r="J953">
        <v>4</v>
      </c>
      <c r="K953" t="s">
        <v>30</v>
      </c>
      <c r="L953">
        <v>0</v>
      </c>
      <c r="M953">
        <v>1</v>
      </c>
    </row>
    <row r="954" spans="1:13" x14ac:dyDescent="0.25">
      <c r="A954" t="s">
        <v>828</v>
      </c>
      <c r="B954" t="s">
        <v>77</v>
      </c>
      <c r="C954" t="s">
        <v>14</v>
      </c>
      <c r="D954" t="s">
        <v>49</v>
      </c>
      <c r="E954" t="s">
        <v>21</v>
      </c>
      <c r="F954">
        <v>1</v>
      </c>
      <c r="G954">
        <v>5</v>
      </c>
      <c r="H954" s="1">
        <v>45383</v>
      </c>
      <c r="I954">
        <v>2024</v>
      </c>
      <c r="J954">
        <v>4</v>
      </c>
      <c r="K954" t="s">
        <v>16</v>
      </c>
      <c r="L954">
        <v>1</v>
      </c>
      <c r="M954">
        <v>1</v>
      </c>
    </row>
    <row r="955" spans="1:13" x14ac:dyDescent="0.25">
      <c r="A955" t="s">
        <v>829</v>
      </c>
      <c r="B955" t="s">
        <v>91</v>
      </c>
      <c r="C955" t="s">
        <v>14</v>
      </c>
      <c r="D955" t="s">
        <v>33</v>
      </c>
      <c r="E955" t="s">
        <v>21</v>
      </c>
      <c r="F955">
        <v>1</v>
      </c>
      <c r="G955">
        <v>230</v>
      </c>
      <c r="H955" s="1">
        <v>45383</v>
      </c>
      <c r="I955">
        <v>2024</v>
      </c>
      <c r="J955">
        <v>4</v>
      </c>
      <c r="K955" t="s">
        <v>36</v>
      </c>
      <c r="L955">
        <v>1</v>
      </c>
      <c r="M955">
        <v>1</v>
      </c>
    </row>
    <row r="956" spans="1:13" x14ac:dyDescent="0.25">
      <c r="A956" t="s">
        <v>830</v>
      </c>
      <c r="B956" t="s">
        <v>95</v>
      </c>
      <c r="C956" t="s">
        <v>14</v>
      </c>
      <c r="D956" t="s">
        <v>46</v>
      </c>
      <c r="E956">
        <v>60</v>
      </c>
      <c r="F956">
        <v>0.2</v>
      </c>
      <c r="G956">
        <v>64</v>
      </c>
      <c r="H956" s="1">
        <v>45379</v>
      </c>
      <c r="I956">
        <v>2024</v>
      </c>
      <c r="J956">
        <v>3</v>
      </c>
      <c r="K956" t="s">
        <v>30</v>
      </c>
      <c r="L956">
        <v>0</v>
      </c>
      <c r="M956">
        <v>1</v>
      </c>
    </row>
    <row r="957" spans="1:13" x14ac:dyDescent="0.25">
      <c r="A957" t="s">
        <v>831</v>
      </c>
      <c r="B957" t="s">
        <v>77</v>
      </c>
      <c r="C957" t="s">
        <v>14</v>
      </c>
      <c r="D957" t="s">
        <v>68</v>
      </c>
      <c r="E957">
        <v>17</v>
      </c>
      <c r="F957">
        <v>0.15</v>
      </c>
      <c r="G957">
        <v>79</v>
      </c>
      <c r="H957" s="1">
        <v>45377</v>
      </c>
      <c r="I957">
        <v>2024</v>
      </c>
      <c r="J957">
        <v>3</v>
      </c>
      <c r="K957" t="s">
        <v>30</v>
      </c>
      <c r="L957">
        <v>0</v>
      </c>
      <c r="M957">
        <v>1</v>
      </c>
    </row>
    <row r="958" spans="1:13" x14ac:dyDescent="0.25">
      <c r="A958" t="s">
        <v>203</v>
      </c>
      <c r="B958" t="s">
        <v>18</v>
      </c>
      <c r="C958" t="s">
        <v>14</v>
      </c>
      <c r="D958" t="s">
        <v>15</v>
      </c>
      <c r="E958" t="s">
        <v>21</v>
      </c>
      <c r="F958">
        <v>0.04</v>
      </c>
      <c r="G958">
        <v>288</v>
      </c>
      <c r="H958" s="1">
        <v>45377</v>
      </c>
      <c r="I958">
        <v>2024</v>
      </c>
      <c r="J958">
        <v>3</v>
      </c>
      <c r="K958" t="s">
        <v>36</v>
      </c>
      <c r="L958">
        <v>0</v>
      </c>
      <c r="M958">
        <v>1</v>
      </c>
    </row>
    <row r="959" spans="1:13" x14ac:dyDescent="0.25">
      <c r="A959" t="s">
        <v>228</v>
      </c>
      <c r="B959" t="s">
        <v>70</v>
      </c>
      <c r="C959" t="s">
        <v>14</v>
      </c>
      <c r="D959" t="s">
        <v>15</v>
      </c>
      <c r="E959">
        <v>6000</v>
      </c>
      <c r="F959">
        <v>0.05</v>
      </c>
      <c r="G959" t="s">
        <v>21</v>
      </c>
      <c r="H959" s="1">
        <v>45376</v>
      </c>
      <c r="I959">
        <v>2024</v>
      </c>
      <c r="J959">
        <v>3</v>
      </c>
      <c r="K959" t="s">
        <v>22</v>
      </c>
      <c r="L959">
        <v>0</v>
      </c>
      <c r="M959">
        <v>1</v>
      </c>
    </row>
    <row r="960" spans="1:13" x14ac:dyDescent="0.25">
      <c r="A960" t="s">
        <v>100</v>
      </c>
      <c r="B960" t="s">
        <v>35</v>
      </c>
      <c r="C960" t="s">
        <v>14</v>
      </c>
      <c r="D960" t="s">
        <v>97</v>
      </c>
      <c r="E960" t="s">
        <v>21</v>
      </c>
      <c r="F960" t="s">
        <v>21</v>
      </c>
      <c r="G960">
        <v>3500</v>
      </c>
      <c r="H960" s="1">
        <v>45373</v>
      </c>
      <c r="I960">
        <v>2024</v>
      </c>
      <c r="J960">
        <v>3</v>
      </c>
      <c r="K960" t="s">
        <v>26</v>
      </c>
      <c r="L960" t="s">
        <v>21</v>
      </c>
      <c r="M960">
        <v>0</v>
      </c>
    </row>
    <row r="961" spans="1:13" x14ac:dyDescent="0.25">
      <c r="A961" t="s">
        <v>832</v>
      </c>
      <c r="B961" t="s">
        <v>28</v>
      </c>
      <c r="C961" t="s">
        <v>14</v>
      </c>
      <c r="D961" t="s">
        <v>43</v>
      </c>
      <c r="E961" t="s">
        <v>21</v>
      </c>
      <c r="F961" t="s">
        <v>21</v>
      </c>
      <c r="G961">
        <v>750</v>
      </c>
      <c r="H961" s="1">
        <v>45371</v>
      </c>
      <c r="I961">
        <v>2024</v>
      </c>
      <c r="J961">
        <v>3</v>
      </c>
      <c r="K961" t="s">
        <v>36</v>
      </c>
      <c r="L961" t="s">
        <v>21</v>
      </c>
      <c r="M961">
        <v>0</v>
      </c>
    </row>
    <row r="962" spans="1:13" x14ac:dyDescent="0.25">
      <c r="A962" t="s">
        <v>833</v>
      </c>
      <c r="B962" t="s">
        <v>24</v>
      </c>
      <c r="C962" t="s">
        <v>64</v>
      </c>
      <c r="D962" t="s">
        <v>43</v>
      </c>
      <c r="E962">
        <v>195</v>
      </c>
      <c r="F962">
        <v>0.24</v>
      </c>
      <c r="G962">
        <v>355</v>
      </c>
      <c r="H962" s="1">
        <v>45370</v>
      </c>
      <c r="I962">
        <v>2024</v>
      </c>
      <c r="J962">
        <v>3</v>
      </c>
      <c r="K962" t="s">
        <v>36</v>
      </c>
      <c r="L962">
        <v>0</v>
      </c>
      <c r="M962">
        <v>1</v>
      </c>
    </row>
    <row r="963" spans="1:13" x14ac:dyDescent="0.25">
      <c r="A963" t="s">
        <v>834</v>
      </c>
      <c r="B963" t="s">
        <v>102</v>
      </c>
      <c r="C963" t="s">
        <v>29</v>
      </c>
      <c r="D963" t="s">
        <v>20</v>
      </c>
      <c r="E963">
        <v>100</v>
      </c>
      <c r="F963" t="s">
        <v>21</v>
      </c>
      <c r="G963" t="s">
        <v>21</v>
      </c>
      <c r="H963" s="1">
        <v>45370</v>
      </c>
      <c r="I963">
        <v>2024</v>
      </c>
      <c r="J963">
        <v>3</v>
      </c>
      <c r="K963" t="s">
        <v>22</v>
      </c>
      <c r="L963" t="s">
        <v>21</v>
      </c>
      <c r="M963">
        <v>1</v>
      </c>
    </row>
    <row r="964" spans="1:13" x14ac:dyDescent="0.25">
      <c r="A964" t="s">
        <v>835</v>
      </c>
      <c r="B964" t="s">
        <v>54</v>
      </c>
      <c r="C964" t="s">
        <v>48</v>
      </c>
      <c r="D964" t="s">
        <v>33</v>
      </c>
      <c r="E964" t="s">
        <v>21</v>
      </c>
      <c r="F964">
        <v>0.2</v>
      </c>
      <c r="G964">
        <v>50</v>
      </c>
      <c r="H964" s="1">
        <v>45370</v>
      </c>
      <c r="I964">
        <v>2024</v>
      </c>
      <c r="J964">
        <v>3</v>
      </c>
      <c r="K964" t="s">
        <v>30</v>
      </c>
      <c r="L964">
        <v>0</v>
      </c>
      <c r="M964">
        <v>1</v>
      </c>
    </row>
    <row r="965" spans="1:13" x14ac:dyDescent="0.25">
      <c r="A965" t="s">
        <v>836</v>
      </c>
      <c r="B965" t="s">
        <v>35</v>
      </c>
      <c r="C965" t="s">
        <v>14</v>
      </c>
      <c r="D965" t="s">
        <v>15</v>
      </c>
      <c r="E965" t="s">
        <v>21</v>
      </c>
      <c r="F965">
        <v>0.2</v>
      </c>
      <c r="G965">
        <v>176</v>
      </c>
      <c r="H965" s="1">
        <v>45370</v>
      </c>
      <c r="I965">
        <v>2024</v>
      </c>
      <c r="J965">
        <v>3</v>
      </c>
      <c r="K965" t="s">
        <v>36</v>
      </c>
      <c r="L965">
        <v>0</v>
      </c>
      <c r="M965">
        <v>1</v>
      </c>
    </row>
    <row r="966" spans="1:13" x14ac:dyDescent="0.25">
      <c r="A966" t="s">
        <v>837</v>
      </c>
      <c r="B966" t="s">
        <v>217</v>
      </c>
      <c r="C966" t="s">
        <v>657</v>
      </c>
      <c r="D966" t="s">
        <v>22</v>
      </c>
      <c r="E966" t="s">
        <v>21</v>
      </c>
      <c r="F966">
        <v>0.05</v>
      </c>
      <c r="G966" t="s">
        <v>21</v>
      </c>
      <c r="H966" s="1">
        <v>45369</v>
      </c>
      <c r="I966">
        <v>2024</v>
      </c>
      <c r="J966">
        <v>3</v>
      </c>
      <c r="K966" t="s">
        <v>22</v>
      </c>
      <c r="L966">
        <v>0</v>
      </c>
      <c r="M966">
        <v>1</v>
      </c>
    </row>
    <row r="967" spans="1:13" x14ac:dyDescent="0.25">
      <c r="A967" t="s">
        <v>838</v>
      </c>
      <c r="B967" t="s">
        <v>117</v>
      </c>
      <c r="C967" t="s">
        <v>14</v>
      </c>
      <c r="D967" t="s">
        <v>55</v>
      </c>
      <c r="E967">
        <v>54</v>
      </c>
      <c r="F967" t="s">
        <v>21</v>
      </c>
      <c r="G967">
        <v>399</v>
      </c>
      <c r="H967" s="1">
        <v>45367</v>
      </c>
      <c r="I967">
        <v>2024</v>
      </c>
      <c r="J967">
        <v>3</v>
      </c>
      <c r="K967" t="s">
        <v>36</v>
      </c>
      <c r="L967" t="s">
        <v>21</v>
      </c>
      <c r="M967">
        <v>1</v>
      </c>
    </row>
    <row r="968" spans="1:13" x14ac:dyDescent="0.25">
      <c r="A968" t="s">
        <v>839</v>
      </c>
      <c r="B968" t="s">
        <v>77</v>
      </c>
      <c r="C968" t="s">
        <v>14</v>
      </c>
      <c r="D968" t="s">
        <v>46</v>
      </c>
      <c r="E968">
        <v>20</v>
      </c>
      <c r="F968" t="s">
        <v>21</v>
      </c>
      <c r="G968">
        <v>302</v>
      </c>
      <c r="H968" s="1">
        <v>45366</v>
      </c>
      <c r="I968">
        <v>2024</v>
      </c>
      <c r="J968">
        <v>3</v>
      </c>
      <c r="K968" t="s">
        <v>36</v>
      </c>
      <c r="L968" t="s">
        <v>21</v>
      </c>
      <c r="M968">
        <v>1</v>
      </c>
    </row>
    <row r="969" spans="1:13" x14ac:dyDescent="0.25">
      <c r="A969" t="s">
        <v>840</v>
      </c>
      <c r="B969" t="s">
        <v>40</v>
      </c>
      <c r="C969" t="s">
        <v>14</v>
      </c>
      <c r="D969" t="s">
        <v>68</v>
      </c>
      <c r="E969" t="s">
        <v>21</v>
      </c>
      <c r="F969">
        <v>1</v>
      </c>
      <c r="G969">
        <v>16</v>
      </c>
      <c r="H969" s="1">
        <v>45366</v>
      </c>
      <c r="I969">
        <v>2024</v>
      </c>
      <c r="J969">
        <v>3</v>
      </c>
      <c r="K969" t="s">
        <v>30</v>
      </c>
      <c r="L969">
        <v>1</v>
      </c>
      <c r="M969">
        <v>1</v>
      </c>
    </row>
    <row r="970" spans="1:13" x14ac:dyDescent="0.25">
      <c r="A970" t="s">
        <v>841</v>
      </c>
      <c r="B970" t="s">
        <v>18</v>
      </c>
      <c r="C970" t="s">
        <v>14</v>
      </c>
      <c r="D970" t="s">
        <v>15</v>
      </c>
      <c r="E970">
        <v>81</v>
      </c>
      <c r="F970">
        <v>0.06</v>
      </c>
      <c r="G970">
        <v>33</v>
      </c>
      <c r="H970" s="1">
        <v>45365</v>
      </c>
      <c r="I970">
        <v>2024</v>
      </c>
      <c r="J970">
        <v>3</v>
      </c>
      <c r="K970" t="s">
        <v>30</v>
      </c>
      <c r="L970">
        <v>0</v>
      </c>
      <c r="M970">
        <v>1</v>
      </c>
    </row>
    <row r="971" spans="1:13" x14ac:dyDescent="0.25">
      <c r="A971" t="s">
        <v>526</v>
      </c>
      <c r="B971" t="s">
        <v>45</v>
      </c>
      <c r="C971" t="s">
        <v>14</v>
      </c>
      <c r="D971" t="s">
        <v>22</v>
      </c>
      <c r="E971">
        <v>14</v>
      </c>
      <c r="F971">
        <v>0.16</v>
      </c>
      <c r="G971">
        <v>42</v>
      </c>
      <c r="H971" s="1">
        <v>45365</v>
      </c>
      <c r="I971">
        <v>2024</v>
      </c>
      <c r="J971">
        <v>3</v>
      </c>
      <c r="K971" t="s">
        <v>30</v>
      </c>
      <c r="L971">
        <v>0</v>
      </c>
      <c r="M971">
        <v>1</v>
      </c>
    </row>
    <row r="972" spans="1:13" x14ac:dyDescent="0.25">
      <c r="A972" t="s">
        <v>557</v>
      </c>
      <c r="B972" t="s">
        <v>77</v>
      </c>
      <c r="C972" t="s">
        <v>14</v>
      </c>
      <c r="D972" t="s">
        <v>22</v>
      </c>
      <c r="E972">
        <v>80</v>
      </c>
      <c r="F972">
        <v>0.25</v>
      </c>
      <c r="G972">
        <v>480</v>
      </c>
      <c r="H972" s="1">
        <v>45364</v>
      </c>
      <c r="I972">
        <v>2024</v>
      </c>
      <c r="J972">
        <v>3</v>
      </c>
      <c r="K972" t="s">
        <v>36</v>
      </c>
      <c r="L972">
        <v>0</v>
      </c>
      <c r="M972">
        <v>1</v>
      </c>
    </row>
    <row r="973" spans="1:13" x14ac:dyDescent="0.25">
      <c r="A973" t="s">
        <v>842</v>
      </c>
      <c r="B973" t="s">
        <v>66</v>
      </c>
      <c r="C973" t="s">
        <v>14</v>
      </c>
      <c r="D973" t="s">
        <v>22</v>
      </c>
      <c r="E973">
        <v>100</v>
      </c>
      <c r="F973">
        <v>1</v>
      </c>
      <c r="G973">
        <v>86</v>
      </c>
      <c r="H973" s="1">
        <v>45363</v>
      </c>
      <c r="I973">
        <v>2024</v>
      </c>
      <c r="J973">
        <v>3</v>
      </c>
      <c r="K973" t="s">
        <v>30</v>
      </c>
      <c r="L973">
        <v>1</v>
      </c>
      <c r="M973">
        <v>1</v>
      </c>
    </row>
    <row r="974" spans="1:13" x14ac:dyDescent="0.25">
      <c r="A974" t="s">
        <v>640</v>
      </c>
      <c r="B974" t="s">
        <v>70</v>
      </c>
      <c r="C974" t="s">
        <v>14</v>
      </c>
      <c r="D974" t="s">
        <v>15</v>
      </c>
      <c r="E974" t="s">
        <v>21</v>
      </c>
      <c r="F974" t="s">
        <v>21</v>
      </c>
      <c r="G974" t="s">
        <v>21</v>
      </c>
      <c r="H974" s="1">
        <v>45363</v>
      </c>
      <c r="I974">
        <v>2024</v>
      </c>
      <c r="J974">
        <v>3</v>
      </c>
      <c r="K974" t="s">
        <v>22</v>
      </c>
      <c r="L974" t="s">
        <v>21</v>
      </c>
      <c r="M974">
        <v>0</v>
      </c>
    </row>
    <row r="975" spans="1:13" x14ac:dyDescent="0.25">
      <c r="A975" t="s">
        <v>843</v>
      </c>
      <c r="B975" t="s">
        <v>32</v>
      </c>
      <c r="C975" t="s">
        <v>14</v>
      </c>
      <c r="D975" t="s">
        <v>20</v>
      </c>
      <c r="E975">
        <v>11</v>
      </c>
      <c r="F975">
        <v>1</v>
      </c>
      <c r="G975" t="s">
        <v>21</v>
      </c>
      <c r="H975" s="1">
        <v>45362</v>
      </c>
      <c r="I975">
        <v>2024</v>
      </c>
      <c r="J975">
        <v>3</v>
      </c>
      <c r="K975" t="s">
        <v>22</v>
      </c>
      <c r="L975">
        <v>1</v>
      </c>
      <c r="M975">
        <v>1</v>
      </c>
    </row>
    <row r="976" spans="1:13" x14ac:dyDescent="0.25">
      <c r="A976" t="s">
        <v>844</v>
      </c>
      <c r="B976" t="s">
        <v>106</v>
      </c>
      <c r="C976" t="s">
        <v>14</v>
      </c>
      <c r="D976" t="s">
        <v>46</v>
      </c>
      <c r="E976">
        <v>24</v>
      </c>
      <c r="F976">
        <v>7.0000000000000007E-2</v>
      </c>
      <c r="G976">
        <v>44</v>
      </c>
      <c r="H976" s="1">
        <v>45359</v>
      </c>
      <c r="I976">
        <v>2024</v>
      </c>
      <c r="J976">
        <v>3</v>
      </c>
      <c r="K976" t="s">
        <v>30</v>
      </c>
      <c r="L976">
        <v>0</v>
      </c>
      <c r="M976">
        <v>1</v>
      </c>
    </row>
    <row r="977" spans="1:13" x14ac:dyDescent="0.25">
      <c r="A977" t="s">
        <v>845</v>
      </c>
      <c r="B977" t="s">
        <v>77</v>
      </c>
      <c r="C977" t="s">
        <v>14</v>
      </c>
      <c r="D977" t="s">
        <v>33</v>
      </c>
      <c r="E977" t="s">
        <v>21</v>
      </c>
      <c r="F977">
        <v>0.4</v>
      </c>
      <c r="G977">
        <v>39</v>
      </c>
      <c r="H977" s="1">
        <v>45359</v>
      </c>
      <c r="I977">
        <v>2024</v>
      </c>
      <c r="J977">
        <v>3</v>
      </c>
      <c r="K977" t="s">
        <v>30</v>
      </c>
      <c r="L977">
        <v>0</v>
      </c>
      <c r="M977">
        <v>1</v>
      </c>
    </row>
    <row r="978" spans="1:13" x14ac:dyDescent="0.25">
      <c r="A978" t="s">
        <v>846</v>
      </c>
      <c r="B978" t="s">
        <v>106</v>
      </c>
      <c r="C978" t="s">
        <v>14</v>
      </c>
      <c r="D978" t="s">
        <v>20</v>
      </c>
      <c r="E978">
        <v>15</v>
      </c>
      <c r="F978">
        <v>0.02</v>
      </c>
      <c r="G978" t="s">
        <v>21</v>
      </c>
      <c r="H978" s="1">
        <v>45358</v>
      </c>
      <c r="I978">
        <v>2024</v>
      </c>
      <c r="J978">
        <v>3</v>
      </c>
      <c r="K978" t="s">
        <v>22</v>
      </c>
      <c r="L978">
        <v>0</v>
      </c>
      <c r="M978">
        <v>1</v>
      </c>
    </row>
    <row r="979" spans="1:13" x14ac:dyDescent="0.25">
      <c r="A979" t="s">
        <v>847</v>
      </c>
      <c r="B979" t="s">
        <v>89</v>
      </c>
      <c r="C979" t="s">
        <v>14</v>
      </c>
      <c r="D979" t="s">
        <v>20</v>
      </c>
      <c r="E979" t="s">
        <v>21</v>
      </c>
      <c r="F979" t="s">
        <v>21</v>
      </c>
      <c r="G979">
        <v>147</v>
      </c>
      <c r="H979" s="1">
        <v>45358</v>
      </c>
      <c r="I979">
        <v>2024</v>
      </c>
      <c r="J979">
        <v>3</v>
      </c>
      <c r="K979" t="s">
        <v>36</v>
      </c>
      <c r="L979" t="s">
        <v>21</v>
      </c>
      <c r="M979">
        <v>0</v>
      </c>
    </row>
    <row r="980" spans="1:13" x14ac:dyDescent="0.25">
      <c r="A980" t="s">
        <v>848</v>
      </c>
      <c r="B980" t="s">
        <v>52</v>
      </c>
      <c r="C980" t="s">
        <v>14</v>
      </c>
      <c r="D980" t="s">
        <v>33</v>
      </c>
      <c r="E980">
        <v>22</v>
      </c>
      <c r="F980">
        <v>0.13</v>
      </c>
      <c r="G980">
        <v>739</v>
      </c>
      <c r="H980" s="1">
        <v>45357</v>
      </c>
      <c r="I980">
        <v>2024</v>
      </c>
      <c r="J980">
        <v>3</v>
      </c>
      <c r="K980" t="s">
        <v>36</v>
      </c>
      <c r="L980">
        <v>0</v>
      </c>
      <c r="M980">
        <v>1</v>
      </c>
    </row>
    <row r="981" spans="1:13" x14ac:dyDescent="0.25">
      <c r="A981" t="s">
        <v>131</v>
      </c>
      <c r="B981" t="s">
        <v>18</v>
      </c>
      <c r="C981" t="s">
        <v>14</v>
      </c>
      <c r="D981" t="s">
        <v>15</v>
      </c>
      <c r="E981" t="s">
        <v>21</v>
      </c>
      <c r="F981" t="s">
        <v>21</v>
      </c>
      <c r="G981">
        <v>26000</v>
      </c>
      <c r="H981" s="1">
        <v>45357</v>
      </c>
      <c r="I981">
        <v>2024</v>
      </c>
      <c r="J981">
        <v>3</v>
      </c>
      <c r="K981" t="s">
        <v>26</v>
      </c>
      <c r="L981" t="s">
        <v>21</v>
      </c>
      <c r="M981">
        <v>0</v>
      </c>
    </row>
    <row r="982" spans="1:13" x14ac:dyDescent="0.25">
      <c r="A982" t="s">
        <v>849</v>
      </c>
      <c r="B982" t="s">
        <v>38</v>
      </c>
      <c r="C982" t="s">
        <v>14</v>
      </c>
      <c r="D982" t="s">
        <v>46</v>
      </c>
      <c r="E982" t="s">
        <v>21</v>
      </c>
      <c r="F982" t="s">
        <v>21</v>
      </c>
      <c r="G982">
        <v>105</v>
      </c>
      <c r="H982" s="1">
        <v>45357</v>
      </c>
      <c r="I982">
        <v>2024</v>
      </c>
      <c r="J982">
        <v>3</v>
      </c>
      <c r="K982" t="s">
        <v>36</v>
      </c>
      <c r="L982" t="s">
        <v>21</v>
      </c>
      <c r="M982">
        <v>0</v>
      </c>
    </row>
    <row r="983" spans="1:13" x14ac:dyDescent="0.25">
      <c r="A983" t="s">
        <v>150</v>
      </c>
      <c r="B983" t="s">
        <v>13</v>
      </c>
      <c r="C983" t="s">
        <v>74</v>
      </c>
      <c r="D983" t="s">
        <v>46</v>
      </c>
      <c r="E983">
        <v>90</v>
      </c>
      <c r="F983">
        <v>0.2</v>
      </c>
      <c r="G983">
        <v>1100</v>
      </c>
      <c r="H983" s="1">
        <v>45356</v>
      </c>
      <c r="I983">
        <v>2024</v>
      </c>
      <c r="J983">
        <v>3</v>
      </c>
      <c r="K983" t="s">
        <v>26</v>
      </c>
      <c r="L983">
        <v>0</v>
      </c>
      <c r="M983">
        <v>1</v>
      </c>
    </row>
    <row r="984" spans="1:13" x14ac:dyDescent="0.25">
      <c r="A984" t="s">
        <v>850</v>
      </c>
      <c r="B984" t="s">
        <v>217</v>
      </c>
      <c r="C984" t="s">
        <v>14</v>
      </c>
      <c r="D984" t="s">
        <v>22</v>
      </c>
      <c r="E984" t="s">
        <v>21</v>
      </c>
      <c r="F984" t="s">
        <v>21</v>
      </c>
      <c r="G984">
        <v>966</v>
      </c>
      <c r="H984" s="1">
        <v>45356</v>
      </c>
      <c r="I984">
        <v>2024</v>
      </c>
      <c r="J984">
        <v>3</v>
      </c>
      <c r="K984" t="s">
        <v>36</v>
      </c>
      <c r="L984" t="s">
        <v>21</v>
      </c>
      <c r="M984">
        <v>0</v>
      </c>
    </row>
    <row r="985" spans="1:13" x14ac:dyDescent="0.25">
      <c r="A985" t="s">
        <v>362</v>
      </c>
      <c r="B985" t="s">
        <v>38</v>
      </c>
      <c r="C985" t="s">
        <v>14</v>
      </c>
      <c r="D985" t="s">
        <v>111</v>
      </c>
      <c r="E985" t="s">
        <v>21</v>
      </c>
      <c r="F985" t="s">
        <v>21</v>
      </c>
      <c r="G985">
        <v>569</v>
      </c>
      <c r="H985" s="1">
        <v>45356</v>
      </c>
      <c r="I985">
        <v>2024</v>
      </c>
      <c r="J985">
        <v>3</v>
      </c>
      <c r="K985" t="s">
        <v>36</v>
      </c>
      <c r="L985" t="s">
        <v>21</v>
      </c>
      <c r="M985">
        <v>0</v>
      </c>
    </row>
    <row r="986" spans="1:13" x14ac:dyDescent="0.25">
      <c r="A986" t="s">
        <v>851</v>
      </c>
      <c r="B986" t="s">
        <v>140</v>
      </c>
      <c r="C986" t="s">
        <v>14</v>
      </c>
      <c r="D986" t="s">
        <v>15</v>
      </c>
      <c r="E986">
        <v>80</v>
      </c>
      <c r="F986">
        <v>0.1</v>
      </c>
      <c r="G986">
        <v>462</v>
      </c>
      <c r="H986" s="1">
        <v>45355</v>
      </c>
      <c r="I986">
        <v>2024</v>
      </c>
      <c r="J986">
        <v>3</v>
      </c>
      <c r="K986" t="s">
        <v>36</v>
      </c>
      <c r="L986">
        <v>0</v>
      </c>
      <c r="M986">
        <v>1</v>
      </c>
    </row>
    <row r="987" spans="1:13" x14ac:dyDescent="0.25">
      <c r="A987" t="s">
        <v>852</v>
      </c>
      <c r="B987" t="s">
        <v>77</v>
      </c>
      <c r="C987" t="s">
        <v>14</v>
      </c>
      <c r="D987" t="s">
        <v>55</v>
      </c>
      <c r="E987">
        <v>40</v>
      </c>
      <c r="F987">
        <v>7.0000000000000007E-2</v>
      </c>
      <c r="G987">
        <v>504</v>
      </c>
      <c r="H987" s="1">
        <v>45355</v>
      </c>
      <c r="I987">
        <v>2024</v>
      </c>
      <c r="J987">
        <v>3</v>
      </c>
      <c r="K987" t="s">
        <v>36</v>
      </c>
      <c r="L987">
        <v>0</v>
      </c>
      <c r="M987">
        <v>1</v>
      </c>
    </row>
    <row r="988" spans="1:13" x14ac:dyDescent="0.25">
      <c r="A988" t="s">
        <v>853</v>
      </c>
      <c r="B988" t="s">
        <v>66</v>
      </c>
      <c r="C988" t="s">
        <v>14</v>
      </c>
      <c r="D988" t="s">
        <v>33</v>
      </c>
      <c r="E988">
        <v>40</v>
      </c>
      <c r="F988">
        <v>0.13</v>
      </c>
      <c r="G988">
        <v>390</v>
      </c>
      <c r="H988" s="1">
        <v>45355</v>
      </c>
      <c r="I988">
        <v>2024</v>
      </c>
      <c r="J988">
        <v>3</v>
      </c>
      <c r="K988" t="s">
        <v>36</v>
      </c>
      <c r="L988">
        <v>0</v>
      </c>
      <c r="M988">
        <v>1</v>
      </c>
    </row>
    <row r="989" spans="1:13" x14ac:dyDescent="0.25">
      <c r="A989" t="s">
        <v>854</v>
      </c>
      <c r="B989" t="s">
        <v>35</v>
      </c>
      <c r="C989" t="s">
        <v>14</v>
      </c>
      <c r="D989" t="s">
        <v>22</v>
      </c>
      <c r="E989">
        <v>150</v>
      </c>
      <c r="F989">
        <v>1</v>
      </c>
      <c r="G989" t="s">
        <v>21</v>
      </c>
      <c r="H989" s="1">
        <v>45352</v>
      </c>
      <c r="I989">
        <v>2024</v>
      </c>
      <c r="J989">
        <v>3</v>
      </c>
      <c r="K989" t="s">
        <v>22</v>
      </c>
      <c r="L989">
        <v>1</v>
      </c>
      <c r="M989">
        <v>1</v>
      </c>
    </row>
    <row r="990" spans="1:13" x14ac:dyDescent="0.25">
      <c r="A990" t="s">
        <v>855</v>
      </c>
      <c r="B990" t="s">
        <v>35</v>
      </c>
      <c r="C990" t="s">
        <v>48</v>
      </c>
      <c r="D990" t="s">
        <v>111</v>
      </c>
      <c r="E990">
        <v>120</v>
      </c>
      <c r="F990">
        <v>7.0000000000000007E-2</v>
      </c>
      <c r="G990">
        <v>177</v>
      </c>
      <c r="H990" s="1">
        <v>45352</v>
      </c>
      <c r="I990">
        <v>2024</v>
      </c>
      <c r="J990">
        <v>3</v>
      </c>
      <c r="K990" t="s">
        <v>36</v>
      </c>
      <c r="L990">
        <v>0</v>
      </c>
      <c r="M990">
        <v>1</v>
      </c>
    </row>
    <row r="991" spans="1:13" x14ac:dyDescent="0.25">
      <c r="A991" t="s">
        <v>750</v>
      </c>
      <c r="B991" t="s">
        <v>95</v>
      </c>
      <c r="C991" t="s">
        <v>14</v>
      </c>
      <c r="D991" t="s">
        <v>33</v>
      </c>
      <c r="E991">
        <v>90</v>
      </c>
      <c r="F991">
        <v>0.6</v>
      </c>
      <c r="G991">
        <v>118</v>
      </c>
      <c r="H991" s="1">
        <v>45352</v>
      </c>
      <c r="I991">
        <v>2024</v>
      </c>
      <c r="J991">
        <v>3</v>
      </c>
      <c r="K991" t="s">
        <v>36</v>
      </c>
      <c r="L991">
        <v>0</v>
      </c>
      <c r="M991">
        <v>1</v>
      </c>
    </row>
    <row r="992" spans="1:13" x14ac:dyDescent="0.25">
      <c r="A992" t="s">
        <v>856</v>
      </c>
      <c r="B992" t="s">
        <v>77</v>
      </c>
      <c r="C992" t="s">
        <v>64</v>
      </c>
      <c r="D992" t="s">
        <v>33</v>
      </c>
      <c r="E992" t="s">
        <v>21</v>
      </c>
      <c r="F992" t="s">
        <v>21</v>
      </c>
      <c r="G992">
        <v>175</v>
      </c>
      <c r="H992" s="1">
        <v>45352</v>
      </c>
      <c r="I992">
        <v>2024</v>
      </c>
      <c r="J992">
        <v>3</v>
      </c>
      <c r="K992" t="s">
        <v>36</v>
      </c>
      <c r="L992" t="s">
        <v>21</v>
      </c>
      <c r="M992">
        <v>0</v>
      </c>
    </row>
    <row r="993" spans="1:13" x14ac:dyDescent="0.25">
      <c r="A993" t="s">
        <v>730</v>
      </c>
      <c r="B993" t="s">
        <v>66</v>
      </c>
      <c r="C993" t="s">
        <v>14</v>
      </c>
      <c r="D993" t="s">
        <v>15</v>
      </c>
      <c r="E993" t="s">
        <v>21</v>
      </c>
      <c r="F993">
        <v>0.15</v>
      </c>
      <c r="G993">
        <v>1700</v>
      </c>
      <c r="H993" s="1">
        <v>45351</v>
      </c>
      <c r="I993">
        <v>2024</v>
      </c>
      <c r="J993">
        <v>2</v>
      </c>
      <c r="K993" t="s">
        <v>26</v>
      </c>
      <c r="L993">
        <v>0</v>
      </c>
      <c r="M993">
        <v>1</v>
      </c>
    </row>
    <row r="994" spans="1:13" x14ac:dyDescent="0.25">
      <c r="A994" t="s">
        <v>857</v>
      </c>
      <c r="B994" t="s">
        <v>77</v>
      </c>
      <c r="C994" t="s">
        <v>858</v>
      </c>
      <c r="D994" t="s">
        <v>68</v>
      </c>
      <c r="E994" t="s">
        <v>21</v>
      </c>
      <c r="F994">
        <v>0.14000000000000001</v>
      </c>
      <c r="G994">
        <v>79</v>
      </c>
      <c r="H994" s="1">
        <v>45351</v>
      </c>
      <c r="I994">
        <v>2024</v>
      </c>
      <c r="J994">
        <v>2</v>
      </c>
      <c r="K994" t="s">
        <v>30</v>
      </c>
      <c r="L994">
        <v>0</v>
      </c>
      <c r="M994">
        <v>1</v>
      </c>
    </row>
    <row r="995" spans="1:13" x14ac:dyDescent="0.25">
      <c r="A995" t="s">
        <v>439</v>
      </c>
      <c r="B995" t="s">
        <v>18</v>
      </c>
      <c r="C995" t="s">
        <v>14</v>
      </c>
      <c r="D995" t="s">
        <v>15</v>
      </c>
      <c r="E995">
        <v>670</v>
      </c>
      <c r="F995">
        <v>0.05</v>
      </c>
      <c r="G995">
        <v>2</v>
      </c>
      <c r="H995" s="1">
        <v>45350</v>
      </c>
      <c r="I995">
        <v>2024</v>
      </c>
      <c r="J995">
        <v>2</v>
      </c>
      <c r="K995" t="s">
        <v>16</v>
      </c>
      <c r="L995">
        <v>0</v>
      </c>
      <c r="M995">
        <v>1</v>
      </c>
    </row>
    <row r="996" spans="1:13" x14ac:dyDescent="0.25">
      <c r="A996" t="s">
        <v>774</v>
      </c>
      <c r="B996" t="s">
        <v>73</v>
      </c>
      <c r="C996" t="s">
        <v>14</v>
      </c>
      <c r="D996" t="s">
        <v>15</v>
      </c>
      <c r="E996">
        <v>320</v>
      </c>
      <c r="F996">
        <v>0.05</v>
      </c>
      <c r="G996">
        <v>834</v>
      </c>
      <c r="H996" s="1">
        <v>45350</v>
      </c>
      <c r="I996">
        <v>2024</v>
      </c>
      <c r="J996">
        <v>2</v>
      </c>
      <c r="K996" t="s">
        <v>36</v>
      </c>
      <c r="L996">
        <v>0</v>
      </c>
      <c r="M996">
        <v>1</v>
      </c>
    </row>
    <row r="997" spans="1:13" x14ac:dyDescent="0.25">
      <c r="A997" t="s">
        <v>695</v>
      </c>
      <c r="B997" t="s">
        <v>35</v>
      </c>
      <c r="C997" t="s">
        <v>29</v>
      </c>
      <c r="D997" t="s">
        <v>22</v>
      </c>
      <c r="E997">
        <v>50</v>
      </c>
      <c r="F997">
        <v>0.19</v>
      </c>
      <c r="G997">
        <v>86</v>
      </c>
      <c r="H997" s="1">
        <v>45350</v>
      </c>
      <c r="I997">
        <v>2024</v>
      </c>
      <c r="J997">
        <v>2</v>
      </c>
      <c r="K997" t="s">
        <v>30</v>
      </c>
      <c r="L997">
        <v>0</v>
      </c>
      <c r="M997">
        <v>1</v>
      </c>
    </row>
    <row r="998" spans="1:13" x14ac:dyDescent="0.25">
      <c r="A998" t="s">
        <v>859</v>
      </c>
      <c r="B998" t="s">
        <v>77</v>
      </c>
      <c r="C998" t="s">
        <v>14</v>
      </c>
      <c r="D998" t="s">
        <v>46</v>
      </c>
      <c r="E998">
        <v>40</v>
      </c>
      <c r="F998">
        <v>0.4</v>
      </c>
      <c r="G998">
        <v>71</v>
      </c>
      <c r="H998" s="1">
        <v>45350</v>
      </c>
      <c r="I998">
        <v>2024</v>
      </c>
      <c r="J998">
        <v>2</v>
      </c>
      <c r="K998" t="s">
        <v>30</v>
      </c>
      <c r="L998">
        <v>0</v>
      </c>
      <c r="M998">
        <v>1</v>
      </c>
    </row>
    <row r="999" spans="1:13" x14ac:dyDescent="0.25">
      <c r="A999" t="s">
        <v>772</v>
      </c>
      <c r="B999" t="s">
        <v>66</v>
      </c>
      <c r="C999" t="s">
        <v>14</v>
      </c>
      <c r="D999" t="s">
        <v>22</v>
      </c>
      <c r="E999" t="s">
        <v>21</v>
      </c>
      <c r="F999">
        <v>0.05</v>
      </c>
      <c r="G999" t="s">
        <v>21</v>
      </c>
      <c r="H999" s="1">
        <v>45350</v>
      </c>
      <c r="I999">
        <v>2024</v>
      </c>
      <c r="J999">
        <v>2</v>
      </c>
      <c r="K999" t="s">
        <v>22</v>
      </c>
      <c r="L999">
        <v>0</v>
      </c>
      <c r="M999">
        <v>1</v>
      </c>
    </row>
    <row r="1000" spans="1:13" x14ac:dyDescent="0.25">
      <c r="A1000" t="s">
        <v>860</v>
      </c>
      <c r="B1000" t="s">
        <v>18</v>
      </c>
      <c r="C1000" t="s">
        <v>14</v>
      </c>
      <c r="D1000" t="s">
        <v>97</v>
      </c>
      <c r="E1000">
        <v>900</v>
      </c>
      <c r="F1000">
        <v>0.08</v>
      </c>
      <c r="G1000" t="s">
        <v>21</v>
      </c>
      <c r="H1000" s="1">
        <v>45349</v>
      </c>
      <c r="I1000">
        <v>2024</v>
      </c>
      <c r="J1000">
        <v>2</v>
      </c>
      <c r="K1000" t="s">
        <v>22</v>
      </c>
      <c r="L1000">
        <v>0</v>
      </c>
      <c r="M1000">
        <v>1</v>
      </c>
    </row>
    <row r="1001" spans="1:13" x14ac:dyDescent="0.25">
      <c r="A1001" t="s">
        <v>411</v>
      </c>
      <c r="B1001" t="s">
        <v>18</v>
      </c>
      <c r="C1001" t="s">
        <v>14</v>
      </c>
      <c r="D1001" t="s">
        <v>15</v>
      </c>
      <c r="E1001">
        <v>350</v>
      </c>
      <c r="F1001">
        <v>0.3</v>
      </c>
      <c r="G1001">
        <v>313</v>
      </c>
      <c r="H1001" s="1">
        <v>45349</v>
      </c>
      <c r="I1001">
        <v>2024</v>
      </c>
      <c r="J1001">
        <v>2</v>
      </c>
      <c r="K1001" t="s">
        <v>36</v>
      </c>
      <c r="L1001">
        <v>0</v>
      </c>
      <c r="M1001">
        <v>1</v>
      </c>
    </row>
    <row r="1002" spans="1:13" x14ac:dyDescent="0.25">
      <c r="A1002" t="s">
        <v>861</v>
      </c>
      <c r="B1002" t="s">
        <v>91</v>
      </c>
      <c r="C1002" t="s">
        <v>64</v>
      </c>
      <c r="D1002" t="s">
        <v>15</v>
      </c>
      <c r="E1002">
        <v>79</v>
      </c>
      <c r="F1002" t="s">
        <v>21</v>
      </c>
      <c r="G1002">
        <v>676</v>
      </c>
      <c r="H1002" s="1">
        <v>45349</v>
      </c>
      <c r="I1002">
        <v>2024</v>
      </c>
      <c r="J1002">
        <v>2</v>
      </c>
      <c r="K1002" t="s">
        <v>36</v>
      </c>
      <c r="L1002" t="s">
        <v>21</v>
      </c>
      <c r="M1002">
        <v>1</v>
      </c>
    </row>
    <row r="1003" spans="1:13" x14ac:dyDescent="0.25">
      <c r="A1003" t="s">
        <v>564</v>
      </c>
      <c r="B1003" t="s">
        <v>66</v>
      </c>
      <c r="C1003" t="s">
        <v>14</v>
      </c>
      <c r="D1003" t="s">
        <v>15</v>
      </c>
      <c r="E1003" t="s">
        <v>21</v>
      </c>
      <c r="F1003" t="s">
        <v>21</v>
      </c>
      <c r="G1003">
        <v>1200</v>
      </c>
      <c r="H1003" s="1">
        <v>45349</v>
      </c>
      <c r="I1003">
        <v>2024</v>
      </c>
      <c r="J1003">
        <v>2</v>
      </c>
      <c r="K1003" t="s">
        <v>26</v>
      </c>
      <c r="L1003" t="s">
        <v>21</v>
      </c>
      <c r="M1003">
        <v>0</v>
      </c>
    </row>
    <row r="1004" spans="1:13" x14ac:dyDescent="0.25">
      <c r="A1004" t="s">
        <v>270</v>
      </c>
      <c r="B1004" t="s">
        <v>73</v>
      </c>
      <c r="C1004" t="s">
        <v>14</v>
      </c>
      <c r="D1004" t="s">
        <v>15</v>
      </c>
      <c r="E1004">
        <v>1500</v>
      </c>
      <c r="F1004">
        <v>0.08</v>
      </c>
      <c r="G1004">
        <v>3300</v>
      </c>
      <c r="H1004" s="1">
        <v>45348</v>
      </c>
      <c r="I1004">
        <v>2024</v>
      </c>
      <c r="J1004">
        <v>2</v>
      </c>
      <c r="K1004" t="s">
        <v>26</v>
      </c>
      <c r="L1004">
        <v>0</v>
      </c>
      <c r="M1004">
        <v>1</v>
      </c>
    </row>
    <row r="1005" spans="1:13" x14ac:dyDescent="0.25">
      <c r="A1005" t="s">
        <v>696</v>
      </c>
      <c r="B1005" t="s">
        <v>95</v>
      </c>
      <c r="C1005" t="s">
        <v>48</v>
      </c>
      <c r="D1005" t="s">
        <v>22</v>
      </c>
      <c r="E1005">
        <v>70</v>
      </c>
      <c r="F1005" t="s">
        <v>21</v>
      </c>
      <c r="G1005">
        <v>363</v>
      </c>
      <c r="H1005" s="1">
        <v>45348</v>
      </c>
      <c r="I1005">
        <v>2024</v>
      </c>
      <c r="J1005">
        <v>2</v>
      </c>
      <c r="K1005" t="s">
        <v>36</v>
      </c>
      <c r="L1005" t="s">
        <v>21</v>
      </c>
      <c r="M1005">
        <v>1</v>
      </c>
    </row>
    <row r="1006" spans="1:13" x14ac:dyDescent="0.25">
      <c r="A1006" t="s">
        <v>862</v>
      </c>
      <c r="B1006" t="s">
        <v>24</v>
      </c>
      <c r="C1006" t="s">
        <v>64</v>
      </c>
      <c r="D1006" t="s">
        <v>22</v>
      </c>
      <c r="E1006" t="s">
        <v>21</v>
      </c>
      <c r="F1006" t="s">
        <v>21</v>
      </c>
      <c r="G1006" t="s">
        <v>21</v>
      </c>
      <c r="H1006" s="1">
        <v>45348</v>
      </c>
      <c r="I1006">
        <v>2024</v>
      </c>
      <c r="J1006">
        <v>2</v>
      </c>
      <c r="K1006" t="s">
        <v>22</v>
      </c>
      <c r="L1006" t="s">
        <v>21</v>
      </c>
      <c r="M1006">
        <v>0</v>
      </c>
    </row>
    <row r="1007" spans="1:13" x14ac:dyDescent="0.25">
      <c r="A1007" t="s">
        <v>863</v>
      </c>
      <c r="B1007" t="s">
        <v>35</v>
      </c>
      <c r="C1007" t="s">
        <v>14</v>
      </c>
      <c r="D1007" t="s">
        <v>46</v>
      </c>
      <c r="E1007">
        <v>77</v>
      </c>
      <c r="F1007" t="s">
        <v>21</v>
      </c>
      <c r="G1007">
        <v>315</v>
      </c>
      <c r="H1007" s="1">
        <v>45345</v>
      </c>
      <c r="I1007">
        <v>2024</v>
      </c>
      <c r="J1007">
        <v>2</v>
      </c>
      <c r="K1007" t="s">
        <v>36</v>
      </c>
      <c r="L1007" t="s">
        <v>21</v>
      </c>
      <c r="M1007">
        <v>1</v>
      </c>
    </row>
    <row r="1008" spans="1:13" x14ac:dyDescent="0.25">
      <c r="A1008" t="s">
        <v>864</v>
      </c>
      <c r="B1008" t="s">
        <v>35</v>
      </c>
      <c r="C1008" t="s">
        <v>14</v>
      </c>
      <c r="D1008" t="s">
        <v>55</v>
      </c>
      <c r="E1008">
        <v>56</v>
      </c>
      <c r="F1008" t="s">
        <v>21</v>
      </c>
      <c r="G1008">
        <v>522</v>
      </c>
      <c r="H1008" s="1">
        <v>45345</v>
      </c>
      <c r="I1008">
        <v>2024</v>
      </c>
      <c r="J1008">
        <v>2</v>
      </c>
      <c r="K1008" t="s">
        <v>36</v>
      </c>
      <c r="L1008" t="s">
        <v>21</v>
      </c>
      <c r="M1008">
        <v>1</v>
      </c>
    </row>
    <row r="1009" spans="1:13" x14ac:dyDescent="0.25">
      <c r="A1009" t="s">
        <v>865</v>
      </c>
      <c r="B1009" t="s">
        <v>32</v>
      </c>
      <c r="C1009" t="s">
        <v>14</v>
      </c>
      <c r="D1009" t="s">
        <v>22</v>
      </c>
      <c r="E1009" t="s">
        <v>21</v>
      </c>
      <c r="F1009" t="s">
        <v>21</v>
      </c>
      <c r="G1009">
        <v>1600</v>
      </c>
      <c r="H1009" s="1">
        <v>45344</v>
      </c>
      <c r="I1009">
        <v>2024</v>
      </c>
      <c r="J1009">
        <v>2</v>
      </c>
      <c r="K1009" t="s">
        <v>26</v>
      </c>
      <c r="L1009" t="s">
        <v>21</v>
      </c>
      <c r="M1009">
        <v>0</v>
      </c>
    </row>
    <row r="1010" spans="1:13" x14ac:dyDescent="0.25">
      <c r="A1010" t="s">
        <v>866</v>
      </c>
      <c r="B1010" t="s">
        <v>77</v>
      </c>
      <c r="C1010" t="s">
        <v>14</v>
      </c>
      <c r="D1010" t="s">
        <v>15</v>
      </c>
      <c r="E1010">
        <v>60</v>
      </c>
      <c r="F1010" t="s">
        <v>21</v>
      </c>
      <c r="G1010">
        <v>1500</v>
      </c>
      <c r="H1010" s="1">
        <v>45343</v>
      </c>
      <c r="I1010">
        <v>2024</v>
      </c>
      <c r="J1010">
        <v>2</v>
      </c>
      <c r="K1010" t="s">
        <v>26</v>
      </c>
      <c r="L1010" t="s">
        <v>21</v>
      </c>
      <c r="M1010">
        <v>1</v>
      </c>
    </row>
    <row r="1011" spans="1:13" x14ac:dyDescent="0.25">
      <c r="A1011" t="s">
        <v>867</v>
      </c>
      <c r="B1011" t="s">
        <v>24</v>
      </c>
      <c r="C1011" t="s">
        <v>42</v>
      </c>
      <c r="D1011" t="s">
        <v>22</v>
      </c>
      <c r="E1011">
        <v>60</v>
      </c>
      <c r="F1011">
        <v>0.17</v>
      </c>
      <c r="G1011">
        <v>30</v>
      </c>
      <c r="H1011" s="1">
        <v>45343</v>
      </c>
      <c r="I1011">
        <v>2024</v>
      </c>
      <c r="J1011">
        <v>2</v>
      </c>
      <c r="K1011" t="s">
        <v>30</v>
      </c>
      <c r="L1011">
        <v>0</v>
      </c>
      <c r="M1011">
        <v>1</v>
      </c>
    </row>
    <row r="1012" spans="1:13" x14ac:dyDescent="0.25">
      <c r="A1012" t="s">
        <v>868</v>
      </c>
      <c r="B1012" t="s">
        <v>32</v>
      </c>
      <c r="C1012" t="s">
        <v>14</v>
      </c>
      <c r="D1012" t="s">
        <v>15</v>
      </c>
      <c r="E1012" t="s">
        <v>21</v>
      </c>
      <c r="F1012">
        <v>0.16</v>
      </c>
      <c r="G1012">
        <v>696</v>
      </c>
      <c r="H1012" s="1">
        <v>45343</v>
      </c>
      <c r="I1012">
        <v>2024</v>
      </c>
      <c r="J1012">
        <v>2</v>
      </c>
      <c r="K1012" t="s">
        <v>36</v>
      </c>
      <c r="L1012">
        <v>0</v>
      </c>
      <c r="M1012">
        <v>1</v>
      </c>
    </row>
    <row r="1013" spans="1:13" x14ac:dyDescent="0.25">
      <c r="A1013" t="s">
        <v>85</v>
      </c>
      <c r="B1013" t="s">
        <v>66</v>
      </c>
      <c r="C1013" t="s">
        <v>14</v>
      </c>
      <c r="D1013" t="s">
        <v>15</v>
      </c>
      <c r="E1013" t="s">
        <v>21</v>
      </c>
      <c r="F1013">
        <v>0.1</v>
      </c>
      <c r="G1013">
        <v>10700</v>
      </c>
      <c r="H1013" s="1">
        <v>45343</v>
      </c>
      <c r="I1013">
        <v>2024</v>
      </c>
      <c r="J1013">
        <v>2</v>
      </c>
      <c r="K1013" t="s">
        <v>26</v>
      </c>
      <c r="L1013">
        <v>0</v>
      </c>
      <c r="M1013">
        <v>1</v>
      </c>
    </row>
    <row r="1014" spans="1:13" x14ac:dyDescent="0.25">
      <c r="A1014" t="s">
        <v>869</v>
      </c>
      <c r="B1014" t="s">
        <v>66</v>
      </c>
      <c r="C1014" t="s">
        <v>870</v>
      </c>
      <c r="D1014" t="s">
        <v>15</v>
      </c>
      <c r="E1014">
        <v>250</v>
      </c>
      <c r="F1014" t="s">
        <v>21</v>
      </c>
      <c r="G1014">
        <v>8</v>
      </c>
      <c r="H1014" s="1">
        <v>45342</v>
      </c>
      <c r="I1014">
        <v>2024</v>
      </c>
      <c r="J1014">
        <v>2</v>
      </c>
      <c r="K1014" t="s">
        <v>16</v>
      </c>
      <c r="L1014" t="s">
        <v>21</v>
      </c>
      <c r="M1014">
        <v>1</v>
      </c>
    </row>
    <row r="1015" spans="1:13" x14ac:dyDescent="0.25">
      <c r="A1015" t="s">
        <v>871</v>
      </c>
      <c r="B1015" t="s">
        <v>24</v>
      </c>
      <c r="C1015" t="s">
        <v>80</v>
      </c>
      <c r="D1015" t="s">
        <v>68</v>
      </c>
      <c r="E1015">
        <v>55</v>
      </c>
      <c r="F1015">
        <v>0.25</v>
      </c>
      <c r="G1015">
        <v>5</v>
      </c>
      <c r="H1015" s="1">
        <v>45342</v>
      </c>
      <c r="I1015">
        <v>2024</v>
      </c>
      <c r="J1015">
        <v>2</v>
      </c>
      <c r="K1015" t="s">
        <v>16</v>
      </c>
      <c r="L1015">
        <v>0</v>
      </c>
      <c r="M1015">
        <v>1</v>
      </c>
    </row>
    <row r="1016" spans="1:13" x14ac:dyDescent="0.25">
      <c r="A1016" t="s">
        <v>872</v>
      </c>
      <c r="B1016" t="s">
        <v>24</v>
      </c>
      <c r="C1016" t="s">
        <v>14</v>
      </c>
      <c r="D1016" t="s">
        <v>22</v>
      </c>
      <c r="E1016" t="s">
        <v>21</v>
      </c>
      <c r="F1016" t="s">
        <v>21</v>
      </c>
      <c r="G1016" t="s">
        <v>21</v>
      </c>
      <c r="H1016" s="1">
        <v>45342</v>
      </c>
      <c r="I1016">
        <v>2024</v>
      </c>
      <c r="J1016">
        <v>2</v>
      </c>
      <c r="K1016" t="s">
        <v>22</v>
      </c>
      <c r="L1016" t="s">
        <v>21</v>
      </c>
      <c r="M1016">
        <v>0</v>
      </c>
    </row>
    <row r="1017" spans="1:13" x14ac:dyDescent="0.25">
      <c r="A1017" t="s">
        <v>873</v>
      </c>
      <c r="B1017" t="s">
        <v>52</v>
      </c>
      <c r="C1017" t="s">
        <v>80</v>
      </c>
      <c r="D1017" t="s">
        <v>20</v>
      </c>
      <c r="E1017" t="s">
        <v>21</v>
      </c>
      <c r="F1017">
        <v>0.3</v>
      </c>
      <c r="G1017">
        <v>3</v>
      </c>
      <c r="H1017" s="1">
        <v>45342</v>
      </c>
      <c r="I1017">
        <v>2024</v>
      </c>
      <c r="J1017">
        <v>2</v>
      </c>
      <c r="K1017" t="s">
        <v>16</v>
      </c>
      <c r="L1017">
        <v>0</v>
      </c>
      <c r="M1017">
        <v>1</v>
      </c>
    </row>
    <row r="1018" spans="1:13" x14ac:dyDescent="0.25">
      <c r="A1018" t="s">
        <v>874</v>
      </c>
      <c r="B1018" t="s">
        <v>95</v>
      </c>
      <c r="C1018" t="s">
        <v>14</v>
      </c>
      <c r="D1018" t="s">
        <v>46</v>
      </c>
      <c r="E1018" t="s">
        <v>21</v>
      </c>
      <c r="F1018">
        <v>0.3</v>
      </c>
      <c r="G1018">
        <v>274</v>
      </c>
      <c r="H1018" s="1">
        <v>45342</v>
      </c>
      <c r="I1018">
        <v>2024</v>
      </c>
      <c r="J1018">
        <v>2</v>
      </c>
      <c r="K1018" t="s">
        <v>36</v>
      </c>
      <c r="L1018">
        <v>0</v>
      </c>
      <c r="M1018">
        <v>1</v>
      </c>
    </row>
    <row r="1019" spans="1:13" x14ac:dyDescent="0.25">
      <c r="A1019" t="s">
        <v>875</v>
      </c>
      <c r="B1019" t="s">
        <v>24</v>
      </c>
      <c r="C1019" t="s">
        <v>80</v>
      </c>
      <c r="D1019" t="s">
        <v>20</v>
      </c>
      <c r="E1019">
        <v>2000</v>
      </c>
      <c r="F1019">
        <v>0.25</v>
      </c>
      <c r="G1019">
        <v>1700</v>
      </c>
      <c r="H1019" s="1">
        <v>45338</v>
      </c>
      <c r="I1019">
        <v>2024</v>
      </c>
      <c r="J1019">
        <v>2</v>
      </c>
      <c r="K1019" t="s">
        <v>26</v>
      </c>
      <c r="L1019">
        <v>0</v>
      </c>
      <c r="M1019">
        <v>1</v>
      </c>
    </row>
    <row r="1020" spans="1:13" x14ac:dyDescent="0.25">
      <c r="A1020" t="s">
        <v>876</v>
      </c>
      <c r="B1020" t="s">
        <v>66</v>
      </c>
      <c r="C1020" t="s">
        <v>161</v>
      </c>
      <c r="D1020" t="s">
        <v>55</v>
      </c>
      <c r="E1020">
        <v>120</v>
      </c>
      <c r="F1020">
        <v>0.12</v>
      </c>
      <c r="G1020">
        <v>515</v>
      </c>
      <c r="H1020" s="1">
        <v>45338</v>
      </c>
      <c r="I1020">
        <v>2024</v>
      </c>
      <c r="J1020">
        <v>2</v>
      </c>
      <c r="K1020" t="s">
        <v>36</v>
      </c>
      <c r="L1020">
        <v>0</v>
      </c>
      <c r="M1020">
        <v>1</v>
      </c>
    </row>
    <row r="1021" spans="1:13" x14ac:dyDescent="0.25">
      <c r="A1021" t="s">
        <v>877</v>
      </c>
      <c r="B1021" t="s">
        <v>95</v>
      </c>
      <c r="C1021" t="s">
        <v>14</v>
      </c>
      <c r="D1021" t="s">
        <v>15</v>
      </c>
      <c r="E1021">
        <v>550</v>
      </c>
      <c r="F1021">
        <v>0.1</v>
      </c>
      <c r="G1021">
        <v>962</v>
      </c>
      <c r="H1021" s="1">
        <v>45337</v>
      </c>
      <c r="I1021">
        <v>2024</v>
      </c>
      <c r="J1021">
        <v>2</v>
      </c>
      <c r="K1021" t="s">
        <v>36</v>
      </c>
      <c r="L1021">
        <v>0</v>
      </c>
      <c r="M1021">
        <v>1</v>
      </c>
    </row>
    <row r="1022" spans="1:13" x14ac:dyDescent="0.25">
      <c r="A1022" t="s">
        <v>331</v>
      </c>
      <c r="B1022" t="s">
        <v>73</v>
      </c>
      <c r="C1022" t="s">
        <v>14</v>
      </c>
      <c r="D1022" t="s">
        <v>15</v>
      </c>
      <c r="E1022">
        <v>106</v>
      </c>
      <c r="F1022">
        <v>0.17</v>
      </c>
      <c r="G1022">
        <v>839</v>
      </c>
      <c r="H1022" s="1">
        <v>45337</v>
      </c>
      <c r="I1022">
        <v>2024</v>
      </c>
      <c r="J1022">
        <v>2</v>
      </c>
      <c r="K1022" t="s">
        <v>36</v>
      </c>
      <c r="L1022">
        <v>0</v>
      </c>
      <c r="M1022">
        <v>1</v>
      </c>
    </row>
    <row r="1023" spans="1:13" x14ac:dyDescent="0.25">
      <c r="A1023" t="s">
        <v>878</v>
      </c>
      <c r="B1023" t="s">
        <v>342</v>
      </c>
      <c r="C1023" t="s">
        <v>14</v>
      </c>
      <c r="D1023" t="s">
        <v>46</v>
      </c>
      <c r="E1023">
        <v>90</v>
      </c>
      <c r="F1023" t="s">
        <v>21</v>
      </c>
      <c r="G1023">
        <v>161</v>
      </c>
      <c r="H1023" s="1">
        <v>45337</v>
      </c>
      <c r="I1023">
        <v>2024</v>
      </c>
      <c r="J1023">
        <v>2</v>
      </c>
      <c r="K1023" t="s">
        <v>36</v>
      </c>
      <c r="L1023" t="s">
        <v>21</v>
      </c>
      <c r="M1023">
        <v>1</v>
      </c>
    </row>
    <row r="1024" spans="1:13" x14ac:dyDescent="0.25">
      <c r="A1024" t="s">
        <v>879</v>
      </c>
      <c r="B1024" t="s">
        <v>18</v>
      </c>
      <c r="C1024" t="s">
        <v>161</v>
      </c>
      <c r="D1024" t="s">
        <v>15</v>
      </c>
      <c r="E1024">
        <v>80</v>
      </c>
      <c r="F1024">
        <v>0.13</v>
      </c>
      <c r="G1024">
        <v>312</v>
      </c>
      <c r="H1024" s="1">
        <v>45337</v>
      </c>
      <c r="I1024">
        <v>2024</v>
      </c>
      <c r="J1024">
        <v>2</v>
      </c>
      <c r="K1024" t="s">
        <v>36</v>
      </c>
      <c r="L1024">
        <v>0</v>
      </c>
      <c r="M1024">
        <v>1</v>
      </c>
    </row>
    <row r="1025" spans="1:13" x14ac:dyDescent="0.25">
      <c r="A1025" t="s">
        <v>750</v>
      </c>
      <c r="B1025" t="s">
        <v>95</v>
      </c>
      <c r="C1025" t="s">
        <v>14</v>
      </c>
      <c r="D1025" t="s">
        <v>33</v>
      </c>
      <c r="E1025">
        <v>20</v>
      </c>
      <c r="F1025">
        <v>0.1</v>
      </c>
      <c r="G1025">
        <v>118</v>
      </c>
      <c r="H1025" s="1">
        <v>45337</v>
      </c>
      <c r="I1025">
        <v>2024</v>
      </c>
      <c r="J1025">
        <v>2</v>
      </c>
      <c r="K1025" t="s">
        <v>36</v>
      </c>
      <c r="L1025">
        <v>0</v>
      </c>
      <c r="M1025">
        <v>1</v>
      </c>
    </row>
    <row r="1026" spans="1:13" x14ac:dyDescent="0.25">
      <c r="A1026" t="s">
        <v>880</v>
      </c>
      <c r="B1026" t="s">
        <v>38</v>
      </c>
      <c r="C1026" t="s">
        <v>14</v>
      </c>
      <c r="D1026" t="s">
        <v>49</v>
      </c>
      <c r="E1026" t="s">
        <v>21</v>
      </c>
      <c r="F1026">
        <v>1</v>
      </c>
      <c r="G1026">
        <v>10</v>
      </c>
      <c r="H1026" s="1">
        <v>45337</v>
      </c>
      <c r="I1026">
        <v>2024</v>
      </c>
      <c r="J1026">
        <v>2</v>
      </c>
      <c r="K1026" t="s">
        <v>30</v>
      </c>
      <c r="L1026">
        <v>1</v>
      </c>
      <c r="M1026">
        <v>1</v>
      </c>
    </row>
    <row r="1027" spans="1:13" x14ac:dyDescent="0.25">
      <c r="A1027" t="s">
        <v>881</v>
      </c>
      <c r="B1027" t="s">
        <v>66</v>
      </c>
      <c r="C1027" t="s">
        <v>14</v>
      </c>
      <c r="D1027" t="s">
        <v>55</v>
      </c>
      <c r="E1027" t="s">
        <v>21</v>
      </c>
      <c r="F1027">
        <v>0.13</v>
      </c>
      <c r="G1027">
        <v>303</v>
      </c>
      <c r="H1027" s="1">
        <v>45337</v>
      </c>
      <c r="I1027">
        <v>2024</v>
      </c>
      <c r="J1027">
        <v>2</v>
      </c>
      <c r="K1027" t="s">
        <v>36</v>
      </c>
      <c r="L1027">
        <v>0</v>
      </c>
      <c r="M1027">
        <v>1</v>
      </c>
    </row>
    <row r="1028" spans="1:13" x14ac:dyDescent="0.25">
      <c r="A1028" t="s">
        <v>139</v>
      </c>
      <c r="B1028" t="s">
        <v>140</v>
      </c>
      <c r="C1028" t="s">
        <v>14</v>
      </c>
      <c r="D1028" t="s">
        <v>15</v>
      </c>
      <c r="E1028">
        <v>4250</v>
      </c>
      <c r="F1028">
        <v>0.05</v>
      </c>
      <c r="G1028">
        <v>2</v>
      </c>
      <c r="H1028" s="1">
        <v>45336</v>
      </c>
      <c r="I1028">
        <v>2024</v>
      </c>
      <c r="J1028">
        <v>2</v>
      </c>
      <c r="K1028" t="s">
        <v>16</v>
      </c>
      <c r="L1028">
        <v>0</v>
      </c>
      <c r="M1028">
        <v>1</v>
      </c>
    </row>
    <row r="1029" spans="1:13" x14ac:dyDescent="0.25">
      <c r="A1029" t="s">
        <v>882</v>
      </c>
      <c r="B1029" t="s">
        <v>77</v>
      </c>
      <c r="C1029" t="s">
        <v>48</v>
      </c>
      <c r="D1029" t="s">
        <v>68</v>
      </c>
      <c r="E1029">
        <v>19</v>
      </c>
      <c r="F1029">
        <v>0.2</v>
      </c>
      <c r="G1029">
        <v>16</v>
      </c>
      <c r="H1029" s="1">
        <v>45336</v>
      </c>
      <c r="I1029">
        <v>2024</v>
      </c>
      <c r="J1029">
        <v>2</v>
      </c>
      <c r="K1029" t="s">
        <v>30</v>
      </c>
      <c r="L1029">
        <v>0</v>
      </c>
      <c r="M1029">
        <v>1</v>
      </c>
    </row>
    <row r="1030" spans="1:13" x14ac:dyDescent="0.25">
      <c r="A1030" t="s">
        <v>883</v>
      </c>
      <c r="B1030" t="s">
        <v>24</v>
      </c>
      <c r="C1030" t="s">
        <v>14</v>
      </c>
      <c r="D1030" t="s">
        <v>55</v>
      </c>
      <c r="E1030" t="s">
        <v>21</v>
      </c>
      <c r="F1030">
        <v>0.25</v>
      </c>
      <c r="G1030">
        <v>181</v>
      </c>
      <c r="H1030" s="1">
        <v>45336</v>
      </c>
      <c r="I1030">
        <v>2024</v>
      </c>
      <c r="J1030">
        <v>2</v>
      </c>
      <c r="K1030" t="s">
        <v>36</v>
      </c>
      <c r="L1030">
        <v>0</v>
      </c>
      <c r="M1030">
        <v>1</v>
      </c>
    </row>
    <row r="1031" spans="1:13" x14ac:dyDescent="0.25">
      <c r="A1031" t="s">
        <v>884</v>
      </c>
      <c r="B1031" t="s">
        <v>95</v>
      </c>
      <c r="C1031" t="s">
        <v>14</v>
      </c>
      <c r="D1031" t="s">
        <v>15</v>
      </c>
      <c r="E1031">
        <v>250</v>
      </c>
      <c r="F1031">
        <v>7.0000000000000007E-2</v>
      </c>
      <c r="G1031">
        <v>2900</v>
      </c>
      <c r="H1031" s="1">
        <v>45335</v>
      </c>
      <c r="I1031">
        <v>2024</v>
      </c>
      <c r="J1031">
        <v>2</v>
      </c>
      <c r="K1031" t="s">
        <v>26</v>
      </c>
      <c r="L1031">
        <v>0</v>
      </c>
      <c r="M1031">
        <v>1</v>
      </c>
    </row>
    <row r="1032" spans="1:13" x14ac:dyDescent="0.25">
      <c r="A1032" t="s">
        <v>863</v>
      </c>
      <c r="B1032" t="s">
        <v>35</v>
      </c>
      <c r="C1032" t="s">
        <v>14</v>
      </c>
      <c r="D1032" t="s">
        <v>22</v>
      </c>
      <c r="E1032">
        <v>77</v>
      </c>
      <c r="F1032" t="s">
        <v>21</v>
      </c>
      <c r="G1032">
        <v>315</v>
      </c>
      <c r="H1032" s="1">
        <v>45335</v>
      </c>
      <c r="I1032">
        <v>2024</v>
      </c>
      <c r="J1032">
        <v>2</v>
      </c>
      <c r="K1032" t="s">
        <v>36</v>
      </c>
      <c r="L1032" t="s">
        <v>21</v>
      </c>
      <c r="M1032">
        <v>1</v>
      </c>
    </row>
    <row r="1033" spans="1:13" x14ac:dyDescent="0.25">
      <c r="A1033" t="s">
        <v>885</v>
      </c>
      <c r="B1033" t="s">
        <v>18</v>
      </c>
      <c r="C1033" t="s">
        <v>14</v>
      </c>
      <c r="D1033" t="s">
        <v>22</v>
      </c>
      <c r="E1033">
        <v>60</v>
      </c>
      <c r="F1033">
        <v>0.05</v>
      </c>
      <c r="G1033">
        <v>2.2999999999999998</v>
      </c>
      <c r="H1033" s="1">
        <v>45335</v>
      </c>
      <c r="I1033">
        <v>2024</v>
      </c>
      <c r="J1033">
        <v>2</v>
      </c>
      <c r="K1033" t="s">
        <v>16</v>
      </c>
      <c r="L1033">
        <v>0</v>
      </c>
      <c r="M1033">
        <v>1</v>
      </c>
    </row>
    <row r="1034" spans="1:13" x14ac:dyDescent="0.25">
      <c r="A1034" t="s">
        <v>886</v>
      </c>
      <c r="B1034" t="s">
        <v>13</v>
      </c>
      <c r="C1034" t="s">
        <v>14</v>
      </c>
      <c r="D1034" t="s">
        <v>15</v>
      </c>
      <c r="E1034">
        <v>50</v>
      </c>
      <c r="F1034">
        <v>0.1</v>
      </c>
      <c r="G1034">
        <v>137</v>
      </c>
      <c r="H1034" s="1">
        <v>45335</v>
      </c>
      <c r="I1034">
        <v>2024</v>
      </c>
      <c r="J1034">
        <v>2</v>
      </c>
      <c r="K1034" t="s">
        <v>36</v>
      </c>
      <c r="L1034">
        <v>0</v>
      </c>
      <c r="M1034">
        <v>1</v>
      </c>
    </row>
    <row r="1035" spans="1:13" x14ac:dyDescent="0.25">
      <c r="A1035" t="s">
        <v>487</v>
      </c>
      <c r="B1035" t="s">
        <v>24</v>
      </c>
      <c r="C1035" t="s">
        <v>14</v>
      </c>
      <c r="D1035" t="s">
        <v>15</v>
      </c>
      <c r="E1035">
        <v>40</v>
      </c>
      <c r="F1035">
        <v>0.06</v>
      </c>
      <c r="G1035">
        <v>229</v>
      </c>
      <c r="H1035" s="1">
        <v>45335</v>
      </c>
      <c r="I1035">
        <v>2024</v>
      </c>
      <c r="J1035">
        <v>2</v>
      </c>
      <c r="K1035" t="s">
        <v>36</v>
      </c>
      <c r="L1035">
        <v>0</v>
      </c>
      <c r="M1035">
        <v>1</v>
      </c>
    </row>
    <row r="1036" spans="1:13" x14ac:dyDescent="0.25">
      <c r="A1036" t="s">
        <v>887</v>
      </c>
      <c r="B1036" t="s">
        <v>18</v>
      </c>
      <c r="C1036" t="s">
        <v>29</v>
      </c>
      <c r="D1036" t="s">
        <v>68</v>
      </c>
      <c r="E1036" t="s">
        <v>21</v>
      </c>
      <c r="F1036">
        <v>1</v>
      </c>
      <c r="G1036">
        <v>15</v>
      </c>
      <c r="H1036" s="1">
        <v>45335</v>
      </c>
      <c r="I1036">
        <v>2024</v>
      </c>
      <c r="J1036">
        <v>2</v>
      </c>
      <c r="K1036" t="s">
        <v>30</v>
      </c>
      <c r="L1036">
        <v>1</v>
      </c>
      <c r="M1036">
        <v>1</v>
      </c>
    </row>
    <row r="1037" spans="1:13" x14ac:dyDescent="0.25">
      <c r="A1037" t="s">
        <v>888</v>
      </c>
      <c r="B1037" t="s">
        <v>18</v>
      </c>
      <c r="C1037" t="s">
        <v>83</v>
      </c>
      <c r="D1037" t="s">
        <v>20</v>
      </c>
      <c r="E1037" t="s">
        <v>21</v>
      </c>
      <c r="F1037" t="s">
        <v>21</v>
      </c>
      <c r="G1037" t="s">
        <v>21</v>
      </c>
      <c r="H1037" s="1">
        <v>45335</v>
      </c>
      <c r="I1037">
        <v>2024</v>
      </c>
      <c r="J1037">
        <v>2</v>
      </c>
      <c r="K1037" t="s">
        <v>22</v>
      </c>
      <c r="L1037" t="s">
        <v>21</v>
      </c>
      <c r="M1037">
        <v>0</v>
      </c>
    </row>
    <row r="1038" spans="1:13" x14ac:dyDescent="0.25">
      <c r="A1038" t="s">
        <v>889</v>
      </c>
      <c r="B1038" t="s">
        <v>66</v>
      </c>
      <c r="C1038" t="s">
        <v>29</v>
      </c>
      <c r="D1038" t="s">
        <v>22</v>
      </c>
      <c r="E1038" t="s">
        <v>21</v>
      </c>
      <c r="F1038">
        <v>1</v>
      </c>
      <c r="G1038">
        <v>37</v>
      </c>
      <c r="H1038" s="1">
        <v>45335</v>
      </c>
      <c r="I1038">
        <v>2024</v>
      </c>
      <c r="J1038">
        <v>2</v>
      </c>
      <c r="K1038" t="s">
        <v>30</v>
      </c>
      <c r="L1038">
        <v>1</v>
      </c>
      <c r="M1038">
        <v>1</v>
      </c>
    </row>
    <row r="1039" spans="1:13" x14ac:dyDescent="0.25">
      <c r="A1039" t="s">
        <v>890</v>
      </c>
      <c r="B1039" t="s">
        <v>32</v>
      </c>
      <c r="C1039" t="s">
        <v>14</v>
      </c>
      <c r="D1039" t="s">
        <v>15</v>
      </c>
      <c r="E1039">
        <v>160</v>
      </c>
      <c r="F1039">
        <v>0.03</v>
      </c>
      <c r="G1039">
        <v>525</v>
      </c>
      <c r="H1039" s="1">
        <v>45334</v>
      </c>
      <c r="I1039">
        <v>2024</v>
      </c>
      <c r="J1039">
        <v>2</v>
      </c>
      <c r="K1039" t="s">
        <v>36</v>
      </c>
      <c r="L1039">
        <v>0</v>
      </c>
      <c r="M1039">
        <v>1</v>
      </c>
    </row>
    <row r="1040" spans="1:13" x14ac:dyDescent="0.25">
      <c r="A1040" t="s">
        <v>891</v>
      </c>
      <c r="B1040" t="s">
        <v>95</v>
      </c>
      <c r="C1040" t="s">
        <v>48</v>
      </c>
      <c r="D1040" t="s">
        <v>43</v>
      </c>
      <c r="E1040">
        <v>80</v>
      </c>
      <c r="F1040">
        <v>0.03</v>
      </c>
      <c r="G1040">
        <v>490</v>
      </c>
      <c r="H1040" s="1">
        <v>45331</v>
      </c>
      <c r="I1040">
        <v>2024</v>
      </c>
      <c r="J1040">
        <v>2</v>
      </c>
      <c r="K1040" t="s">
        <v>36</v>
      </c>
      <c r="L1040">
        <v>0</v>
      </c>
      <c r="M1040">
        <v>1</v>
      </c>
    </row>
    <row r="1041" spans="1:13" x14ac:dyDescent="0.25">
      <c r="A1041" t="s">
        <v>892</v>
      </c>
      <c r="B1041" t="s">
        <v>24</v>
      </c>
      <c r="C1041" t="s">
        <v>48</v>
      </c>
      <c r="D1041" t="s">
        <v>68</v>
      </c>
      <c r="E1041">
        <v>21</v>
      </c>
      <c r="F1041">
        <v>0.18</v>
      </c>
      <c r="G1041">
        <v>20</v>
      </c>
      <c r="H1041" s="1">
        <v>45331</v>
      </c>
      <c r="I1041">
        <v>2024</v>
      </c>
      <c r="J1041">
        <v>2</v>
      </c>
      <c r="K1041" t="s">
        <v>30</v>
      </c>
      <c r="L1041">
        <v>0</v>
      </c>
      <c r="M1041">
        <v>1</v>
      </c>
    </row>
    <row r="1042" spans="1:13" x14ac:dyDescent="0.25">
      <c r="A1042" t="s">
        <v>893</v>
      </c>
      <c r="B1042" t="s">
        <v>13</v>
      </c>
      <c r="C1042" t="s">
        <v>14</v>
      </c>
      <c r="D1042" t="s">
        <v>46</v>
      </c>
      <c r="E1042" t="s">
        <v>21</v>
      </c>
      <c r="F1042" t="s">
        <v>21</v>
      </c>
      <c r="G1042">
        <v>188</v>
      </c>
      <c r="H1042" s="1">
        <v>45331</v>
      </c>
      <c r="I1042">
        <v>2024</v>
      </c>
      <c r="J1042">
        <v>2</v>
      </c>
      <c r="K1042" t="s">
        <v>36</v>
      </c>
      <c r="L1042" t="s">
        <v>21</v>
      </c>
      <c r="M1042">
        <v>0</v>
      </c>
    </row>
    <row r="1043" spans="1:13" x14ac:dyDescent="0.25">
      <c r="A1043" t="s">
        <v>894</v>
      </c>
      <c r="B1043" t="s">
        <v>38</v>
      </c>
      <c r="C1043" t="s">
        <v>14</v>
      </c>
      <c r="D1043" t="s">
        <v>15</v>
      </c>
      <c r="E1043">
        <v>275</v>
      </c>
      <c r="F1043" t="s">
        <v>21</v>
      </c>
      <c r="G1043">
        <v>529</v>
      </c>
      <c r="H1043" s="1">
        <v>45330</v>
      </c>
      <c r="I1043">
        <v>2024</v>
      </c>
      <c r="J1043">
        <v>2</v>
      </c>
      <c r="K1043" t="s">
        <v>36</v>
      </c>
      <c r="L1043" t="s">
        <v>21</v>
      </c>
      <c r="M1043">
        <v>1</v>
      </c>
    </row>
    <row r="1044" spans="1:13" x14ac:dyDescent="0.25">
      <c r="A1044" t="s">
        <v>895</v>
      </c>
      <c r="B1044" t="s">
        <v>217</v>
      </c>
      <c r="C1044" t="s">
        <v>137</v>
      </c>
      <c r="D1044" t="s">
        <v>15</v>
      </c>
      <c r="E1044">
        <v>65</v>
      </c>
      <c r="F1044">
        <v>0.15</v>
      </c>
      <c r="G1044">
        <v>247</v>
      </c>
      <c r="H1044" s="1">
        <v>45330</v>
      </c>
      <c r="I1044">
        <v>2024</v>
      </c>
      <c r="J1044">
        <v>2</v>
      </c>
      <c r="K1044" t="s">
        <v>36</v>
      </c>
      <c r="L1044">
        <v>0</v>
      </c>
      <c r="M1044">
        <v>1</v>
      </c>
    </row>
    <row r="1045" spans="1:13" x14ac:dyDescent="0.25">
      <c r="A1045" t="s">
        <v>496</v>
      </c>
      <c r="B1045" t="s">
        <v>66</v>
      </c>
      <c r="C1045" t="s">
        <v>14</v>
      </c>
      <c r="D1045" t="s">
        <v>15</v>
      </c>
      <c r="E1045" t="s">
        <v>21</v>
      </c>
      <c r="F1045">
        <v>0.3</v>
      </c>
      <c r="G1045">
        <v>948</v>
      </c>
      <c r="H1045" s="1">
        <v>45330</v>
      </c>
      <c r="I1045">
        <v>2024</v>
      </c>
      <c r="J1045">
        <v>2</v>
      </c>
      <c r="K1045" t="s">
        <v>36</v>
      </c>
      <c r="L1045">
        <v>0</v>
      </c>
      <c r="M1045">
        <v>1</v>
      </c>
    </row>
    <row r="1046" spans="1:13" x14ac:dyDescent="0.25">
      <c r="A1046" t="s">
        <v>896</v>
      </c>
      <c r="B1046" t="s">
        <v>73</v>
      </c>
      <c r="C1046" t="s">
        <v>14</v>
      </c>
      <c r="D1046" t="s">
        <v>33</v>
      </c>
      <c r="E1046" t="s">
        <v>21</v>
      </c>
      <c r="F1046">
        <v>1</v>
      </c>
      <c r="G1046">
        <v>31</v>
      </c>
      <c r="H1046" s="1">
        <v>45330</v>
      </c>
      <c r="I1046">
        <v>2024</v>
      </c>
      <c r="J1046">
        <v>2</v>
      </c>
      <c r="K1046" t="s">
        <v>30</v>
      </c>
      <c r="L1046">
        <v>1</v>
      </c>
      <c r="M1046">
        <v>1</v>
      </c>
    </row>
    <row r="1047" spans="1:13" x14ac:dyDescent="0.25">
      <c r="A1047" t="s">
        <v>897</v>
      </c>
      <c r="B1047" t="s">
        <v>18</v>
      </c>
      <c r="C1047" t="s">
        <v>14</v>
      </c>
      <c r="D1047" t="s">
        <v>22</v>
      </c>
      <c r="E1047">
        <v>230</v>
      </c>
      <c r="F1047" t="s">
        <v>21</v>
      </c>
      <c r="G1047">
        <v>400</v>
      </c>
      <c r="H1047" s="1">
        <v>45329</v>
      </c>
      <c r="I1047">
        <v>2024</v>
      </c>
      <c r="J1047">
        <v>2</v>
      </c>
      <c r="K1047" t="s">
        <v>36</v>
      </c>
      <c r="L1047" t="s">
        <v>21</v>
      </c>
      <c r="M1047">
        <v>1</v>
      </c>
    </row>
    <row r="1048" spans="1:13" x14ac:dyDescent="0.25">
      <c r="A1048" t="s">
        <v>898</v>
      </c>
      <c r="B1048" t="s">
        <v>52</v>
      </c>
      <c r="C1048" t="s">
        <v>14</v>
      </c>
      <c r="D1048" t="s">
        <v>111</v>
      </c>
      <c r="E1048">
        <v>20</v>
      </c>
      <c r="F1048">
        <v>0.03</v>
      </c>
      <c r="G1048">
        <v>1000</v>
      </c>
      <c r="H1048" s="1">
        <v>45329</v>
      </c>
      <c r="I1048">
        <v>2024</v>
      </c>
      <c r="J1048">
        <v>2</v>
      </c>
      <c r="K1048" t="s">
        <v>26</v>
      </c>
      <c r="L1048">
        <v>0</v>
      </c>
      <c r="M1048">
        <v>1</v>
      </c>
    </row>
    <row r="1049" spans="1:13" x14ac:dyDescent="0.25">
      <c r="A1049" t="s">
        <v>899</v>
      </c>
      <c r="B1049" t="s">
        <v>28</v>
      </c>
      <c r="C1049" t="s">
        <v>14</v>
      </c>
      <c r="D1049" t="s">
        <v>15</v>
      </c>
      <c r="E1049" t="s">
        <v>21</v>
      </c>
      <c r="F1049">
        <v>0.05</v>
      </c>
      <c r="G1049">
        <v>565</v>
      </c>
      <c r="H1049" s="1">
        <v>45329</v>
      </c>
      <c r="I1049">
        <v>2024</v>
      </c>
      <c r="J1049">
        <v>2</v>
      </c>
      <c r="K1049" t="s">
        <v>36</v>
      </c>
      <c r="L1049">
        <v>0</v>
      </c>
      <c r="M1049">
        <v>1</v>
      </c>
    </row>
    <row r="1050" spans="1:13" x14ac:dyDescent="0.25">
      <c r="A1050" t="s">
        <v>900</v>
      </c>
      <c r="B1050" t="s">
        <v>40</v>
      </c>
      <c r="C1050" t="s">
        <v>901</v>
      </c>
      <c r="D1050" t="s">
        <v>49</v>
      </c>
      <c r="E1050" t="s">
        <v>21</v>
      </c>
      <c r="F1050">
        <v>1</v>
      </c>
      <c r="G1050">
        <v>3</v>
      </c>
      <c r="H1050" s="1">
        <v>45329</v>
      </c>
      <c r="I1050">
        <v>2024</v>
      </c>
      <c r="J1050">
        <v>2</v>
      </c>
      <c r="K1050" t="s">
        <v>16</v>
      </c>
      <c r="L1050">
        <v>1</v>
      </c>
      <c r="M1050">
        <v>1</v>
      </c>
    </row>
    <row r="1051" spans="1:13" x14ac:dyDescent="0.25">
      <c r="A1051" t="s">
        <v>902</v>
      </c>
      <c r="B1051" t="s">
        <v>99</v>
      </c>
      <c r="C1051" t="s">
        <v>14</v>
      </c>
      <c r="D1051" t="s">
        <v>15</v>
      </c>
      <c r="E1051">
        <v>440</v>
      </c>
      <c r="F1051">
        <v>0.06</v>
      </c>
      <c r="G1051">
        <v>536</v>
      </c>
      <c r="H1051" s="1">
        <v>45328</v>
      </c>
      <c r="I1051">
        <v>2024</v>
      </c>
      <c r="J1051">
        <v>2</v>
      </c>
      <c r="K1051" t="s">
        <v>36</v>
      </c>
      <c r="L1051">
        <v>0</v>
      </c>
      <c r="M1051">
        <v>1</v>
      </c>
    </row>
    <row r="1052" spans="1:13" x14ac:dyDescent="0.25">
      <c r="A1052" t="s">
        <v>240</v>
      </c>
      <c r="B1052" t="s">
        <v>24</v>
      </c>
      <c r="C1052" t="s">
        <v>14</v>
      </c>
      <c r="D1052" t="s">
        <v>15</v>
      </c>
      <c r="E1052">
        <v>400</v>
      </c>
      <c r="F1052" t="s">
        <v>21</v>
      </c>
      <c r="G1052">
        <v>108</v>
      </c>
      <c r="H1052" s="1">
        <v>45328</v>
      </c>
      <c r="I1052">
        <v>2024</v>
      </c>
      <c r="J1052">
        <v>2</v>
      </c>
      <c r="K1052" t="s">
        <v>36</v>
      </c>
      <c r="L1052" t="s">
        <v>21</v>
      </c>
      <c r="M1052">
        <v>1</v>
      </c>
    </row>
    <row r="1053" spans="1:13" x14ac:dyDescent="0.25">
      <c r="A1053" t="s">
        <v>903</v>
      </c>
      <c r="B1053" t="s">
        <v>102</v>
      </c>
      <c r="C1053" t="s">
        <v>14</v>
      </c>
      <c r="D1053" t="s">
        <v>111</v>
      </c>
      <c r="E1053" t="s">
        <v>21</v>
      </c>
      <c r="F1053" t="s">
        <v>21</v>
      </c>
      <c r="G1053">
        <v>133</v>
      </c>
      <c r="H1053" s="1">
        <v>45328</v>
      </c>
      <c r="I1053">
        <v>2024</v>
      </c>
      <c r="J1053">
        <v>2</v>
      </c>
      <c r="K1053" t="s">
        <v>36</v>
      </c>
      <c r="L1053" t="s">
        <v>21</v>
      </c>
      <c r="M1053">
        <v>0</v>
      </c>
    </row>
    <row r="1054" spans="1:13" x14ac:dyDescent="0.25">
      <c r="A1054" t="s">
        <v>187</v>
      </c>
      <c r="B1054" t="s">
        <v>18</v>
      </c>
      <c r="C1054" t="s">
        <v>14</v>
      </c>
      <c r="D1054" t="s">
        <v>15</v>
      </c>
      <c r="E1054">
        <v>500</v>
      </c>
      <c r="F1054">
        <v>0.1</v>
      </c>
      <c r="G1054">
        <v>4900</v>
      </c>
      <c r="H1054" s="1">
        <v>45327</v>
      </c>
      <c r="I1054">
        <v>2024</v>
      </c>
      <c r="J1054">
        <v>2</v>
      </c>
      <c r="K1054" t="s">
        <v>26</v>
      </c>
      <c r="L1054">
        <v>0</v>
      </c>
      <c r="M1054">
        <v>1</v>
      </c>
    </row>
    <row r="1055" spans="1:13" x14ac:dyDescent="0.25">
      <c r="A1055" t="s">
        <v>904</v>
      </c>
      <c r="B1055" t="s">
        <v>24</v>
      </c>
      <c r="C1055" t="s">
        <v>14</v>
      </c>
      <c r="D1055" t="s">
        <v>20</v>
      </c>
      <c r="E1055">
        <v>168</v>
      </c>
      <c r="F1055">
        <v>1</v>
      </c>
      <c r="G1055">
        <v>119</v>
      </c>
      <c r="H1055" s="1">
        <v>45327</v>
      </c>
      <c r="I1055">
        <v>2024</v>
      </c>
      <c r="J1055">
        <v>2</v>
      </c>
      <c r="K1055" t="s">
        <v>36</v>
      </c>
      <c r="L1055">
        <v>1</v>
      </c>
      <c r="M1055">
        <v>1</v>
      </c>
    </row>
    <row r="1056" spans="1:13" x14ac:dyDescent="0.25">
      <c r="A1056" t="s">
        <v>905</v>
      </c>
      <c r="B1056" t="s">
        <v>77</v>
      </c>
      <c r="C1056" t="s">
        <v>14</v>
      </c>
      <c r="D1056" t="s">
        <v>33</v>
      </c>
      <c r="E1056">
        <v>80</v>
      </c>
      <c r="F1056" t="s">
        <v>21</v>
      </c>
      <c r="G1056">
        <v>119</v>
      </c>
      <c r="H1056" s="1">
        <v>45327</v>
      </c>
      <c r="I1056">
        <v>2024</v>
      </c>
      <c r="J1056">
        <v>2</v>
      </c>
      <c r="K1056" t="s">
        <v>36</v>
      </c>
      <c r="L1056" t="s">
        <v>21</v>
      </c>
      <c r="M1056">
        <v>1</v>
      </c>
    </row>
    <row r="1057" spans="1:13" x14ac:dyDescent="0.25">
      <c r="A1057" t="s">
        <v>906</v>
      </c>
      <c r="B1057" t="s">
        <v>99</v>
      </c>
      <c r="C1057" t="s">
        <v>14</v>
      </c>
      <c r="D1057" t="s">
        <v>81</v>
      </c>
      <c r="E1057">
        <v>40</v>
      </c>
      <c r="F1057">
        <v>0.03</v>
      </c>
      <c r="G1057">
        <v>361</v>
      </c>
      <c r="H1057" s="1">
        <v>45327</v>
      </c>
      <c r="I1057">
        <v>2024</v>
      </c>
      <c r="J1057">
        <v>2</v>
      </c>
      <c r="K1057" t="s">
        <v>36</v>
      </c>
      <c r="L1057">
        <v>0</v>
      </c>
      <c r="M1057">
        <v>1</v>
      </c>
    </row>
    <row r="1058" spans="1:13" x14ac:dyDescent="0.25">
      <c r="A1058" t="s">
        <v>907</v>
      </c>
      <c r="B1058" t="s">
        <v>35</v>
      </c>
      <c r="C1058" t="s">
        <v>14</v>
      </c>
      <c r="D1058" t="s">
        <v>68</v>
      </c>
      <c r="E1058" t="s">
        <v>21</v>
      </c>
      <c r="F1058">
        <v>1</v>
      </c>
      <c r="G1058">
        <v>13</v>
      </c>
      <c r="H1058" s="1">
        <v>45327</v>
      </c>
      <c r="I1058">
        <v>2024</v>
      </c>
      <c r="J1058">
        <v>2</v>
      </c>
      <c r="K1058" t="s">
        <v>30</v>
      </c>
      <c r="L1058">
        <v>1</v>
      </c>
      <c r="M1058">
        <v>1</v>
      </c>
    </row>
    <row r="1059" spans="1:13" x14ac:dyDescent="0.25">
      <c r="A1059" t="s">
        <v>908</v>
      </c>
      <c r="B1059" t="s">
        <v>18</v>
      </c>
      <c r="C1059" t="s">
        <v>14</v>
      </c>
      <c r="D1059" t="s">
        <v>20</v>
      </c>
      <c r="E1059" t="s">
        <v>21</v>
      </c>
      <c r="F1059" t="s">
        <v>21</v>
      </c>
      <c r="G1059">
        <v>18</v>
      </c>
      <c r="H1059" s="1">
        <v>45327</v>
      </c>
      <c r="I1059">
        <v>2024</v>
      </c>
      <c r="J1059">
        <v>2</v>
      </c>
      <c r="K1059" t="s">
        <v>30</v>
      </c>
      <c r="L1059" t="s">
        <v>21</v>
      </c>
      <c r="M1059">
        <v>0</v>
      </c>
    </row>
    <row r="1060" spans="1:13" x14ac:dyDescent="0.25">
      <c r="A1060" t="s">
        <v>909</v>
      </c>
      <c r="B1060" t="s">
        <v>77</v>
      </c>
      <c r="C1060" t="s">
        <v>48</v>
      </c>
      <c r="D1060" t="s">
        <v>49</v>
      </c>
      <c r="E1060" t="s">
        <v>21</v>
      </c>
      <c r="F1060">
        <v>1</v>
      </c>
      <c r="G1060">
        <v>4</v>
      </c>
      <c r="H1060" s="1">
        <v>45327</v>
      </c>
      <c r="I1060">
        <v>2024</v>
      </c>
      <c r="J1060">
        <v>2</v>
      </c>
      <c r="K1060" t="s">
        <v>16</v>
      </c>
      <c r="L1060">
        <v>1</v>
      </c>
      <c r="M1060">
        <v>1</v>
      </c>
    </row>
    <row r="1061" spans="1:13" x14ac:dyDescent="0.25">
      <c r="A1061" t="s">
        <v>910</v>
      </c>
      <c r="B1061" t="s">
        <v>35</v>
      </c>
      <c r="C1061" t="s">
        <v>14</v>
      </c>
      <c r="D1061" t="s">
        <v>22</v>
      </c>
      <c r="E1061" t="s">
        <v>21</v>
      </c>
      <c r="F1061" t="s">
        <v>21</v>
      </c>
      <c r="G1061">
        <v>218</v>
      </c>
      <c r="H1061" s="1">
        <v>45327</v>
      </c>
      <c r="I1061">
        <v>2024</v>
      </c>
      <c r="J1061">
        <v>2</v>
      </c>
      <c r="K1061" t="s">
        <v>36</v>
      </c>
      <c r="L1061" t="s">
        <v>21</v>
      </c>
      <c r="M1061">
        <v>0</v>
      </c>
    </row>
    <row r="1062" spans="1:13" x14ac:dyDescent="0.25">
      <c r="A1062" t="s">
        <v>911</v>
      </c>
      <c r="B1062" t="s">
        <v>207</v>
      </c>
      <c r="C1062" t="s">
        <v>14</v>
      </c>
      <c r="D1062" t="s">
        <v>46</v>
      </c>
      <c r="E1062" t="s">
        <v>21</v>
      </c>
      <c r="F1062" t="s">
        <v>21</v>
      </c>
      <c r="G1062">
        <v>619</v>
      </c>
      <c r="H1062" s="1">
        <v>45327</v>
      </c>
      <c r="I1062">
        <v>2024</v>
      </c>
      <c r="J1062">
        <v>2</v>
      </c>
      <c r="K1062" t="s">
        <v>36</v>
      </c>
      <c r="L1062" t="s">
        <v>21</v>
      </c>
      <c r="M1062">
        <v>0</v>
      </c>
    </row>
    <row r="1063" spans="1:13" x14ac:dyDescent="0.25">
      <c r="A1063" t="s">
        <v>760</v>
      </c>
      <c r="B1063" t="s">
        <v>35</v>
      </c>
      <c r="C1063" t="s">
        <v>14</v>
      </c>
      <c r="D1063" t="s">
        <v>15</v>
      </c>
      <c r="E1063">
        <v>245</v>
      </c>
      <c r="F1063">
        <v>0.3</v>
      </c>
      <c r="G1063">
        <v>899</v>
      </c>
      <c r="H1063" s="1">
        <v>45324</v>
      </c>
      <c r="I1063">
        <v>2024</v>
      </c>
      <c r="J1063">
        <v>2</v>
      </c>
      <c r="K1063" t="s">
        <v>36</v>
      </c>
      <c r="L1063">
        <v>0</v>
      </c>
      <c r="M1063">
        <v>1</v>
      </c>
    </row>
    <row r="1064" spans="1:13" x14ac:dyDescent="0.25">
      <c r="A1064" t="s">
        <v>912</v>
      </c>
      <c r="B1064" t="s">
        <v>106</v>
      </c>
      <c r="C1064" t="s">
        <v>174</v>
      </c>
      <c r="D1064" t="s">
        <v>111</v>
      </c>
      <c r="E1064">
        <v>35</v>
      </c>
      <c r="F1064">
        <v>7.0000000000000007E-2</v>
      </c>
      <c r="G1064">
        <v>234</v>
      </c>
      <c r="H1064" s="1">
        <v>45324</v>
      </c>
      <c r="I1064">
        <v>2024</v>
      </c>
      <c r="J1064">
        <v>2</v>
      </c>
      <c r="K1064" t="s">
        <v>36</v>
      </c>
      <c r="L1064">
        <v>0</v>
      </c>
      <c r="M1064">
        <v>1</v>
      </c>
    </row>
    <row r="1065" spans="1:13" x14ac:dyDescent="0.25">
      <c r="A1065" t="s">
        <v>913</v>
      </c>
      <c r="B1065" t="s">
        <v>66</v>
      </c>
      <c r="C1065" t="s">
        <v>161</v>
      </c>
      <c r="D1065" t="s">
        <v>22</v>
      </c>
      <c r="E1065" t="s">
        <v>21</v>
      </c>
      <c r="F1065">
        <v>1</v>
      </c>
      <c r="G1065">
        <v>74</v>
      </c>
      <c r="H1065" s="1">
        <v>45324</v>
      </c>
      <c r="I1065">
        <v>2024</v>
      </c>
      <c r="J1065">
        <v>2</v>
      </c>
      <c r="K1065" t="s">
        <v>30</v>
      </c>
      <c r="L1065">
        <v>1</v>
      </c>
      <c r="M1065">
        <v>1</v>
      </c>
    </row>
    <row r="1066" spans="1:13" x14ac:dyDescent="0.25">
      <c r="A1066" t="s">
        <v>914</v>
      </c>
      <c r="B1066" t="s">
        <v>95</v>
      </c>
      <c r="C1066" t="s">
        <v>80</v>
      </c>
      <c r="D1066" t="s">
        <v>22</v>
      </c>
      <c r="E1066" t="s">
        <v>21</v>
      </c>
      <c r="F1066">
        <v>1</v>
      </c>
      <c r="G1066">
        <v>10</v>
      </c>
      <c r="H1066" s="1">
        <v>45324</v>
      </c>
      <c r="I1066">
        <v>2024</v>
      </c>
      <c r="J1066">
        <v>2</v>
      </c>
      <c r="K1066" t="s">
        <v>30</v>
      </c>
      <c r="L1066">
        <v>1</v>
      </c>
      <c r="M1066">
        <v>1</v>
      </c>
    </row>
    <row r="1067" spans="1:13" x14ac:dyDescent="0.25">
      <c r="A1067" t="s">
        <v>915</v>
      </c>
      <c r="B1067" t="s">
        <v>77</v>
      </c>
      <c r="C1067" t="s">
        <v>80</v>
      </c>
      <c r="D1067" t="s">
        <v>22</v>
      </c>
      <c r="E1067" t="s">
        <v>21</v>
      </c>
      <c r="F1067">
        <v>1</v>
      </c>
      <c r="G1067">
        <v>41</v>
      </c>
      <c r="H1067" s="1">
        <v>45324</v>
      </c>
      <c r="I1067">
        <v>2024</v>
      </c>
      <c r="J1067">
        <v>2</v>
      </c>
      <c r="K1067" t="s">
        <v>30</v>
      </c>
      <c r="L1067">
        <v>1</v>
      </c>
      <c r="M1067">
        <v>1</v>
      </c>
    </row>
    <row r="1068" spans="1:13" x14ac:dyDescent="0.25">
      <c r="A1068" t="s">
        <v>508</v>
      </c>
      <c r="B1068" t="s">
        <v>28</v>
      </c>
      <c r="C1068" t="s">
        <v>14</v>
      </c>
      <c r="D1068" t="s">
        <v>15</v>
      </c>
      <c r="E1068">
        <v>400</v>
      </c>
      <c r="F1068">
        <v>7.0000000000000007E-2</v>
      </c>
      <c r="G1068">
        <v>1200</v>
      </c>
      <c r="H1068" s="1">
        <v>45323</v>
      </c>
      <c r="I1068">
        <v>2024</v>
      </c>
      <c r="J1068">
        <v>2</v>
      </c>
      <c r="K1068" t="s">
        <v>26</v>
      </c>
      <c r="L1068">
        <v>0</v>
      </c>
      <c r="M1068">
        <v>1</v>
      </c>
    </row>
    <row r="1069" spans="1:13" x14ac:dyDescent="0.25">
      <c r="A1069" t="s">
        <v>916</v>
      </c>
      <c r="B1069" t="s">
        <v>13</v>
      </c>
      <c r="C1069" t="s">
        <v>14</v>
      </c>
      <c r="D1069" t="s">
        <v>15</v>
      </c>
      <c r="E1069">
        <v>150</v>
      </c>
      <c r="F1069">
        <v>0.02</v>
      </c>
      <c r="G1069">
        <v>276</v>
      </c>
      <c r="H1069" s="1">
        <v>45323</v>
      </c>
      <c r="I1069">
        <v>2024</v>
      </c>
      <c r="J1069">
        <v>2</v>
      </c>
      <c r="K1069" t="s">
        <v>36</v>
      </c>
      <c r="L1069">
        <v>0</v>
      </c>
      <c r="M1069">
        <v>1</v>
      </c>
    </row>
    <row r="1070" spans="1:13" x14ac:dyDescent="0.25">
      <c r="A1070" t="s">
        <v>917</v>
      </c>
      <c r="B1070" t="s">
        <v>35</v>
      </c>
      <c r="C1070" t="s">
        <v>14</v>
      </c>
      <c r="D1070" t="s">
        <v>15</v>
      </c>
      <c r="E1070">
        <v>111</v>
      </c>
      <c r="F1070" t="s">
        <v>21</v>
      </c>
      <c r="G1070">
        <v>28</v>
      </c>
      <c r="H1070" s="1">
        <v>45323</v>
      </c>
      <c r="I1070">
        <v>2024</v>
      </c>
      <c r="J1070">
        <v>2</v>
      </c>
      <c r="K1070" t="s">
        <v>30</v>
      </c>
      <c r="L1070" t="s">
        <v>21</v>
      </c>
      <c r="M1070">
        <v>1</v>
      </c>
    </row>
    <row r="1071" spans="1:13" x14ac:dyDescent="0.25">
      <c r="A1071" t="s">
        <v>283</v>
      </c>
      <c r="B1071" t="s">
        <v>52</v>
      </c>
      <c r="C1071" t="s">
        <v>284</v>
      </c>
      <c r="D1071" t="s">
        <v>22</v>
      </c>
      <c r="E1071">
        <v>60</v>
      </c>
      <c r="F1071">
        <v>0.19</v>
      </c>
      <c r="G1071">
        <v>451</v>
      </c>
      <c r="H1071" s="1">
        <v>45323</v>
      </c>
      <c r="I1071">
        <v>2024</v>
      </c>
      <c r="J1071">
        <v>2</v>
      </c>
      <c r="K1071" t="s">
        <v>36</v>
      </c>
      <c r="L1071">
        <v>0</v>
      </c>
      <c r="M1071">
        <v>1</v>
      </c>
    </row>
    <row r="1072" spans="1:13" x14ac:dyDescent="0.25">
      <c r="A1072" t="s">
        <v>918</v>
      </c>
      <c r="B1072" t="s">
        <v>13</v>
      </c>
      <c r="C1072" t="s">
        <v>14</v>
      </c>
      <c r="D1072" t="s">
        <v>43</v>
      </c>
      <c r="E1072" t="s">
        <v>21</v>
      </c>
      <c r="F1072" t="s">
        <v>21</v>
      </c>
      <c r="G1072">
        <v>1200</v>
      </c>
      <c r="H1072" s="1">
        <v>45323</v>
      </c>
      <c r="I1072">
        <v>2024</v>
      </c>
      <c r="J1072">
        <v>2</v>
      </c>
      <c r="K1072" t="s">
        <v>26</v>
      </c>
      <c r="L1072" t="s">
        <v>21</v>
      </c>
      <c r="M1072">
        <v>0</v>
      </c>
    </row>
    <row r="1073" spans="1:13" x14ac:dyDescent="0.25">
      <c r="A1073" t="s">
        <v>919</v>
      </c>
      <c r="B1073" t="s">
        <v>28</v>
      </c>
      <c r="C1073" t="s">
        <v>14</v>
      </c>
      <c r="D1073" t="s">
        <v>20</v>
      </c>
      <c r="E1073">
        <v>280</v>
      </c>
      <c r="F1073">
        <v>0.06</v>
      </c>
      <c r="G1073">
        <v>885</v>
      </c>
      <c r="H1073" s="1">
        <v>45322</v>
      </c>
      <c r="I1073">
        <v>2024</v>
      </c>
      <c r="J1073">
        <v>1</v>
      </c>
      <c r="K1073" t="s">
        <v>36</v>
      </c>
      <c r="L1073">
        <v>0</v>
      </c>
      <c r="M1073">
        <v>1</v>
      </c>
    </row>
    <row r="1074" spans="1:13" x14ac:dyDescent="0.25">
      <c r="A1074" t="s">
        <v>920</v>
      </c>
      <c r="B1074" t="s">
        <v>24</v>
      </c>
      <c r="C1074" t="s">
        <v>14</v>
      </c>
      <c r="D1074" t="s">
        <v>111</v>
      </c>
      <c r="E1074">
        <v>130</v>
      </c>
      <c r="F1074" t="s">
        <v>21</v>
      </c>
      <c r="G1074">
        <v>152</v>
      </c>
      <c r="H1074" s="1">
        <v>45322</v>
      </c>
      <c r="I1074">
        <v>2024</v>
      </c>
      <c r="J1074">
        <v>1</v>
      </c>
      <c r="K1074" t="s">
        <v>36</v>
      </c>
      <c r="L1074" t="s">
        <v>21</v>
      </c>
      <c r="M1074">
        <v>1</v>
      </c>
    </row>
    <row r="1075" spans="1:13" x14ac:dyDescent="0.25">
      <c r="A1075" t="s">
        <v>921</v>
      </c>
      <c r="B1075" t="s">
        <v>114</v>
      </c>
      <c r="C1075" t="s">
        <v>14</v>
      </c>
      <c r="D1075" t="s">
        <v>43</v>
      </c>
      <c r="E1075">
        <v>100</v>
      </c>
      <c r="F1075" t="s">
        <v>21</v>
      </c>
      <c r="G1075">
        <v>315</v>
      </c>
      <c r="H1075" s="1">
        <v>45322</v>
      </c>
      <c r="I1075">
        <v>2024</v>
      </c>
      <c r="J1075">
        <v>1</v>
      </c>
      <c r="K1075" t="s">
        <v>36</v>
      </c>
      <c r="L1075" t="s">
        <v>21</v>
      </c>
      <c r="M1075">
        <v>1</v>
      </c>
    </row>
    <row r="1076" spans="1:13" x14ac:dyDescent="0.25">
      <c r="A1076" t="s">
        <v>922</v>
      </c>
      <c r="B1076" t="s">
        <v>24</v>
      </c>
      <c r="C1076" t="s">
        <v>14</v>
      </c>
      <c r="D1076" t="s">
        <v>20</v>
      </c>
      <c r="E1076">
        <v>95</v>
      </c>
      <c r="F1076" t="s">
        <v>21</v>
      </c>
      <c r="G1076">
        <v>26</v>
      </c>
      <c r="H1076" s="1">
        <v>45322</v>
      </c>
      <c r="I1076">
        <v>2024</v>
      </c>
      <c r="J1076">
        <v>1</v>
      </c>
      <c r="K1076" t="s">
        <v>30</v>
      </c>
      <c r="L1076" t="s">
        <v>21</v>
      </c>
      <c r="M1076">
        <v>1</v>
      </c>
    </row>
    <row r="1077" spans="1:13" x14ac:dyDescent="0.25">
      <c r="A1077" t="s">
        <v>511</v>
      </c>
      <c r="B1077" t="s">
        <v>66</v>
      </c>
      <c r="C1077" t="s">
        <v>29</v>
      </c>
      <c r="D1077" t="s">
        <v>15</v>
      </c>
      <c r="E1077">
        <v>60</v>
      </c>
      <c r="F1077">
        <v>0.13</v>
      </c>
      <c r="G1077">
        <v>547</v>
      </c>
      <c r="H1077" s="1">
        <v>45322</v>
      </c>
      <c r="I1077">
        <v>2024</v>
      </c>
      <c r="J1077">
        <v>1</v>
      </c>
      <c r="K1077" t="s">
        <v>36</v>
      </c>
      <c r="L1077">
        <v>0</v>
      </c>
      <c r="M1077">
        <v>1</v>
      </c>
    </row>
    <row r="1078" spans="1:13" x14ac:dyDescent="0.25">
      <c r="A1078" t="s">
        <v>923</v>
      </c>
      <c r="B1078" t="s">
        <v>32</v>
      </c>
      <c r="C1078" t="s">
        <v>14</v>
      </c>
      <c r="D1078" t="s">
        <v>22</v>
      </c>
      <c r="E1078" t="s">
        <v>21</v>
      </c>
      <c r="F1078">
        <v>1</v>
      </c>
      <c r="G1078" t="s">
        <v>21</v>
      </c>
      <c r="H1078" s="1">
        <v>45322</v>
      </c>
      <c r="I1078">
        <v>2024</v>
      </c>
      <c r="J1078">
        <v>1</v>
      </c>
      <c r="K1078" t="s">
        <v>22</v>
      </c>
      <c r="L1078">
        <v>1</v>
      </c>
      <c r="M1078">
        <v>1</v>
      </c>
    </row>
    <row r="1079" spans="1:13" x14ac:dyDescent="0.25">
      <c r="A1079" t="s">
        <v>924</v>
      </c>
      <c r="B1079" t="s">
        <v>77</v>
      </c>
      <c r="C1079" t="s">
        <v>14</v>
      </c>
      <c r="D1079" t="s">
        <v>15</v>
      </c>
      <c r="E1079" t="s">
        <v>21</v>
      </c>
      <c r="F1079">
        <v>0.08</v>
      </c>
      <c r="G1079">
        <v>647</v>
      </c>
      <c r="H1079" s="1">
        <v>45322</v>
      </c>
      <c r="I1079">
        <v>2024</v>
      </c>
      <c r="J1079">
        <v>1</v>
      </c>
      <c r="K1079" t="s">
        <v>36</v>
      </c>
      <c r="L1079">
        <v>0</v>
      </c>
      <c r="M1079">
        <v>1</v>
      </c>
    </row>
    <row r="1080" spans="1:13" x14ac:dyDescent="0.25">
      <c r="A1080" t="s">
        <v>167</v>
      </c>
      <c r="B1080" t="s">
        <v>77</v>
      </c>
      <c r="C1080" t="s">
        <v>14</v>
      </c>
      <c r="D1080" t="s">
        <v>15</v>
      </c>
      <c r="E1080">
        <v>2500</v>
      </c>
      <c r="F1080">
        <v>0.09</v>
      </c>
      <c r="G1080">
        <v>216</v>
      </c>
      <c r="H1080" s="1">
        <v>45321</v>
      </c>
      <c r="I1080">
        <v>2024</v>
      </c>
      <c r="J1080">
        <v>1</v>
      </c>
      <c r="K1080" t="s">
        <v>36</v>
      </c>
      <c r="L1080">
        <v>0</v>
      </c>
      <c r="M1080">
        <v>1</v>
      </c>
    </row>
    <row r="1081" spans="1:13" x14ac:dyDescent="0.25">
      <c r="A1081" t="s">
        <v>245</v>
      </c>
      <c r="B1081" t="s">
        <v>77</v>
      </c>
      <c r="C1081" t="s">
        <v>14</v>
      </c>
      <c r="D1081" t="s">
        <v>15</v>
      </c>
      <c r="E1081">
        <v>1000</v>
      </c>
      <c r="F1081">
        <v>0.1</v>
      </c>
      <c r="G1081">
        <v>150</v>
      </c>
      <c r="H1081" s="1">
        <v>45321</v>
      </c>
      <c r="I1081">
        <v>2024</v>
      </c>
      <c r="J1081">
        <v>1</v>
      </c>
      <c r="K1081" t="s">
        <v>36</v>
      </c>
      <c r="L1081">
        <v>0</v>
      </c>
      <c r="M1081">
        <v>1</v>
      </c>
    </row>
    <row r="1082" spans="1:13" x14ac:dyDescent="0.25">
      <c r="A1082" t="s">
        <v>273</v>
      </c>
      <c r="B1082" t="s">
        <v>73</v>
      </c>
      <c r="C1082" t="s">
        <v>274</v>
      </c>
      <c r="D1082" t="s">
        <v>22</v>
      </c>
      <c r="E1082">
        <v>216</v>
      </c>
      <c r="F1082">
        <v>0.18</v>
      </c>
      <c r="G1082">
        <v>107</v>
      </c>
      <c r="H1082" s="1">
        <v>45321</v>
      </c>
      <c r="I1082">
        <v>2024</v>
      </c>
      <c r="J1082">
        <v>1</v>
      </c>
      <c r="K1082" t="s">
        <v>36</v>
      </c>
      <c r="L1082">
        <v>0</v>
      </c>
      <c r="M1082">
        <v>1</v>
      </c>
    </row>
    <row r="1083" spans="1:13" x14ac:dyDescent="0.25">
      <c r="A1083" t="s">
        <v>523</v>
      </c>
      <c r="B1083" t="s">
        <v>217</v>
      </c>
      <c r="C1083" t="s">
        <v>14</v>
      </c>
      <c r="D1083" t="s">
        <v>55</v>
      </c>
      <c r="E1083">
        <v>111</v>
      </c>
      <c r="F1083">
        <v>0.2</v>
      </c>
      <c r="G1083">
        <v>523</v>
      </c>
      <c r="H1083" s="1">
        <v>45321</v>
      </c>
      <c r="I1083">
        <v>2024</v>
      </c>
      <c r="J1083">
        <v>1</v>
      </c>
      <c r="K1083" t="s">
        <v>36</v>
      </c>
      <c r="L1083">
        <v>0</v>
      </c>
      <c r="M1083">
        <v>1</v>
      </c>
    </row>
    <row r="1084" spans="1:13" x14ac:dyDescent="0.25">
      <c r="A1084" t="s">
        <v>925</v>
      </c>
      <c r="B1084" t="s">
        <v>32</v>
      </c>
      <c r="C1084" t="s">
        <v>174</v>
      </c>
      <c r="D1084" t="s">
        <v>20</v>
      </c>
      <c r="E1084">
        <v>20</v>
      </c>
      <c r="F1084">
        <v>0.1</v>
      </c>
      <c r="G1084">
        <v>117</v>
      </c>
      <c r="H1084" s="1">
        <v>45321</v>
      </c>
      <c r="I1084">
        <v>2024</v>
      </c>
      <c r="J1084">
        <v>1</v>
      </c>
      <c r="K1084" t="s">
        <v>36</v>
      </c>
      <c r="L1084">
        <v>0</v>
      </c>
      <c r="M1084">
        <v>1</v>
      </c>
    </row>
    <row r="1085" spans="1:13" x14ac:dyDescent="0.25">
      <c r="A1085" t="s">
        <v>528</v>
      </c>
      <c r="B1085" t="s">
        <v>32</v>
      </c>
      <c r="C1085" t="s">
        <v>14</v>
      </c>
      <c r="D1085" t="s">
        <v>20</v>
      </c>
      <c r="E1085">
        <v>7</v>
      </c>
      <c r="F1085" t="s">
        <v>21</v>
      </c>
      <c r="G1085" t="s">
        <v>21</v>
      </c>
      <c r="H1085" s="1">
        <v>45321</v>
      </c>
      <c r="I1085">
        <v>2024</v>
      </c>
      <c r="J1085">
        <v>1</v>
      </c>
      <c r="K1085" t="s">
        <v>22</v>
      </c>
      <c r="L1085" t="s">
        <v>21</v>
      </c>
      <c r="M1085">
        <v>1</v>
      </c>
    </row>
    <row r="1086" spans="1:13" x14ac:dyDescent="0.25">
      <c r="A1086" t="s">
        <v>926</v>
      </c>
      <c r="B1086" t="s">
        <v>207</v>
      </c>
      <c r="C1086" t="s">
        <v>14</v>
      </c>
      <c r="D1086" t="s">
        <v>43</v>
      </c>
      <c r="E1086" t="s">
        <v>21</v>
      </c>
      <c r="F1086" t="s">
        <v>21</v>
      </c>
      <c r="G1086">
        <v>657</v>
      </c>
      <c r="H1086" s="1">
        <v>45321</v>
      </c>
      <c r="I1086">
        <v>2024</v>
      </c>
      <c r="J1086">
        <v>1</v>
      </c>
      <c r="K1086" t="s">
        <v>36</v>
      </c>
      <c r="L1086" t="s">
        <v>21</v>
      </c>
      <c r="M1086">
        <v>0</v>
      </c>
    </row>
    <row r="1087" spans="1:13" x14ac:dyDescent="0.25">
      <c r="A1087" t="s">
        <v>927</v>
      </c>
      <c r="B1087" t="s">
        <v>533</v>
      </c>
      <c r="C1087" t="s">
        <v>14</v>
      </c>
      <c r="D1087" t="s">
        <v>15</v>
      </c>
      <c r="E1087" t="s">
        <v>21</v>
      </c>
      <c r="F1087">
        <v>0.04</v>
      </c>
      <c r="G1087">
        <v>654</v>
      </c>
      <c r="H1087" s="1">
        <v>45321</v>
      </c>
      <c r="I1087">
        <v>2024</v>
      </c>
      <c r="J1087">
        <v>1</v>
      </c>
      <c r="K1087" t="s">
        <v>36</v>
      </c>
      <c r="L1087">
        <v>0</v>
      </c>
      <c r="M1087">
        <v>1</v>
      </c>
    </row>
    <row r="1088" spans="1:13" x14ac:dyDescent="0.25">
      <c r="A1088" t="s">
        <v>928</v>
      </c>
      <c r="B1088" t="s">
        <v>77</v>
      </c>
      <c r="C1088" t="s">
        <v>858</v>
      </c>
      <c r="D1088" t="s">
        <v>22</v>
      </c>
      <c r="E1088" t="s">
        <v>21</v>
      </c>
      <c r="F1088" t="s">
        <v>21</v>
      </c>
      <c r="G1088" t="s">
        <v>21</v>
      </c>
      <c r="H1088" s="1">
        <v>45321</v>
      </c>
      <c r="I1088">
        <v>2024</v>
      </c>
      <c r="J1088">
        <v>1</v>
      </c>
      <c r="K1088" t="s">
        <v>22</v>
      </c>
      <c r="L1088" t="s">
        <v>21</v>
      </c>
      <c r="M1088">
        <v>0</v>
      </c>
    </row>
    <row r="1089" spans="1:13" x14ac:dyDescent="0.25">
      <c r="A1089" t="s">
        <v>585</v>
      </c>
      <c r="B1089" t="s">
        <v>18</v>
      </c>
      <c r="C1089" t="s">
        <v>14</v>
      </c>
      <c r="D1089" t="s">
        <v>15</v>
      </c>
      <c r="E1089">
        <v>350</v>
      </c>
      <c r="F1089">
        <v>0.31</v>
      </c>
      <c r="G1089">
        <v>30</v>
      </c>
      <c r="H1089" s="1">
        <v>45320</v>
      </c>
      <c r="I1089">
        <v>2024</v>
      </c>
      <c r="J1089">
        <v>1</v>
      </c>
      <c r="K1089" t="s">
        <v>30</v>
      </c>
      <c r="L1089">
        <v>0</v>
      </c>
      <c r="M1089">
        <v>1</v>
      </c>
    </row>
    <row r="1090" spans="1:13" x14ac:dyDescent="0.25">
      <c r="A1090" t="s">
        <v>929</v>
      </c>
      <c r="B1090" t="s">
        <v>35</v>
      </c>
      <c r="C1090" t="s">
        <v>14</v>
      </c>
      <c r="D1090" t="s">
        <v>111</v>
      </c>
      <c r="E1090">
        <v>88</v>
      </c>
      <c r="F1090" t="s">
        <v>21</v>
      </c>
      <c r="G1090">
        <v>733</v>
      </c>
      <c r="H1090" s="1">
        <v>45320</v>
      </c>
      <c r="I1090">
        <v>2024</v>
      </c>
      <c r="J1090">
        <v>1</v>
      </c>
      <c r="K1090" t="s">
        <v>36</v>
      </c>
      <c r="L1090" t="s">
        <v>21</v>
      </c>
      <c r="M1090">
        <v>1</v>
      </c>
    </row>
    <row r="1091" spans="1:13" x14ac:dyDescent="0.25">
      <c r="A1091" t="s">
        <v>231</v>
      </c>
      <c r="B1091" t="s">
        <v>99</v>
      </c>
      <c r="C1091" t="s">
        <v>174</v>
      </c>
      <c r="D1091" t="s">
        <v>81</v>
      </c>
      <c r="E1091" t="s">
        <v>21</v>
      </c>
      <c r="F1091">
        <v>0.06</v>
      </c>
      <c r="G1091">
        <v>263</v>
      </c>
      <c r="H1091" s="1">
        <v>45320</v>
      </c>
      <c r="I1091">
        <v>2024</v>
      </c>
      <c r="J1091">
        <v>1</v>
      </c>
      <c r="K1091" t="s">
        <v>36</v>
      </c>
      <c r="L1091">
        <v>0</v>
      </c>
      <c r="M1091">
        <v>1</v>
      </c>
    </row>
    <row r="1092" spans="1:13" x14ac:dyDescent="0.25">
      <c r="A1092" t="s">
        <v>98</v>
      </c>
      <c r="B1092" t="s">
        <v>99</v>
      </c>
      <c r="C1092" t="s">
        <v>14</v>
      </c>
      <c r="D1092" t="s">
        <v>15</v>
      </c>
      <c r="E1092">
        <v>700</v>
      </c>
      <c r="F1092">
        <v>0.01</v>
      </c>
      <c r="G1092">
        <v>65</v>
      </c>
      <c r="H1092" s="1">
        <v>45317</v>
      </c>
      <c r="I1092">
        <v>2024</v>
      </c>
      <c r="J1092">
        <v>1</v>
      </c>
      <c r="K1092" t="s">
        <v>30</v>
      </c>
      <c r="L1092">
        <v>0</v>
      </c>
      <c r="M1092">
        <v>1</v>
      </c>
    </row>
    <row r="1093" spans="1:13" x14ac:dyDescent="0.25">
      <c r="A1093" t="s">
        <v>622</v>
      </c>
      <c r="B1093" t="s">
        <v>117</v>
      </c>
      <c r="C1093" t="s">
        <v>14</v>
      </c>
      <c r="D1093" t="s">
        <v>111</v>
      </c>
      <c r="E1093" t="s">
        <v>21</v>
      </c>
      <c r="F1093">
        <v>0.2</v>
      </c>
      <c r="G1093">
        <v>2400</v>
      </c>
      <c r="H1093" s="1">
        <v>45317</v>
      </c>
      <c r="I1093">
        <v>2024</v>
      </c>
      <c r="J1093">
        <v>1</v>
      </c>
      <c r="K1093" t="s">
        <v>26</v>
      </c>
      <c r="L1093">
        <v>0</v>
      </c>
      <c r="M1093">
        <v>1</v>
      </c>
    </row>
    <row r="1094" spans="1:13" x14ac:dyDescent="0.25">
      <c r="A1094" t="s">
        <v>192</v>
      </c>
      <c r="B1094" t="s">
        <v>114</v>
      </c>
      <c r="C1094" t="s">
        <v>14</v>
      </c>
      <c r="D1094" t="s">
        <v>55</v>
      </c>
      <c r="E1094" t="s">
        <v>21</v>
      </c>
      <c r="F1094" t="s">
        <v>21</v>
      </c>
      <c r="G1094" t="s">
        <v>21</v>
      </c>
      <c r="H1094" s="1">
        <v>45317</v>
      </c>
      <c r="I1094">
        <v>2024</v>
      </c>
      <c r="J1094">
        <v>1</v>
      </c>
      <c r="K1094" t="s">
        <v>22</v>
      </c>
      <c r="L1094" t="s">
        <v>21</v>
      </c>
      <c r="M1094">
        <v>0</v>
      </c>
    </row>
    <row r="1095" spans="1:13" x14ac:dyDescent="0.25">
      <c r="A1095" t="s">
        <v>12</v>
      </c>
      <c r="B1095" t="s">
        <v>13</v>
      </c>
      <c r="C1095" t="s">
        <v>14</v>
      </c>
      <c r="D1095" t="s">
        <v>15</v>
      </c>
      <c r="E1095">
        <v>1900</v>
      </c>
      <c r="F1095" t="s">
        <v>21</v>
      </c>
      <c r="G1095">
        <v>1</v>
      </c>
      <c r="H1095" s="1">
        <v>45316</v>
      </c>
      <c r="I1095">
        <v>2024</v>
      </c>
      <c r="J1095">
        <v>1</v>
      </c>
      <c r="K1095" t="s">
        <v>16</v>
      </c>
      <c r="L1095" t="s">
        <v>21</v>
      </c>
      <c r="M1095">
        <v>1</v>
      </c>
    </row>
    <row r="1096" spans="1:13" x14ac:dyDescent="0.25">
      <c r="A1096" t="s">
        <v>930</v>
      </c>
      <c r="B1096" t="s">
        <v>95</v>
      </c>
      <c r="C1096" t="s">
        <v>48</v>
      </c>
      <c r="D1096" t="s">
        <v>22</v>
      </c>
      <c r="E1096">
        <v>400</v>
      </c>
      <c r="F1096">
        <v>7.0000000000000007E-2</v>
      </c>
      <c r="G1096">
        <v>3600</v>
      </c>
      <c r="H1096" s="1">
        <v>45316</v>
      </c>
      <c r="I1096">
        <v>2024</v>
      </c>
      <c r="J1096">
        <v>1</v>
      </c>
      <c r="K1096" t="s">
        <v>26</v>
      </c>
      <c r="L1096">
        <v>0</v>
      </c>
      <c r="M1096">
        <v>1</v>
      </c>
    </row>
    <row r="1097" spans="1:13" x14ac:dyDescent="0.25">
      <c r="A1097" t="s">
        <v>931</v>
      </c>
      <c r="B1097" t="s">
        <v>117</v>
      </c>
      <c r="C1097" t="s">
        <v>14</v>
      </c>
      <c r="D1097" t="s">
        <v>33</v>
      </c>
      <c r="E1097">
        <v>65</v>
      </c>
      <c r="F1097">
        <v>0.19</v>
      </c>
      <c r="G1097">
        <v>299</v>
      </c>
      <c r="H1097" s="1">
        <v>45316</v>
      </c>
      <c r="I1097">
        <v>2024</v>
      </c>
      <c r="J1097">
        <v>1</v>
      </c>
      <c r="K1097" t="s">
        <v>36</v>
      </c>
      <c r="L1097">
        <v>0</v>
      </c>
      <c r="M1097">
        <v>1</v>
      </c>
    </row>
    <row r="1098" spans="1:13" x14ac:dyDescent="0.25">
      <c r="A1098" t="s">
        <v>53</v>
      </c>
      <c r="B1098" t="s">
        <v>54</v>
      </c>
      <c r="C1098" t="s">
        <v>14</v>
      </c>
      <c r="D1098" t="s">
        <v>55</v>
      </c>
      <c r="E1098">
        <v>20</v>
      </c>
      <c r="F1098" t="s">
        <v>21</v>
      </c>
      <c r="G1098">
        <v>187</v>
      </c>
      <c r="H1098" s="1">
        <v>45316</v>
      </c>
      <c r="I1098">
        <v>2024</v>
      </c>
      <c r="J1098">
        <v>1</v>
      </c>
      <c r="K1098" t="s">
        <v>36</v>
      </c>
      <c r="L1098" t="s">
        <v>21</v>
      </c>
      <c r="M1098">
        <v>1</v>
      </c>
    </row>
    <row r="1099" spans="1:13" x14ac:dyDescent="0.25">
      <c r="A1099" t="s">
        <v>932</v>
      </c>
      <c r="B1099" t="s">
        <v>54</v>
      </c>
      <c r="C1099" t="s">
        <v>14</v>
      </c>
      <c r="D1099" t="s">
        <v>33</v>
      </c>
      <c r="E1099">
        <v>12</v>
      </c>
      <c r="F1099">
        <v>0.3</v>
      </c>
      <c r="G1099">
        <v>27</v>
      </c>
      <c r="H1099" s="1">
        <v>45316</v>
      </c>
      <c r="I1099">
        <v>2024</v>
      </c>
      <c r="J1099">
        <v>1</v>
      </c>
      <c r="K1099" t="s">
        <v>30</v>
      </c>
      <c r="L1099">
        <v>0</v>
      </c>
      <c r="M1099">
        <v>1</v>
      </c>
    </row>
    <row r="1100" spans="1:13" x14ac:dyDescent="0.25">
      <c r="A1100" t="s">
        <v>419</v>
      </c>
      <c r="B1100" t="s">
        <v>32</v>
      </c>
      <c r="C1100" t="s">
        <v>14</v>
      </c>
      <c r="D1100" t="s">
        <v>20</v>
      </c>
      <c r="E1100" t="s">
        <v>21</v>
      </c>
      <c r="F1100">
        <v>0.08</v>
      </c>
      <c r="G1100">
        <v>56</v>
      </c>
      <c r="H1100" s="1">
        <v>45316</v>
      </c>
      <c r="I1100">
        <v>2024</v>
      </c>
      <c r="J1100">
        <v>1</v>
      </c>
      <c r="K1100" t="s">
        <v>30</v>
      </c>
      <c r="L1100">
        <v>0</v>
      </c>
      <c r="M1100">
        <v>1</v>
      </c>
    </row>
    <row r="1101" spans="1:13" x14ac:dyDescent="0.25">
      <c r="A1101" t="s">
        <v>933</v>
      </c>
      <c r="B1101" t="s">
        <v>77</v>
      </c>
      <c r="C1101" t="s">
        <v>143</v>
      </c>
      <c r="D1101" t="s">
        <v>22</v>
      </c>
      <c r="E1101" t="s">
        <v>21</v>
      </c>
      <c r="F1101">
        <v>1</v>
      </c>
      <c r="G1101" t="s">
        <v>21</v>
      </c>
      <c r="H1101" s="1">
        <v>45316</v>
      </c>
      <c r="I1101">
        <v>2024</v>
      </c>
      <c r="J1101">
        <v>1</v>
      </c>
      <c r="K1101" t="s">
        <v>22</v>
      </c>
      <c r="L1101">
        <v>1</v>
      </c>
      <c r="M1101">
        <v>1</v>
      </c>
    </row>
    <row r="1102" spans="1:13" x14ac:dyDescent="0.25">
      <c r="A1102" t="s">
        <v>399</v>
      </c>
      <c r="B1102" t="s">
        <v>13</v>
      </c>
      <c r="C1102" t="s">
        <v>14</v>
      </c>
      <c r="D1102" t="s">
        <v>15</v>
      </c>
      <c r="E1102" t="s">
        <v>21</v>
      </c>
      <c r="F1102">
        <v>0.06</v>
      </c>
      <c r="G1102">
        <v>332</v>
      </c>
      <c r="H1102" s="1">
        <v>45316</v>
      </c>
      <c r="I1102">
        <v>2024</v>
      </c>
      <c r="J1102">
        <v>1</v>
      </c>
      <c r="K1102" t="s">
        <v>36</v>
      </c>
      <c r="L1102">
        <v>0</v>
      </c>
      <c r="M1102">
        <v>1</v>
      </c>
    </row>
    <row r="1103" spans="1:13" x14ac:dyDescent="0.25">
      <c r="A1103" t="s">
        <v>934</v>
      </c>
      <c r="B1103" t="s">
        <v>207</v>
      </c>
      <c r="C1103" t="s">
        <v>48</v>
      </c>
      <c r="D1103" t="s">
        <v>43</v>
      </c>
      <c r="E1103">
        <v>100</v>
      </c>
      <c r="F1103" t="s">
        <v>21</v>
      </c>
      <c r="G1103">
        <v>635</v>
      </c>
      <c r="H1103" s="1">
        <v>45315</v>
      </c>
      <c r="I1103">
        <v>2024</v>
      </c>
      <c r="J1103">
        <v>1</v>
      </c>
      <c r="K1103" t="s">
        <v>36</v>
      </c>
      <c r="L1103" t="s">
        <v>21</v>
      </c>
      <c r="M1103">
        <v>1</v>
      </c>
    </row>
    <row r="1104" spans="1:13" x14ac:dyDescent="0.25">
      <c r="A1104" t="s">
        <v>337</v>
      </c>
      <c r="B1104" t="s">
        <v>40</v>
      </c>
      <c r="C1104" t="s">
        <v>83</v>
      </c>
      <c r="D1104" t="s">
        <v>111</v>
      </c>
      <c r="E1104">
        <v>100</v>
      </c>
      <c r="F1104" t="s">
        <v>21</v>
      </c>
      <c r="G1104">
        <v>724</v>
      </c>
      <c r="H1104" s="1">
        <v>45315</v>
      </c>
      <c r="I1104">
        <v>2024</v>
      </c>
      <c r="J1104">
        <v>1</v>
      </c>
      <c r="K1104" t="s">
        <v>36</v>
      </c>
      <c r="L1104" t="s">
        <v>21</v>
      </c>
      <c r="M1104">
        <v>1</v>
      </c>
    </row>
    <row r="1105" spans="1:13" x14ac:dyDescent="0.25">
      <c r="A1105" t="s">
        <v>879</v>
      </c>
      <c r="B1105" t="s">
        <v>32</v>
      </c>
      <c r="C1105" t="s">
        <v>161</v>
      </c>
      <c r="D1105" t="s">
        <v>15</v>
      </c>
      <c r="E1105">
        <v>80</v>
      </c>
      <c r="F1105">
        <v>0.13</v>
      </c>
      <c r="G1105">
        <v>275</v>
      </c>
      <c r="H1105" s="1">
        <v>45315</v>
      </c>
      <c r="I1105">
        <v>2024</v>
      </c>
      <c r="J1105">
        <v>1</v>
      </c>
      <c r="K1105" t="s">
        <v>36</v>
      </c>
      <c r="L1105">
        <v>0</v>
      </c>
      <c r="M1105">
        <v>1</v>
      </c>
    </row>
    <row r="1106" spans="1:13" x14ac:dyDescent="0.25">
      <c r="A1106" t="s">
        <v>935</v>
      </c>
      <c r="B1106" t="s">
        <v>66</v>
      </c>
      <c r="C1106" t="s">
        <v>14</v>
      </c>
      <c r="D1106" t="s">
        <v>15</v>
      </c>
      <c r="E1106" t="s">
        <v>21</v>
      </c>
      <c r="F1106">
        <v>0.03</v>
      </c>
      <c r="G1106">
        <v>3700</v>
      </c>
      <c r="H1106" s="1">
        <v>45315</v>
      </c>
      <c r="I1106">
        <v>2024</v>
      </c>
      <c r="J1106">
        <v>1</v>
      </c>
      <c r="K1106" t="s">
        <v>26</v>
      </c>
      <c r="L1106">
        <v>0</v>
      </c>
      <c r="M1106">
        <v>1</v>
      </c>
    </row>
    <row r="1107" spans="1:13" x14ac:dyDescent="0.25">
      <c r="A1107" t="s">
        <v>936</v>
      </c>
      <c r="B1107" t="s">
        <v>13</v>
      </c>
      <c r="C1107" t="s">
        <v>14</v>
      </c>
      <c r="D1107" t="s">
        <v>15</v>
      </c>
      <c r="E1107" t="s">
        <v>21</v>
      </c>
      <c r="F1107">
        <v>0.2</v>
      </c>
      <c r="G1107">
        <v>811</v>
      </c>
      <c r="H1107" s="1">
        <v>45315</v>
      </c>
      <c r="I1107">
        <v>2024</v>
      </c>
      <c r="J1107">
        <v>1</v>
      </c>
      <c r="K1107" t="s">
        <v>36</v>
      </c>
      <c r="L1107">
        <v>0</v>
      </c>
      <c r="M1107">
        <v>1</v>
      </c>
    </row>
    <row r="1108" spans="1:13" x14ac:dyDescent="0.25">
      <c r="A1108" t="s">
        <v>937</v>
      </c>
      <c r="B1108" t="s">
        <v>54</v>
      </c>
      <c r="C1108" t="s">
        <v>14</v>
      </c>
      <c r="D1108" t="s">
        <v>15</v>
      </c>
      <c r="E1108" t="s">
        <v>21</v>
      </c>
      <c r="F1108" t="s">
        <v>21</v>
      </c>
      <c r="G1108">
        <v>100</v>
      </c>
      <c r="H1108" s="1">
        <v>45315</v>
      </c>
      <c r="I1108">
        <v>2024</v>
      </c>
      <c r="J1108">
        <v>1</v>
      </c>
      <c r="K1108" t="s">
        <v>36</v>
      </c>
      <c r="L1108" t="s">
        <v>21</v>
      </c>
      <c r="M1108">
        <v>0</v>
      </c>
    </row>
    <row r="1109" spans="1:13" x14ac:dyDescent="0.25">
      <c r="A1109" t="s">
        <v>938</v>
      </c>
      <c r="B1109" t="s">
        <v>13</v>
      </c>
      <c r="C1109" t="s">
        <v>83</v>
      </c>
      <c r="D1109" t="s">
        <v>15</v>
      </c>
      <c r="E1109">
        <v>8000</v>
      </c>
      <c r="F1109">
        <v>7.0000000000000007E-2</v>
      </c>
      <c r="G1109">
        <v>1300</v>
      </c>
      <c r="H1109" s="1">
        <v>45314</v>
      </c>
      <c r="I1109">
        <v>2024</v>
      </c>
      <c r="J1109">
        <v>1</v>
      </c>
      <c r="K1109" t="s">
        <v>26</v>
      </c>
      <c r="L1109">
        <v>0</v>
      </c>
      <c r="M1109">
        <v>1</v>
      </c>
    </row>
    <row r="1110" spans="1:13" x14ac:dyDescent="0.25">
      <c r="A1110" t="s">
        <v>247</v>
      </c>
      <c r="B1110" t="s">
        <v>24</v>
      </c>
      <c r="C1110" t="s">
        <v>14</v>
      </c>
      <c r="D1110" t="s">
        <v>15</v>
      </c>
      <c r="E1110">
        <v>1000</v>
      </c>
      <c r="F1110">
        <v>0.09</v>
      </c>
      <c r="G1110">
        <v>1200</v>
      </c>
      <c r="H1110" s="1">
        <v>45314</v>
      </c>
      <c r="I1110">
        <v>2024</v>
      </c>
      <c r="J1110">
        <v>1</v>
      </c>
      <c r="K1110" t="s">
        <v>26</v>
      </c>
      <c r="L1110">
        <v>0</v>
      </c>
      <c r="M1110">
        <v>1</v>
      </c>
    </row>
    <row r="1111" spans="1:13" x14ac:dyDescent="0.25">
      <c r="A1111" t="s">
        <v>939</v>
      </c>
      <c r="B1111" t="s">
        <v>66</v>
      </c>
      <c r="C1111" t="s">
        <v>14</v>
      </c>
      <c r="D1111" t="s">
        <v>15</v>
      </c>
      <c r="E1111">
        <v>800</v>
      </c>
      <c r="F1111">
        <v>0.9</v>
      </c>
      <c r="G1111">
        <v>1300</v>
      </c>
      <c r="H1111" s="1">
        <v>45314</v>
      </c>
      <c r="I1111">
        <v>2024</v>
      </c>
      <c r="J1111">
        <v>1</v>
      </c>
      <c r="K1111" t="s">
        <v>26</v>
      </c>
      <c r="L1111">
        <v>0</v>
      </c>
      <c r="M1111">
        <v>1</v>
      </c>
    </row>
    <row r="1112" spans="1:13" x14ac:dyDescent="0.25">
      <c r="A1112" t="s">
        <v>940</v>
      </c>
      <c r="B1112" t="s">
        <v>77</v>
      </c>
      <c r="C1112" t="s">
        <v>14</v>
      </c>
      <c r="D1112" t="s">
        <v>55</v>
      </c>
      <c r="E1112">
        <v>282</v>
      </c>
      <c r="F1112">
        <v>0.2</v>
      </c>
      <c r="G1112">
        <v>1500</v>
      </c>
      <c r="H1112" s="1">
        <v>45314</v>
      </c>
      <c r="I1112">
        <v>2024</v>
      </c>
      <c r="J1112">
        <v>1</v>
      </c>
      <c r="K1112" t="s">
        <v>26</v>
      </c>
      <c r="L1112">
        <v>0</v>
      </c>
      <c r="M1112">
        <v>1</v>
      </c>
    </row>
    <row r="1113" spans="1:13" x14ac:dyDescent="0.25">
      <c r="A1113" t="s">
        <v>941</v>
      </c>
      <c r="B1113" t="s">
        <v>207</v>
      </c>
      <c r="C1113" t="s">
        <v>48</v>
      </c>
      <c r="D1113" t="s">
        <v>43</v>
      </c>
      <c r="E1113">
        <v>120</v>
      </c>
      <c r="F1113" t="s">
        <v>21</v>
      </c>
      <c r="G1113">
        <v>625</v>
      </c>
      <c r="H1113" s="1">
        <v>45314</v>
      </c>
      <c r="I1113">
        <v>2024</v>
      </c>
      <c r="J1113">
        <v>1</v>
      </c>
      <c r="K1113" t="s">
        <v>36</v>
      </c>
      <c r="L1113" t="s">
        <v>21</v>
      </c>
      <c r="M1113">
        <v>1</v>
      </c>
    </row>
    <row r="1114" spans="1:13" x14ac:dyDescent="0.25">
      <c r="A1114" t="s">
        <v>942</v>
      </c>
      <c r="B1114" t="s">
        <v>106</v>
      </c>
      <c r="C1114" t="s">
        <v>71</v>
      </c>
      <c r="D1114" t="s">
        <v>55</v>
      </c>
      <c r="E1114">
        <v>100</v>
      </c>
      <c r="F1114" t="s">
        <v>21</v>
      </c>
      <c r="G1114">
        <v>686</v>
      </c>
      <c r="H1114" s="1">
        <v>45314</v>
      </c>
      <c r="I1114">
        <v>2024</v>
      </c>
      <c r="J1114">
        <v>1</v>
      </c>
      <c r="K1114" t="s">
        <v>36</v>
      </c>
      <c r="L1114" t="s">
        <v>21</v>
      </c>
      <c r="M1114">
        <v>1</v>
      </c>
    </row>
    <row r="1115" spans="1:13" x14ac:dyDescent="0.25">
      <c r="A1115" t="s">
        <v>604</v>
      </c>
      <c r="B1115" t="s">
        <v>32</v>
      </c>
      <c r="C1115" t="s">
        <v>539</v>
      </c>
      <c r="D1115" t="s">
        <v>46</v>
      </c>
      <c r="E1115">
        <v>30</v>
      </c>
      <c r="F1115" t="s">
        <v>21</v>
      </c>
      <c r="G1115">
        <v>22</v>
      </c>
      <c r="H1115" s="1">
        <v>45314</v>
      </c>
      <c r="I1115">
        <v>2024</v>
      </c>
      <c r="J1115">
        <v>1</v>
      </c>
      <c r="K1115" t="s">
        <v>30</v>
      </c>
      <c r="L1115" t="s">
        <v>21</v>
      </c>
      <c r="M1115">
        <v>1</v>
      </c>
    </row>
    <row r="1116" spans="1:13" x14ac:dyDescent="0.25">
      <c r="A1116" t="s">
        <v>943</v>
      </c>
      <c r="B1116" t="s">
        <v>13</v>
      </c>
      <c r="C1116" t="s">
        <v>14</v>
      </c>
      <c r="D1116" t="s">
        <v>20</v>
      </c>
      <c r="E1116">
        <v>29</v>
      </c>
      <c r="F1116" t="s">
        <v>21</v>
      </c>
      <c r="G1116">
        <v>2</v>
      </c>
      <c r="H1116" s="1">
        <v>45314</v>
      </c>
      <c r="I1116">
        <v>2024</v>
      </c>
      <c r="J1116">
        <v>1</v>
      </c>
      <c r="K1116" t="s">
        <v>16</v>
      </c>
      <c r="L1116" t="s">
        <v>21</v>
      </c>
      <c r="M1116">
        <v>1</v>
      </c>
    </row>
    <row r="1117" spans="1:13" x14ac:dyDescent="0.25">
      <c r="A1117" t="s">
        <v>944</v>
      </c>
      <c r="B1117" t="s">
        <v>77</v>
      </c>
      <c r="C1117" t="s">
        <v>80</v>
      </c>
      <c r="D1117" t="s">
        <v>20</v>
      </c>
      <c r="E1117">
        <v>15</v>
      </c>
      <c r="F1117" t="s">
        <v>21</v>
      </c>
      <c r="G1117">
        <v>28</v>
      </c>
      <c r="H1117" s="1">
        <v>45314</v>
      </c>
      <c r="I1117">
        <v>2024</v>
      </c>
      <c r="J1117">
        <v>1</v>
      </c>
      <c r="K1117" t="s">
        <v>30</v>
      </c>
      <c r="L1117" t="s">
        <v>21</v>
      </c>
      <c r="M1117">
        <v>1</v>
      </c>
    </row>
    <row r="1118" spans="1:13" x14ac:dyDescent="0.25">
      <c r="A1118" t="s">
        <v>945</v>
      </c>
      <c r="B1118" t="s">
        <v>18</v>
      </c>
      <c r="C1118" t="s">
        <v>14</v>
      </c>
      <c r="D1118" t="s">
        <v>20</v>
      </c>
      <c r="E1118">
        <v>530</v>
      </c>
      <c r="F1118">
        <v>0.11</v>
      </c>
      <c r="G1118">
        <v>21</v>
      </c>
      <c r="H1118" s="1">
        <v>45313</v>
      </c>
      <c r="I1118">
        <v>2024</v>
      </c>
      <c r="J1118">
        <v>1</v>
      </c>
      <c r="K1118" t="s">
        <v>30</v>
      </c>
      <c r="L1118">
        <v>0</v>
      </c>
      <c r="M1118">
        <v>1</v>
      </c>
    </row>
    <row r="1119" spans="1:13" x14ac:dyDescent="0.25">
      <c r="A1119" t="s">
        <v>946</v>
      </c>
      <c r="B1119" t="s">
        <v>77</v>
      </c>
      <c r="C1119" t="s">
        <v>25</v>
      </c>
      <c r="D1119" t="s">
        <v>55</v>
      </c>
      <c r="E1119">
        <v>200</v>
      </c>
      <c r="F1119" t="s">
        <v>21</v>
      </c>
      <c r="G1119">
        <v>534</v>
      </c>
      <c r="H1119" s="1">
        <v>45313</v>
      </c>
      <c r="I1119">
        <v>2024</v>
      </c>
      <c r="J1119">
        <v>1</v>
      </c>
      <c r="K1119" t="s">
        <v>36</v>
      </c>
      <c r="L1119" t="s">
        <v>21</v>
      </c>
      <c r="M1119">
        <v>1</v>
      </c>
    </row>
    <row r="1120" spans="1:13" x14ac:dyDescent="0.25">
      <c r="A1120" t="s">
        <v>17</v>
      </c>
      <c r="B1120" t="s">
        <v>18</v>
      </c>
      <c r="C1120" t="s">
        <v>14</v>
      </c>
      <c r="D1120" t="s">
        <v>20</v>
      </c>
      <c r="E1120">
        <v>60</v>
      </c>
      <c r="F1120" t="s">
        <v>21</v>
      </c>
      <c r="G1120" t="s">
        <v>21</v>
      </c>
      <c r="H1120" s="1">
        <v>45313</v>
      </c>
      <c r="I1120">
        <v>2024</v>
      </c>
      <c r="J1120">
        <v>1</v>
      </c>
      <c r="K1120" t="s">
        <v>22</v>
      </c>
      <c r="L1120" t="s">
        <v>21</v>
      </c>
      <c r="M1120">
        <v>1</v>
      </c>
    </row>
    <row r="1121" spans="1:13" x14ac:dyDescent="0.25">
      <c r="A1121" t="s">
        <v>460</v>
      </c>
      <c r="B1121" t="s">
        <v>106</v>
      </c>
      <c r="C1121" t="s">
        <v>14</v>
      </c>
      <c r="D1121" t="s">
        <v>15</v>
      </c>
      <c r="E1121" t="s">
        <v>21</v>
      </c>
      <c r="F1121" t="s">
        <v>21</v>
      </c>
      <c r="G1121">
        <v>426</v>
      </c>
      <c r="H1121" s="1">
        <v>45313</v>
      </c>
      <c r="I1121">
        <v>2024</v>
      </c>
      <c r="J1121">
        <v>1</v>
      </c>
      <c r="K1121" t="s">
        <v>36</v>
      </c>
      <c r="L1121" t="s">
        <v>21</v>
      </c>
      <c r="M1121">
        <v>0</v>
      </c>
    </row>
    <row r="1122" spans="1:13" x14ac:dyDescent="0.25">
      <c r="A1122" t="s">
        <v>108</v>
      </c>
      <c r="B1122" t="s">
        <v>18</v>
      </c>
      <c r="C1122" t="s">
        <v>14</v>
      </c>
      <c r="D1122" t="s">
        <v>15</v>
      </c>
      <c r="E1122" t="s">
        <v>21</v>
      </c>
      <c r="F1122" t="s">
        <v>21</v>
      </c>
      <c r="G1122">
        <v>26</v>
      </c>
      <c r="H1122" s="1">
        <v>45313</v>
      </c>
      <c r="I1122">
        <v>2024</v>
      </c>
      <c r="J1122">
        <v>1</v>
      </c>
      <c r="K1122" t="s">
        <v>30</v>
      </c>
      <c r="L1122" t="s">
        <v>21</v>
      </c>
      <c r="M1122">
        <v>0</v>
      </c>
    </row>
    <row r="1123" spans="1:13" x14ac:dyDescent="0.25">
      <c r="A1123" t="s">
        <v>946</v>
      </c>
      <c r="B1123" t="s">
        <v>77</v>
      </c>
      <c r="C1123" t="s">
        <v>25</v>
      </c>
      <c r="D1123" t="s">
        <v>55</v>
      </c>
      <c r="E1123" t="s">
        <v>21</v>
      </c>
      <c r="F1123" t="s">
        <v>21</v>
      </c>
      <c r="G1123">
        <v>534</v>
      </c>
      <c r="H1123" s="1">
        <v>45313</v>
      </c>
      <c r="I1123">
        <v>2024</v>
      </c>
      <c r="J1123">
        <v>1</v>
      </c>
      <c r="K1123" t="s">
        <v>36</v>
      </c>
      <c r="L1123" t="s">
        <v>21</v>
      </c>
      <c r="M1123">
        <v>0</v>
      </c>
    </row>
    <row r="1124" spans="1:13" x14ac:dyDescent="0.25">
      <c r="A1124" t="s">
        <v>535</v>
      </c>
      <c r="B1124" t="s">
        <v>217</v>
      </c>
      <c r="C1124" t="s">
        <v>29</v>
      </c>
      <c r="D1124" t="s">
        <v>15</v>
      </c>
      <c r="E1124">
        <v>900</v>
      </c>
      <c r="F1124">
        <v>0.16</v>
      </c>
      <c r="G1124">
        <v>155</v>
      </c>
      <c r="H1124" s="1">
        <v>45312</v>
      </c>
      <c r="I1124">
        <v>2024</v>
      </c>
      <c r="J1124">
        <v>1</v>
      </c>
      <c r="K1124" t="s">
        <v>36</v>
      </c>
      <c r="L1124">
        <v>0</v>
      </c>
      <c r="M1124">
        <v>1</v>
      </c>
    </row>
    <row r="1125" spans="1:13" x14ac:dyDescent="0.25">
      <c r="A1125" t="s">
        <v>472</v>
      </c>
      <c r="B1125" t="s">
        <v>24</v>
      </c>
      <c r="C1125" t="s">
        <v>14</v>
      </c>
      <c r="D1125" t="s">
        <v>15</v>
      </c>
      <c r="E1125">
        <v>1650</v>
      </c>
      <c r="F1125">
        <v>0.13</v>
      </c>
      <c r="G1125">
        <v>1700</v>
      </c>
      <c r="H1125" s="1">
        <v>45310</v>
      </c>
      <c r="I1125">
        <v>2024</v>
      </c>
      <c r="J1125">
        <v>1</v>
      </c>
      <c r="K1125" t="s">
        <v>26</v>
      </c>
      <c r="L1125">
        <v>0</v>
      </c>
      <c r="M1125">
        <v>1</v>
      </c>
    </row>
    <row r="1126" spans="1:13" x14ac:dyDescent="0.25">
      <c r="A1126" t="s">
        <v>240</v>
      </c>
      <c r="B1126" t="s">
        <v>24</v>
      </c>
      <c r="C1126" t="s">
        <v>14</v>
      </c>
      <c r="D1126" t="s">
        <v>15</v>
      </c>
      <c r="E1126">
        <v>30</v>
      </c>
      <c r="F1126" t="s">
        <v>21</v>
      </c>
      <c r="G1126">
        <v>108</v>
      </c>
      <c r="H1126" s="1">
        <v>45309</v>
      </c>
      <c r="I1126">
        <v>2024</v>
      </c>
      <c r="J1126">
        <v>1</v>
      </c>
      <c r="K1126" t="s">
        <v>36</v>
      </c>
      <c r="L1126" t="s">
        <v>21</v>
      </c>
      <c r="M1126">
        <v>1</v>
      </c>
    </row>
    <row r="1127" spans="1:13" x14ac:dyDescent="0.25">
      <c r="A1127" t="s">
        <v>947</v>
      </c>
      <c r="B1127" t="s">
        <v>24</v>
      </c>
      <c r="C1127" t="s">
        <v>14</v>
      </c>
      <c r="D1127" t="s">
        <v>22</v>
      </c>
      <c r="E1127" t="s">
        <v>21</v>
      </c>
      <c r="F1127" t="s">
        <v>21</v>
      </c>
      <c r="G1127">
        <v>153</v>
      </c>
      <c r="H1127" s="1">
        <v>45309</v>
      </c>
      <c r="I1127">
        <v>2024</v>
      </c>
      <c r="J1127">
        <v>1</v>
      </c>
      <c r="K1127" t="s">
        <v>36</v>
      </c>
      <c r="L1127" t="s">
        <v>21</v>
      </c>
      <c r="M1127">
        <v>0</v>
      </c>
    </row>
    <row r="1128" spans="1:13" x14ac:dyDescent="0.25">
      <c r="A1128" t="s">
        <v>948</v>
      </c>
      <c r="B1128" t="s">
        <v>24</v>
      </c>
      <c r="C1128" t="s">
        <v>14</v>
      </c>
      <c r="D1128" t="s">
        <v>15</v>
      </c>
      <c r="E1128" t="s">
        <v>21</v>
      </c>
      <c r="F1128" t="s">
        <v>21</v>
      </c>
      <c r="G1128">
        <v>79</v>
      </c>
      <c r="H1128" s="1">
        <v>45309</v>
      </c>
      <c r="I1128">
        <v>2024</v>
      </c>
      <c r="J1128">
        <v>1</v>
      </c>
      <c r="K1128" t="s">
        <v>30</v>
      </c>
      <c r="L1128" t="s">
        <v>21</v>
      </c>
      <c r="M1128">
        <v>0</v>
      </c>
    </row>
    <row r="1129" spans="1:13" x14ac:dyDescent="0.25">
      <c r="A1129" t="s">
        <v>949</v>
      </c>
      <c r="B1129" t="s">
        <v>32</v>
      </c>
      <c r="C1129" t="s">
        <v>14</v>
      </c>
      <c r="D1129" t="s">
        <v>20</v>
      </c>
      <c r="E1129">
        <v>100</v>
      </c>
      <c r="F1129" t="s">
        <v>21</v>
      </c>
      <c r="G1129">
        <v>11</v>
      </c>
      <c r="H1129" s="1">
        <v>45308</v>
      </c>
      <c r="I1129">
        <v>2024</v>
      </c>
      <c r="J1129">
        <v>1</v>
      </c>
      <c r="K1129" t="s">
        <v>30</v>
      </c>
      <c r="L1129" t="s">
        <v>21</v>
      </c>
      <c r="M1129">
        <v>1</v>
      </c>
    </row>
    <row r="1130" spans="1:13" x14ac:dyDescent="0.25">
      <c r="A1130" t="s">
        <v>950</v>
      </c>
      <c r="B1130" t="s">
        <v>95</v>
      </c>
      <c r="C1130" t="s">
        <v>83</v>
      </c>
      <c r="D1130" t="s">
        <v>49</v>
      </c>
      <c r="E1130">
        <v>60</v>
      </c>
      <c r="F1130" t="s">
        <v>21</v>
      </c>
      <c r="G1130" t="s">
        <v>21</v>
      </c>
      <c r="H1130" s="1">
        <v>45308</v>
      </c>
      <c r="I1130">
        <v>2024</v>
      </c>
      <c r="J1130">
        <v>1</v>
      </c>
      <c r="K1130" t="s">
        <v>22</v>
      </c>
      <c r="L1130" t="s">
        <v>21</v>
      </c>
      <c r="M1130">
        <v>1</v>
      </c>
    </row>
    <row r="1131" spans="1:13" x14ac:dyDescent="0.25">
      <c r="A1131" t="s">
        <v>951</v>
      </c>
      <c r="B1131" t="s">
        <v>35</v>
      </c>
      <c r="C1131" t="s">
        <v>14</v>
      </c>
      <c r="D1131" t="s">
        <v>46</v>
      </c>
      <c r="E1131">
        <v>49</v>
      </c>
      <c r="F1131">
        <v>0.17</v>
      </c>
      <c r="G1131">
        <v>183</v>
      </c>
      <c r="H1131" s="1">
        <v>45307</v>
      </c>
      <c r="I1131">
        <v>2024</v>
      </c>
      <c r="J1131">
        <v>1</v>
      </c>
      <c r="K1131" t="s">
        <v>36</v>
      </c>
      <c r="L1131">
        <v>0</v>
      </c>
      <c r="M1131">
        <v>1</v>
      </c>
    </row>
    <row r="1132" spans="1:13" x14ac:dyDescent="0.25">
      <c r="A1132" t="s">
        <v>952</v>
      </c>
      <c r="B1132" t="s">
        <v>66</v>
      </c>
      <c r="C1132" t="s">
        <v>14</v>
      </c>
      <c r="D1132" t="s">
        <v>20</v>
      </c>
      <c r="E1132">
        <v>48</v>
      </c>
      <c r="F1132">
        <v>0.2</v>
      </c>
      <c r="G1132">
        <v>9</v>
      </c>
      <c r="H1132" s="1">
        <v>45307</v>
      </c>
      <c r="I1132">
        <v>2024</v>
      </c>
      <c r="J1132">
        <v>1</v>
      </c>
      <c r="K1132" t="s">
        <v>16</v>
      </c>
      <c r="L1132">
        <v>0</v>
      </c>
      <c r="M1132">
        <v>1</v>
      </c>
    </row>
    <row r="1133" spans="1:13" x14ac:dyDescent="0.25">
      <c r="A1133" t="s">
        <v>953</v>
      </c>
      <c r="B1133" t="s">
        <v>66</v>
      </c>
      <c r="C1133" t="s">
        <v>381</v>
      </c>
      <c r="D1133" t="s">
        <v>22</v>
      </c>
      <c r="E1133" t="s">
        <v>21</v>
      </c>
      <c r="F1133">
        <v>1</v>
      </c>
      <c r="G1133" t="s">
        <v>21</v>
      </c>
      <c r="H1133" s="1">
        <v>45307</v>
      </c>
      <c r="I1133">
        <v>2024</v>
      </c>
      <c r="J1133">
        <v>1</v>
      </c>
      <c r="K1133" t="s">
        <v>22</v>
      </c>
      <c r="L1133">
        <v>1</v>
      </c>
      <c r="M1133">
        <v>1</v>
      </c>
    </row>
    <row r="1134" spans="1:13" x14ac:dyDescent="0.25">
      <c r="A1134" t="s">
        <v>108</v>
      </c>
      <c r="B1134" t="s">
        <v>18</v>
      </c>
      <c r="C1134" t="s">
        <v>14</v>
      </c>
      <c r="D1134" t="s">
        <v>15</v>
      </c>
      <c r="E1134" t="s">
        <v>21</v>
      </c>
      <c r="F1134" t="s">
        <v>21</v>
      </c>
      <c r="G1134">
        <v>26</v>
      </c>
      <c r="H1134" s="1">
        <v>45307</v>
      </c>
      <c r="I1134">
        <v>2024</v>
      </c>
      <c r="J1134">
        <v>1</v>
      </c>
      <c r="K1134" t="s">
        <v>30</v>
      </c>
      <c r="L1134" t="s">
        <v>21</v>
      </c>
      <c r="M1134">
        <v>0</v>
      </c>
    </row>
    <row r="1135" spans="1:13" x14ac:dyDescent="0.25">
      <c r="A1135" t="s">
        <v>954</v>
      </c>
      <c r="B1135" t="s">
        <v>18</v>
      </c>
      <c r="C1135" t="s">
        <v>80</v>
      </c>
      <c r="D1135" t="s">
        <v>49</v>
      </c>
      <c r="E1135" t="s">
        <v>21</v>
      </c>
      <c r="F1135">
        <v>0.7</v>
      </c>
      <c r="G1135">
        <v>3</v>
      </c>
      <c r="H1135" s="1">
        <v>45307</v>
      </c>
      <c r="I1135">
        <v>2024</v>
      </c>
      <c r="J1135">
        <v>1</v>
      </c>
      <c r="K1135" t="s">
        <v>16</v>
      </c>
      <c r="L1135">
        <v>0</v>
      </c>
      <c r="M1135">
        <v>1</v>
      </c>
    </row>
    <row r="1136" spans="1:13" x14ac:dyDescent="0.25">
      <c r="A1136" t="s">
        <v>955</v>
      </c>
      <c r="B1136" t="s">
        <v>38</v>
      </c>
      <c r="C1136" t="s">
        <v>14</v>
      </c>
      <c r="D1136" t="s">
        <v>20</v>
      </c>
      <c r="E1136">
        <v>300</v>
      </c>
      <c r="F1136" t="s">
        <v>21</v>
      </c>
      <c r="G1136">
        <v>500</v>
      </c>
      <c r="H1136" s="1">
        <v>45303</v>
      </c>
      <c r="I1136">
        <v>2024</v>
      </c>
      <c r="J1136">
        <v>1</v>
      </c>
      <c r="K1136" t="s">
        <v>36</v>
      </c>
      <c r="L1136" t="s">
        <v>21</v>
      </c>
      <c r="M1136">
        <v>1</v>
      </c>
    </row>
    <row r="1137" spans="1:13" x14ac:dyDescent="0.25">
      <c r="A1137" t="s">
        <v>956</v>
      </c>
      <c r="B1137" t="s">
        <v>13</v>
      </c>
      <c r="C1137" t="s">
        <v>356</v>
      </c>
      <c r="D1137" t="s">
        <v>20</v>
      </c>
      <c r="E1137">
        <v>13</v>
      </c>
      <c r="F1137" t="s">
        <v>21</v>
      </c>
      <c r="G1137">
        <v>28</v>
      </c>
      <c r="H1137" s="1">
        <v>45303</v>
      </c>
      <c r="I1137">
        <v>2024</v>
      </c>
      <c r="J1137">
        <v>1</v>
      </c>
      <c r="K1137" t="s">
        <v>30</v>
      </c>
      <c r="L1137" t="s">
        <v>21</v>
      </c>
      <c r="M1137">
        <v>1</v>
      </c>
    </row>
    <row r="1138" spans="1:13" x14ac:dyDescent="0.25">
      <c r="A1138" t="s">
        <v>957</v>
      </c>
      <c r="B1138" t="s">
        <v>32</v>
      </c>
      <c r="C1138" t="s">
        <v>14</v>
      </c>
      <c r="D1138" t="s">
        <v>22</v>
      </c>
      <c r="E1138" t="s">
        <v>21</v>
      </c>
      <c r="F1138">
        <v>1</v>
      </c>
      <c r="G1138" t="s">
        <v>21</v>
      </c>
      <c r="H1138" s="1">
        <v>45303</v>
      </c>
      <c r="I1138">
        <v>2024</v>
      </c>
      <c r="J1138">
        <v>1</v>
      </c>
      <c r="K1138" t="s">
        <v>22</v>
      </c>
      <c r="L1138">
        <v>1</v>
      </c>
      <c r="M1138">
        <v>1</v>
      </c>
    </row>
    <row r="1139" spans="1:13" x14ac:dyDescent="0.25">
      <c r="A1139" t="s">
        <v>958</v>
      </c>
      <c r="B1139" t="s">
        <v>24</v>
      </c>
      <c r="C1139" t="s">
        <v>708</v>
      </c>
      <c r="D1139" t="s">
        <v>68</v>
      </c>
      <c r="E1139" t="s">
        <v>21</v>
      </c>
      <c r="F1139">
        <v>0.8</v>
      </c>
      <c r="G1139">
        <v>41</v>
      </c>
      <c r="H1139" s="1">
        <v>45303</v>
      </c>
      <c r="I1139">
        <v>2024</v>
      </c>
      <c r="J1139">
        <v>1</v>
      </c>
      <c r="K1139" t="s">
        <v>30</v>
      </c>
      <c r="L1139">
        <v>0</v>
      </c>
      <c r="M1139">
        <v>1</v>
      </c>
    </row>
    <row r="1140" spans="1:13" x14ac:dyDescent="0.25">
      <c r="A1140" t="s">
        <v>959</v>
      </c>
      <c r="B1140" t="s">
        <v>140</v>
      </c>
      <c r="C1140" t="s">
        <v>14</v>
      </c>
      <c r="D1140" t="s">
        <v>22</v>
      </c>
      <c r="E1140" t="s">
        <v>21</v>
      </c>
      <c r="F1140" t="s">
        <v>21</v>
      </c>
      <c r="G1140">
        <v>82</v>
      </c>
      <c r="H1140" s="1">
        <v>45303</v>
      </c>
      <c r="I1140">
        <v>2024</v>
      </c>
      <c r="J1140">
        <v>1</v>
      </c>
      <c r="K1140" t="s">
        <v>30</v>
      </c>
      <c r="L1140" t="s">
        <v>21</v>
      </c>
      <c r="M1140">
        <v>0</v>
      </c>
    </row>
    <row r="1141" spans="1:13" x14ac:dyDescent="0.25">
      <c r="A1141" t="s">
        <v>960</v>
      </c>
      <c r="B1141" t="s">
        <v>13</v>
      </c>
      <c r="C1141" t="s">
        <v>14</v>
      </c>
      <c r="D1141" t="s">
        <v>33</v>
      </c>
      <c r="E1141" t="s">
        <v>21</v>
      </c>
      <c r="F1141" t="s">
        <v>21</v>
      </c>
      <c r="G1141">
        <v>216</v>
      </c>
      <c r="H1141" s="1">
        <v>45303</v>
      </c>
      <c r="I1141">
        <v>2024</v>
      </c>
      <c r="J1141">
        <v>1</v>
      </c>
      <c r="K1141" t="s">
        <v>36</v>
      </c>
      <c r="L1141" t="s">
        <v>21</v>
      </c>
      <c r="M1141">
        <v>0</v>
      </c>
    </row>
    <row r="1142" spans="1:13" x14ac:dyDescent="0.25">
      <c r="A1142" t="s">
        <v>961</v>
      </c>
      <c r="B1142" t="s">
        <v>18</v>
      </c>
      <c r="C1142" t="s">
        <v>83</v>
      </c>
      <c r="D1142" t="s">
        <v>15</v>
      </c>
      <c r="E1142">
        <v>400</v>
      </c>
      <c r="F1142" t="s">
        <v>21</v>
      </c>
      <c r="G1142" t="s">
        <v>21</v>
      </c>
      <c r="H1142" s="1">
        <v>45302</v>
      </c>
      <c r="I1142">
        <v>2024</v>
      </c>
      <c r="J1142">
        <v>1</v>
      </c>
      <c r="K1142" t="s">
        <v>22</v>
      </c>
      <c r="L1142" t="s">
        <v>21</v>
      </c>
      <c r="M1142">
        <v>1</v>
      </c>
    </row>
    <row r="1143" spans="1:13" x14ac:dyDescent="0.25">
      <c r="A1143" t="s">
        <v>288</v>
      </c>
      <c r="B1143" t="s">
        <v>18</v>
      </c>
      <c r="C1143" t="s">
        <v>29</v>
      </c>
      <c r="D1143" t="s">
        <v>15</v>
      </c>
      <c r="E1143">
        <v>300</v>
      </c>
      <c r="F1143">
        <v>0.1</v>
      </c>
      <c r="G1143" t="s">
        <v>21</v>
      </c>
      <c r="H1143" s="1">
        <v>45302</v>
      </c>
      <c r="I1143">
        <v>2024</v>
      </c>
      <c r="J1143">
        <v>1</v>
      </c>
      <c r="K1143" t="s">
        <v>22</v>
      </c>
      <c r="L1143">
        <v>0</v>
      </c>
      <c r="M1143">
        <v>1</v>
      </c>
    </row>
    <row r="1144" spans="1:13" x14ac:dyDescent="0.25">
      <c r="A1144" t="s">
        <v>962</v>
      </c>
      <c r="B1144" t="s">
        <v>18</v>
      </c>
      <c r="C1144" t="s">
        <v>14</v>
      </c>
      <c r="D1144" t="s">
        <v>347</v>
      </c>
      <c r="E1144">
        <v>170</v>
      </c>
      <c r="F1144">
        <v>0.17</v>
      </c>
      <c r="G1144">
        <v>995</v>
      </c>
      <c r="H1144" s="1">
        <v>45302</v>
      </c>
      <c r="I1144">
        <v>2024</v>
      </c>
      <c r="J1144">
        <v>1</v>
      </c>
      <c r="K1144" t="s">
        <v>36</v>
      </c>
      <c r="L1144">
        <v>0</v>
      </c>
      <c r="M1144">
        <v>1</v>
      </c>
    </row>
    <row r="1145" spans="1:13" x14ac:dyDescent="0.25">
      <c r="A1145" t="s">
        <v>963</v>
      </c>
      <c r="B1145" t="s">
        <v>54</v>
      </c>
      <c r="C1145" t="s">
        <v>48</v>
      </c>
      <c r="D1145" t="s">
        <v>22</v>
      </c>
      <c r="E1145">
        <v>125</v>
      </c>
      <c r="F1145">
        <v>0.05</v>
      </c>
      <c r="G1145">
        <v>320</v>
      </c>
      <c r="H1145" s="1">
        <v>45302</v>
      </c>
      <c r="I1145">
        <v>2024</v>
      </c>
      <c r="J1145">
        <v>1</v>
      </c>
      <c r="K1145" t="s">
        <v>36</v>
      </c>
      <c r="L1145">
        <v>0</v>
      </c>
      <c r="M1145">
        <v>1</v>
      </c>
    </row>
    <row r="1146" spans="1:13" x14ac:dyDescent="0.25">
      <c r="A1146" t="s">
        <v>964</v>
      </c>
      <c r="B1146" t="s">
        <v>32</v>
      </c>
      <c r="C1146" t="s">
        <v>14</v>
      </c>
      <c r="D1146" t="s">
        <v>20</v>
      </c>
      <c r="E1146">
        <v>100</v>
      </c>
      <c r="F1146">
        <v>0.05</v>
      </c>
      <c r="G1146">
        <v>14</v>
      </c>
      <c r="H1146" s="1">
        <v>45302</v>
      </c>
      <c r="I1146">
        <v>2024</v>
      </c>
      <c r="J1146">
        <v>1</v>
      </c>
      <c r="K1146" t="s">
        <v>30</v>
      </c>
      <c r="L1146">
        <v>0</v>
      </c>
      <c r="M1146">
        <v>1</v>
      </c>
    </row>
    <row r="1147" spans="1:13" x14ac:dyDescent="0.25">
      <c r="A1147" t="s">
        <v>965</v>
      </c>
      <c r="B1147" t="s">
        <v>95</v>
      </c>
      <c r="C1147" t="s">
        <v>174</v>
      </c>
      <c r="D1147" t="s">
        <v>46</v>
      </c>
      <c r="E1147">
        <v>68</v>
      </c>
      <c r="F1147">
        <v>0.19</v>
      </c>
      <c r="G1147">
        <v>131</v>
      </c>
      <c r="H1147" s="1">
        <v>45302</v>
      </c>
      <c r="I1147">
        <v>2024</v>
      </c>
      <c r="J1147">
        <v>1</v>
      </c>
      <c r="K1147" t="s">
        <v>36</v>
      </c>
      <c r="L1147">
        <v>0</v>
      </c>
      <c r="M1147">
        <v>1</v>
      </c>
    </row>
    <row r="1148" spans="1:13" x14ac:dyDescent="0.25">
      <c r="A1148" t="s">
        <v>966</v>
      </c>
      <c r="B1148" t="s">
        <v>38</v>
      </c>
      <c r="C1148" t="s">
        <v>14</v>
      </c>
      <c r="D1148" t="s">
        <v>43</v>
      </c>
      <c r="E1148">
        <v>60</v>
      </c>
      <c r="F1148">
        <v>0.13</v>
      </c>
      <c r="G1148">
        <v>274</v>
      </c>
      <c r="H1148" s="1">
        <v>45302</v>
      </c>
      <c r="I1148">
        <v>2024</v>
      </c>
      <c r="J1148">
        <v>1</v>
      </c>
      <c r="K1148" t="s">
        <v>36</v>
      </c>
      <c r="L1148">
        <v>0</v>
      </c>
      <c r="M1148">
        <v>1</v>
      </c>
    </row>
    <row r="1149" spans="1:13" x14ac:dyDescent="0.25">
      <c r="A1149" t="s">
        <v>155</v>
      </c>
      <c r="B1149" t="s">
        <v>28</v>
      </c>
      <c r="C1149" t="s">
        <v>14</v>
      </c>
      <c r="D1149" t="s">
        <v>15</v>
      </c>
      <c r="E1149">
        <v>40</v>
      </c>
      <c r="F1149" t="s">
        <v>21</v>
      </c>
      <c r="G1149">
        <v>332</v>
      </c>
      <c r="H1149" s="1">
        <v>45302</v>
      </c>
      <c r="I1149">
        <v>2024</v>
      </c>
      <c r="J1149">
        <v>1</v>
      </c>
      <c r="K1149" t="s">
        <v>36</v>
      </c>
      <c r="L1149" t="s">
        <v>21</v>
      </c>
      <c r="M1149">
        <v>1</v>
      </c>
    </row>
    <row r="1150" spans="1:13" x14ac:dyDescent="0.25">
      <c r="A1150">
        <v>888</v>
      </c>
      <c r="B1150" t="s">
        <v>18</v>
      </c>
      <c r="C1150" t="s">
        <v>29</v>
      </c>
      <c r="D1150" t="s">
        <v>15</v>
      </c>
      <c r="E1150" t="s">
        <v>21</v>
      </c>
      <c r="F1150" t="s">
        <v>21</v>
      </c>
      <c r="G1150" t="s">
        <v>21</v>
      </c>
      <c r="H1150" s="1">
        <v>45302</v>
      </c>
      <c r="I1150">
        <v>2024</v>
      </c>
      <c r="J1150">
        <v>1</v>
      </c>
      <c r="K1150" t="s">
        <v>22</v>
      </c>
      <c r="L1150" t="s">
        <v>21</v>
      </c>
      <c r="M1150">
        <v>0</v>
      </c>
    </row>
    <row r="1151" spans="1:13" x14ac:dyDescent="0.25">
      <c r="A1151" t="s">
        <v>967</v>
      </c>
      <c r="B1151" t="s">
        <v>13</v>
      </c>
      <c r="C1151" t="s">
        <v>14</v>
      </c>
      <c r="D1151" t="s">
        <v>22</v>
      </c>
      <c r="E1151" t="s">
        <v>21</v>
      </c>
      <c r="F1151" t="s">
        <v>21</v>
      </c>
      <c r="G1151">
        <v>194</v>
      </c>
      <c r="H1151" s="1">
        <v>45302</v>
      </c>
      <c r="I1151">
        <v>2024</v>
      </c>
      <c r="J1151">
        <v>1</v>
      </c>
      <c r="K1151" t="s">
        <v>36</v>
      </c>
      <c r="L1151" t="s">
        <v>21</v>
      </c>
      <c r="M1151">
        <v>0</v>
      </c>
    </row>
    <row r="1152" spans="1:13" x14ac:dyDescent="0.25">
      <c r="A1152" t="s">
        <v>605</v>
      </c>
      <c r="B1152" t="s">
        <v>40</v>
      </c>
      <c r="C1152" t="s">
        <v>14</v>
      </c>
      <c r="D1152" t="s">
        <v>33</v>
      </c>
      <c r="E1152" t="s">
        <v>21</v>
      </c>
      <c r="F1152" t="s">
        <v>21</v>
      </c>
      <c r="G1152">
        <v>140</v>
      </c>
      <c r="H1152" s="1">
        <v>45302</v>
      </c>
      <c r="I1152">
        <v>2024</v>
      </c>
      <c r="J1152">
        <v>1</v>
      </c>
      <c r="K1152" t="s">
        <v>36</v>
      </c>
      <c r="L1152" t="s">
        <v>21</v>
      </c>
      <c r="M1152">
        <v>0</v>
      </c>
    </row>
    <row r="1153" spans="1:13" x14ac:dyDescent="0.25">
      <c r="A1153" t="s">
        <v>968</v>
      </c>
      <c r="B1153" t="s">
        <v>117</v>
      </c>
      <c r="C1153" t="s">
        <v>14</v>
      </c>
      <c r="D1153" t="s">
        <v>22</v>
      </c>
      <c r="E1153" t="s">
        <v>21</v>
      </c>
      <c r="F1153">
        <v>1</v>
      </c>
      <c r="G1153" t="s">
        <v>21</v>
      </c>
      <c r="H1153" s="1">
        <v>45302</v>
      </c>
      <c r="I1153">
        <v>2024</v>
      </c>
      <c r="J1153">
        <v>1</v>
      </c>
      <c r="K1153" t="s">
        <v>22</v>
      </c>
      <c r="L1153">
        <v>1</v>
      </c>
      <c r="M1153">
        <v>1</v>
      </c>
    </row>
    <row r="1154" spans="1:13" x14ac:dyDescent="0.25">
      <c r="A1154" t="s">
        <v>969</v>
      </c>
      <c r="B1154" t="s">
        <v>140</v>
      </c>
      <c r="C1154" t="s">
        <v>14</v>
      </c>
      <c r="D1154" t="s">
        <v>20</v>
      </c>
      <c r="E1154">
        <v>1000</v>
      </c>
      <c r="F1154">
        <v>0.12</v>
      </c>
      <c r="G1154">
        <v>20</v>
      </c>
      <c r="H1154" s="1">
        <v>45301</v>
      </c>
      <c r="I1154">
        <v>2024</v>
      </c>
      <c r="J1154">
        <v>1</v>
      </c>
      <c r="K1154" t="s">
        <v>30</v>
      </c>
      <c r="L1154">
        <v>0</v>
      </c>
      <c r="M1154">
        <v>1</v>
      </c>
    </row>
    <row r="1155" spans="1:13" x14ac:dyDescent="0.25">
      <c r="A1155" t="s">
        <v>108</v>
      </c>
      <c r="B1155" t="s">
        <v>18</v>
      </c>
      <c r="C1155" t="s">
        <v>14</v>
      </c>
      <c r="D1155" t="s">
        <v>15</v>
      </c>
      <c r="E1155">
        <v>1000</v>
      </c>
      <c r="F1155" t="s">
        <v>21</v>
      </c>
      <c r="G1155">
        <v>26</v>
      </c>
      <c r="H1155" s="1">
        <v>45301</v>
      </c>
      <c r="I1155">
        <v>2024</v>
      </c>
      <c r="J1155">
        <v>1</v>
      </c>
      <c r="K1155" t="s">
        <v>30</v>
      </c>
      <c r="L1155" t="s">
        <v>21</v>
      </c>
      <c r="M1155">
        <v>1</v>
      </c>
    </row>
    <row r="1156" spans="1:13" x14ac:dyDescent="0.25">
      <c r="A1156" t="s">
        <v>202</v>
      </c>
      <c r="B1156" t="s">
        <v>18</v>
      </c>
      <c r="C1156" t="s">
        <v>14</v>
      </c>
      <c r="D1156" t="s">
        <v>15</v>
      </c>
      <c r="E1156">
        <v>330</v>
      </c>
      <c r="F1156" t="s">
        <v>21</v>
      </c>
      <c r="G1156" t="s">
        <v>21</v>
      </c>
      <c r="H1156" s="1">
        <v>45301</v>
      </c>
      <c r="I1156">
        <v>2024</v>
      </c>
      <c r="J1156">
        <v>1</v>
      </c>
      <c r="K1156" t="s">
        <v>22</v>
      </c>
      <c r="L1156" t="s">
        <v>21</v>
      </c>
      <c r="M1156">
        <v>1</v>
      </c>
    </row>
    <row r="1157" spans="1:13" x14ac:dyDescent="0.25">
      <c r="A1157" t="s">
        <v>970</v>
      </c>
      <c r="B1157" t="s">
        <v>95</v>
      </c>
      <c r="C1157" t="s">
        <v>14</v>
      </c>
      <c r="D1157" t="s">
        <v>20</v>
      </c>
      <c r="E1157">
        <v>100</v>
      </c>
      <c r="F1157">
        <v>0.03</v>
      </c>
      <c r="G1157">
        <v>280</v>
      </c>
      <c r="H1157" s="1">
        <v>45301</v>
      </c>
      <c r="I1157">
        <v>2024</v>
      </c>
      <c r="J1157">
        <v>1</v>
      </c>
      <c r="K1157" t="s">
        <v>36</v>
      </c>
      <c r="L1157">
        <v>0</v>
      </c>
      <c r="M1157">
        <v>1</v>
      </c>
    </row>
    <row r="1158" spans="1:13" x14ac:dyDescent="0.25">
      <c r="A1158" t="s">
        <v>971</v>
      </c>
      <c r="B1158" t="s">
        <v>35</v>
      </c>
      <c r="C1158" t="s">
        <v>14</v>
      </c>
      <c r="D1158" t="s">
        <v>111</v>
      </c>
      <c r="E1158">
        <v>74</v>
      </c>
      <c r="F1158" t="s">
        <v>21</v>
      </c>
      <c r="G1158">
        <v>168</v>
      </c>
      <c r="H1158" s="1">
        <v>45301</v>
      </c>
      <c r="I1158">
        <v>2024</v>
      </c>
      <c r="J1158">
        <v>1</v>
      </c>
      <c r="K1158" t="s">
        <v>36</v>
      </c>
      <c r="L1158" t="s">
        <v>21</v>
      </c>
      <c r="M1158">
        <v>1</v>
      </c>
    </row>
    <row r="1159" spans="1:13" x14ac:dyDescent="0.25">
      <c r="A1159" t="s">
        <v>972</v>
      </c>
      <c r="B1159" t="s">
        <v>18</v>
      </c>
      <c r="C1159" t="s">
        <v>14</v>
      </c>
      <c r="D1159" t="s">
        <v>20</v>
      </c>
      <c r="E1159">
        <v>60</v>
      </c>
      <c r="F1159" t="s">
        <v>21</v>
      </c>
      <c r="G1159">
        <v>57</v>
      </c>
      <c r="H1159" s="1">
        <v>45301</v>
      </c>
      <c r="I1159">
        <v>2024</v>
      </c>
      <c r="J1159">
        <v>1</v>
      </c>
      <c r="K1159" t="s">
        <v>30</v>
      </c>
      <c r="L1159" t="s">
        <v>21</v>
      </c>
      <c r="M1159">
        <v>1</v>
      </c>
    </row>
    <row r="1160" spans="1:13" x14ac:dyDescent="0.25">
      <c r="A1160" t="s">
        <v>240</v>
      </c>
      <c r="B1160" t="s">
        <v>24</v>
      </c>
      <c r="C1160" t="s">
        <v>14</v>
      </c>
      <c r="D1160" t="s">
        <v>15</v>
      </c>
      <c r="E1160" t="s">
        <v>21</v>
      </c>
      <c r="F1160" t="s">
        <v>21</v>
      </c>
      <c r="G1160">
        <v>108</v>
      </c>
      <c r="H1160" s="1">
        <v>45301</v>
      </c>
      <c r="I1160">
        <v>2024</v>
      </c>
      <c r="J1160">
        <v>1</v>
      </c>
      <c r="K1160" t="s">
        <v>36</v>
      </c>
      <c r="L1160" t="s">
        <v>21</v>
      </c>
      <c r="M1160">
        <v>0</v>
      </c>
    </row>
    <row r="1161" spans="1:13" x14ac:dyDescent="0.25">
      <c r="A1161" t="s">
        <v>649</v>
      </c>
      <c r="B1161" t="s">
        <v>102</v>
      </c>
      <c r="C1161" t="s">
        <v>14</v>
      </c>
      <c r="D1161" t="s">
        <v>22</v>
      </c>
      <c r="E1161" t="s">
        <v>21</v>
      </c>
      <c r="F1161">
        <v>0.12</v>
      </c>
      <c r="G1161">
        <v>1400</v>
      </c>
      <c r="H1161" s="1">
        <v>45301</v>
      </c>
      <c r="I1161">
        <v>2024</v>
      </c>
      <c r="J1161">
        <v>1</v>
      </c>
      <c r="K1161" t="s">
        <v>26</v>
      </c>
      <c r="L1161">
        <v>0</v>
      </c>
      <c r="M1161">
        <v>1</v>
      </c>
    </row>
    <row r="1162" spans="1:13" x14ac:dyDescent="0.25">
      <c r="A1162" t="s">
        <v>973</v>
      </c>
      <c r="B1162" t="s">
        <v>77</v>
      </c>
      <c r="C1162" t="s">
        <v>14</v>
      </c>
      <c r="D1162" t="s">
        <v>15</v>
      </c>
      <c r="E1162" t="s">
        <v>21</v>
      </c>
      <c r="F1162">
        <v>0.04</v>
      </c>
      <c r="G1162">
        <v>3000</v>
      </c>
      <c r="H1162" s="1">
        <v>45301</v>
      </c>
      <c r="I1162">
        <v>2024</v>
      </c>
      <c r="J1162">
        <v>1</v>
      </c>
      <c r="K1162" t="s">
        <v>26</v>
      </c>
      <c r="L1162">
        <v>0</v>
      </c>
      <c r="M1162">
        <v>1</v>
      </c>
    </row>
    <row r="1163" spans="1:13" x14ac:dyDescent="0.25">
      <c r="A1163" t="s">
        <v>974</v>
      </c>
      <c r="B1163" t="s">
        <v>18</v>
      </c>
      <c r="C1163" t="s">
        <v>14</v>
      </c>
      <c r="D1163" t="s">
        <v>20</v>
      </c>
      <c r="E1163">
        <v>500</v>
      </c>
      <c r="F1163">
        <v>0.35</v>
      </c>
      <c r="G1163">
        <v>35</v>
      </c>
      <c r="H1163" s="1">
        <v>45300</v>
      </c>
      <c r="I1163">
        <v>2024</v>
      </c>
      <c r="J1163">
        <v>1</v>
      </c>
      <c r="K1163" t="s">
        <v>30</v>
      </c>
      <c r="L1163">
        <v>0</v>
      </c>
      <c r="M1163">
        <v>1</v>
      </c>
    </row>
    <row r="1164" spans="1:13" x14ac:dyDescent="0.25">
      <c r="A1164" t="s">
        <v>975</v>
      </c>
      <c r="B1164" t="s">
        <v>77</v>
      </c>
      <c r="C1164" t="s">
        <v>14</v>
      </c>
      <c r="D1164" t="s">
        <v>46</v>
      </c>
      <c r="E1164">
        <v>85</v>
      </c>
      <c r="F1164" t="s">
        <v>21</v>
      </c>
      <c r="G1164">
        <v>229</v>
      </c>
      <c r="H1164" s="1">
        <v>45300</v>
      </c>
      <c r="I1164">
        <v>2024</v>
      </c>
      <c r="J1164">
        <v>1</v>
      </c>
      <c r="K1164" t="s">
        <v>36</v>
      </c>
      <c r="L1164" t="s">
        <v>21</v>
      </c>
      <c r="M1164">
        <v>1</v>
      </c>
    </row>
    <row r="1165" spans="1:13" x14ac:dyDescent="0.25">
      <c r="A1165" t="s">
        <v>976</v>
      </c>
      <c r="B1165" t="s">
        <v>35</v>
      </c>
      <c r="C1165" t="s">
        <v>14</v>
      </c>
      <c r="D1165" t="s">
        <v>15</v>
      </c>
      <c r="E1165">
        <v>63</v>
      </c>
      <c r="F1165">
        <v>0.05</v>
      </c>
      <c r="G1165">
        <v>556</v>
      </c>
      <c r="H1165" s="1">
        <v>45300</v>
      </c>
      <c r="I1165">
        <v>2024</v>
      </c>
      <c r="J1165">
        <v>1</v>
      </c>
      <c r="K1165" t="s">
        <v>36</v>
      </c>
      <c r="L1165">
        <v>0</v>
      </c>
      <c r="M1165">
        <v>1</v>
      </c>
    </row>
    <row r="1166" spans="1:13" x14ac:dyDescent="0.25">
      <c r="A1166" t="s">
        <v>977</v>
      </c>
      <c r="B1166" t="s">
        <v>54</v>
      </c>
      <c r="C1166" t="s">
        <v>14</v>
      </c>
      <c r="D1166" t="s">
        <v>22</v>
      </c>
      <c r="E1166">
        <v>50</v>
      </c>
      <c r="F1166">
        <v>0.1</v>
      </c>
      <c r="G1166">
        <v>197</v>
      </c>
      <c r="H1166" s="1">
        <v>45300</v>
      </c>
      <c r="I1166">
        <v>2024</v>
      </c>
      <c r="J1166">
        <v>1</v>
      </c>
      <c r="K1166" t="s">
        <v>36</v>
      </c>
      <c r="L1166">
        <v>0</v>
      </c>
      <c r="M1166">
        <v>1</v>
      </c>
    </row>
    <row r="1167" spans="1:13" x14ac:dyDescent="0.25">
      <c r="A1167" t="s">
        <v>978</v>
      </c>
      <c r="B1167" t="s">
        <v>117</v>
      </c>
      <c r="C1167" t="s">
        <v>14</v>
      </c>
      <c r="D1167" t="s">
        <v>97</v>
      </c>
      <c r="E1167">
        <v>40</v>
      </c>
      <c r="F1167" t="s">
        <v>21</v>
      </c>
      <c r="G1167">
        <v>2700</v>
      </c>
      <c r="H1167" s="1">
        <v>45300</v>
      </c>
      <c r="I1167">
        <v>2024</v>
      </c>
      <c r="J1167">
        <v>1</v>
      </c>
      <c r="K1167" t="s">
        <v>26</v>
      </c>
      <c r="L1167" t="s">
        <v>21</v>
      </c>
      <c r="M1167">
        <v>1</v>
      </c>
    </row>
    <row r="1168" spans="1:13" x14ac:dyDescent="0.25">
      <c r="A1168" t="s">
        <v>979</v>
      </c>
      <c r="B1168" t="s">
        <v>24</v>
      </c>
      <c r="C1168" t="s">
        <v>14</v>
      </c>
      <c r="D1168" t="s">
        <v>15</v>
      </c>
      <c r="E1168">
        <v>37</v>
      </c>
      <c r="F1168">
        <v>0.1</v>
      </c>
      <c r="G1168">
        <v>526</v>
      </c>
      <c r="H1168" s="1">
        <v>45300</v>
      </c>
      <c r="I1168">
        <v>2024</v>
      </c>
      <c r="J1168">
        <v>1</v>
      </c>
      <c r="K1168" t="s">
        <v>36</v>
      </c>
      <c r="L1168">
        <v>0</v>
      </c>
      <c r="M1168">
        <v>1</v>
      </c>
    </row>
    <row r="1169" spans="1:13" x14ac:dyDescent="0.25">
      <c r="A1169" t="s">
        <v>980</v>
      </c>
      <c r="B1169" t="s">
        <v>77</v>
      </c>
      <c r="C1169" t="s">
        <v>14</v>
      </c>
      <c r="D1169" t="s">
        <v>68</v>
      </c>
      <c r="E1169">
        <v>14</v>
      </c>
      <c r="F1169">
        <v>0.6</v>
      </c>
      <c r="G1169">
        <v>14</v>
      </c>
      <c r="H1169" s="1">
        <v>45300</v>
      </c>
      <c r="I1169">
        <v>2024</v>
      </c>
      <c r="J1169">
        <v>1</v>
      </c>
      <c r="K1169" t="s">
        <v>30</v>
      </c>
      <c r="L1169">
        <v>0</v>
      </c>
      <c r="M1169">
        <v>1</v>
      </c>
    </row>
    <row r="1170" spans="1:13" x14ac:dyDescent="0.25">
      <c r="A1170" t="s">
        <v>981</v>
      </c>
      <c r="B1170" t="s">
        <v>70</v>
      </c>
      <c r="C1170" t="s">
        <v>14</v>
      </c>
      <c r="D1170" t="s">
        <v>46</v>
      </c>
      <c r="E1170">
        <v>10</v>
      </c>
      <c r="F1170">
        <v>0.04</v>
      </c>
      <c r="G1170">
        <v>230</v>
      </c>
      <c r="H1170" s="1">
        <v>45300</v>
      </c>
      <c r="I1170">
        <v>2024</v>
      </c>
      <c r="J1170">
        <v>1</v>
      </c>
      <c r="K1170" t="s">
        <v>36</v>
      </c>
      <c r="L1170">
        <v>0</v>
      </c>
      <c r="M1170">
        <v>1</v>
      </c>
    </row>
    <row r="1171" spans="1:13" x14ac:dyDescent="0.25">
      <c r="A1171" t="s">
        <v>982</v>
      </c>
      <c r="B1171" t="s">
        <v>217</v>
      </c>
      <c r="C1171" t="s">
        <v>74</v>
      </c>
      <c r="D1171" t="s">
        <v>15</v>
      </c>
      <c r="E1171" t="s">
        <v>21</v>
      </c>
      <c r="F1171" t="s">
        <v>21</v>
      </c>
      <c r="G1171" t="s">
        <v>21</v>
      </c>
      <c r="H1171" s="1">
        <v>45300</v>
      </c>
      <c r="I1171">
        <v>2024</v>
      </c>
      <c r="J1171">
        <v>1</v>
      </c>
      <c r="K1171" t="s">
        <v>22</v>
      </c>
      <c r="L1171" t="s">
        <v>21</v>
      </c>
      <c r="M1171">
        <v>0</v>
      </c>
    </row>
    <row r="1172" spans="1:13" x14ac:dyDescent="0.25">
      <c r="A1172" t="s">
        <v>983</v>
      </c>
      <c r="B1172" t="s">
        <v>38</v>
      </c>
      <c r="C1172" t="s">
        <v>14</v>
      </c>
      <c r="D1172" t="s">
        <v>33</v>
      </c>
      <c r="E1172" t="s">
        <v>21</v>
      </c>
      <c r="F1172" t="s">
        <v>21</v>
      </c>
      <c r="G1172">
        <v>91</v>
      </c>
      <c r="H1172" s="1">
        <v>45300</v>
      </c>
      <c r="I1172">
        <v>2024</v>
      </c>
      <c r="J1172">
        <v>1</v>
      </c>
      <c r="K1172" t="s">
        <v>30</v>
      </c>
      <c r="L1172" t="s">
        <v>21</v>
      </c>
      <c r="M1172">
        <v>0</v>
      </c>
    </row>
    <row r="1173" spans="1:13" x14ac:dyDescent="0.25">
      <c r="A1173" t="s">
        <v>147</v>
      </c>
      <c r="B1173" t="s">
        <v>28</v>
      </c>
      <c r="C1173" t="s">
        <v>381</v>
      </c>
      <c r="D1173" t="s">
        <v>22</v>
      </c>
      <c r="E1173" t="s">
        <v>21</v>
      </c>
      <c r="F1173">
        <v>0.02</v>
      </c>
      <c r="G1173" t="s">
        <v>21</v>
      </c>
      <c r="H1173" s="1">
        <v>45300</v>
      </c>
      <c r="I1173">
        <v>2024</v>
      </c>
      <c r="J1173">
        <v>1</v>
      </c>
      <c r="K1173" t="s">
        <v>22</v>
      </c>
      <c r="L1173">
        <v>0</v>
      </c>
      <c r="M1173">
        <v>1</v>
      </c>
    </row>
    <row r="1174" spans="1:13" x14ac:dyDescent="0.25">
      <c r="A1174" t="s">
        <v>497</v>
      </c>
      <c r="B1174" t="s">
        <v>13</v>
      </c>
      <c r="C1174" t="s">
        <v>14</v>
      </c>
      <c r="D1174" t="s">
        <v>15</v>
      </c>
      <c r="E1174">
        <v>1800</v>
      </c>
      <c r="F1174">
        <v>0.25</v>
      </c>
      <c r="G1174">
        <v>1300</v>
      </c>
      <c r="H1174" s="1">
        <v>45299</v>
      </c>
      <c r="I1174">
        <v>2024</v>
      </c>
      <c r="J1174">
        <v>1</v>
      </c>
      <c r="K1174" t="s">
        <v>26</v>
      </c>
      <c r="L1174">
        <v>0</v>
      </c>
      <c r="M1174">
        <v>1</v>
      </c>
    </row>
    <row r="1175" spans="1:13" x14ac:dyDescent="0.25">
      <c r="A1175" t="s">
        <v>235</v>
      </c>
      <c r="B1175" t="s">
        <v>24</v>
      </c>
      <c r="C1175" t="s">
        <v>48</v>
      </c>
      <c r="D1175" t="s">
        <v>20</v>
      </c>
      <c r="E1175">
        <v>1100</v>
      </c>
      <c r="F1175">
        <v>0.05</v>
      </c>
      <c r="G1175">
        <v>12900</v>
      </c>
      <c r="H1175" s="1">
        <v>45299</v>
      </c>
      <c r="I1175">
        <v>2024</v>
      </c>
      <c r="J1175">
        <v>1</v>
      </c>
      <c r="K1175" t="s">
        <v>26</v>
      </c>
      <c r="L1175">
        <v>0</v>
      </c>
      <c r="M1175">
        <v>1</v>
      </c>
    </row>
    <row r="1176" spans="1:13" x14ac:dyDescent="0.25">
      <c r="A1176" t="s">
        <v>984</v>
      </c>
      <c r="B1176" t="s">
        <v>217</v>
      </c>
      <c r="C1176" t="s">
        <v>14</v>
      </c>
      <c r="D1176" t="s">
        <v>15</v>
      </c>
      <c r="E1176">
        <v>154</v>
      </c>
      <c r="F1176">
        <v>0.28000000000000003</v>
      </c>
      <c r="G1176">
        <v>470</v>
      </c>
      <c r="H1176" s="1">
        <v>45299</v>
      </c>
      <c r="I1176">
        <v>2024</v>
      </c>
      <c r="J1176">
        <v>1</v>
      </c>
      <c r="K1176" t="s">
        <v>36</v>
      </c>
      <c r="L1176">
        <v>0</v>
      </c>
      <c r="M1176">
        <v>1</v>
      </c>
    </row>
    <row r="1177" spans="1:13" x14ac:dyDescent="0.25">
      <c r="A1177" t="s">
        <v>985</v>
      </c>
      <c r="B1177" t="s">
        <v>117</v>
      </c>
      <c r="C1177" t="s">
        <v>14</v>
      </c>
      <c r="D1177" t="s">
        <v>55</v>
      </c>
      <c r="E1177">
        <v>99</v>
      </c>
      <c r="F1177">
        <v>0.38</v>
      </c>
      <c r="G1177">
        <v>263</v>
      </c>
      <c r="H1177" s="1">
        <v>45299</v>
      </c>
      <c r="I1177">
        <v>2024</v>
      </c>
      <c r="J1177">
        <v>1</v>
      </c>
      <c r="K1177" t="s">
        <v>36</v>
      </c>
      <c r="L1177">
        <v>0</v>
      </c>
      <c r="M1177">
        <v>1</v>
      </c>
    </row>
    <row r="1178" spans="1:13" x14ac:dyDescent="0.25">
      <c r="A1178" t="s">
        <v>986</v>
      </c>
      <c r="B1178" t="s">
        <v>13</v>
      </c>
      <c r="C1178" t="s">
        <v>83</v>
      </c>
      <c r="D1178" t="s">
        <v>33</v>
      </c>
      <c r="E1178">
        <v>80</v>
      </c>
      <c r="F1178">
        <v>0.67</v>
      </c>
      <c r="G1178">
        <v>138</v>
      </c>
      <c r="H1178" s="1">
        <v>45299</v>
      </c>
      <c r="I1178">
        <v>2024</v>
      </c>
      <c r="J1178">
        <v>1</v>
      </c>
      <c r="K1178" t="s">
        <v>36</v>
      </c>
      <c r="L1178">
        <v>0</v>
      </c>
      <c r="M1178">
        <v>1</v>
      </c>
    </row>
    <row r="1179" spans="1:13" x14ac:dyDescent="0.25">
      <c r="A1179" t="s">
        <v>379</v>
      </c>
      <c r="B1179" t="s">
        <v>35</v>
      </c>
      <c r="C1179" t="s">
        <v>174</v>
      </c>
      <c r="D1179" t="s">
        <v>55</v>
      </c>
      <c r="E1179">
        <v>70</v>
      </c>
      <c r="F1179">
        <v>0.17</v>
      </c>
      <c r="G1179">
        <v>164</v>
      </c>
      <c r="H1179" s="1">
        <v>45299</v>
      </c>
      <c r="I1179">
        <v>2024</v>
      </c>
      <c r="J1179">
        <v>1</v>
      </c>
      <c r="K1179" t="s">
        <v>36</v>
      </c>
      <c r="L1179">
        <v>0</v>
      </c>
      <c r="M1179">
        <v>1</v>
      </c>
    </row>
    <row r="1180" spans="1:13" x14ac:dyDescent="0.25">
      <c r="A1180" t="s">
        <v>987</v>
      </c>
      <c r="B1180" t="s">
        <v>91</v>
      </c>
      <c r="C1180" t="s">
        <v>14</v>
      </c>
      <c r="D1180" t="s">
        <v>49</v>
      </c>
      <c r="E1180" t="s">
        <v>21</v>
      </c>
      <c r="F1180">
        <v>1</v>
      </c>
      <c r="G1180">
        <v>5</v>
      </c>
      <c r="H1180" s="1">
        <v>45299</v>
      </c>
      <c r="I1180">
        <v>2024</v>
      </c>
      <c r="J1180">
        <v>1</v>
      </c>
      <c r="K1180" t="s">
        <v>16</v>
      </c>
      <c r="L1180">
        <v>1</v>
      </c>
      <c r="M1180">
        <v>1</v>
      </c>
    </row>
    <row r="1181" spans="1:13" x14ac:dyDescent="0.25">
      <c r="A1181" t="s">
        <v>988</v>
      </c>
      <c r="B1181" t="s">
        <v>77</v>
      </c>
      <c r="C1181" t="s">
        <v>14</v>
      </c>
      <c r="D1181" t="s">
        <v>33</v>
      </c>
      <c r="E1181" t="s">
        <v>21</v>
      </c>
      <c r="F1181">
        <v>0.25</v>
      </c>
      <c r="G1181">
        <v>91</v>
      </c>
      <c r="H1181" s="1">
        <v>45299</v>
      </c>
      <c r="I1181">
        <v>2024</v>
      </c>
      <c r="J1181">
        <v>1</v>
      </c>
      <c r="K1181" t="s">
        <v>30</v>
      </c>
      <c r="L1181">
        <v>0</v>
      </c>
      <c r="M1181">
        <v>1</v>
      </c>
    </row>
    <row r="1182" spans="1:13" x14ac:dyDescent="0.25">
      <c r="A1182" t="s">
        <v>989</v>
      </c>
      <c r="B1182" t="s">
        <v>77</v>
      </c>
      <c r="C1182" t="s">
        <v>14</v>
      </c>
      <c r="D1182" t="s">
        <v>111</v>
      </c>
      <c r="E1182" t="s">
        <v>21</v>
      </c>
      <c r="F1182" t="s">
        <v>21</v>
      </c>
      <c r="G1182">
        <v>108</v>
      </c>
      <c r="H1182" s="1">
        <v>45299</v>
      </c>
      <c r="I1182">
        <v>2024</v>
      </c>
      <c r="J1182">
        <v>1</v>
      </c>
      <c r="K1182" t="s">
        <v>36</v>
      </c>
      <c r="L1182" t="s">
        <v>21</v>
      </c>
      <c r="M1182">
        <v>0</v>
      </c>
    </row>
    <row r="1183" spans="1:13" x14ac:dyDescent="0.25">
      <c r="A1183" t="s">
        <v>990</v>
      </c>
      <c r="B1183" t="s">
        <v>77</v>
      </c>
      <c r="C1183" t="s">
        <v>14</v>
      </c>
      <c r="D1183" t="s">
        <v>15</v>
      </c>
      <c r="E1183" t="s">
        <v>21</v>
      </c>
      <c r="F1183">
        <v>0.09</v>
      </c>
      <c r="G1183">
        <v>485</v>
      </c>
      <c r="H1183" s="1">
        <v>45299</v>
      </c>
      <c r="I1183">
        <v>2024</v>
      </c>
      <c r="J1183">
        <v>1</v>
      </c>
      <c r="K1183" t="s">
        <v>36</v>
      </c>
      <c r="L1183">
        <v>0</v>
      </c>
      <c r="M1183">
        <v>1</v>
      </c>
    </row>
    <row r="1184" spans="1:13" x14ac:dyDescent="0.25">
      <c r="A1184" t="s">
        <v>991</v>
      </c>
      <c r="B1184" t="s">
        <v>89</v>
      </c>
      <c r="C1184" t="s">
        <v>14</v>
      </c>
      <c r="D1184" t="s">
        <v>20</v>
      </c>
      <c r="E1184" t="s">
        <v>21</v>
      </c>
      <c r="F1184" t="s">
        <v>21</v>
      </c>
      <c r="G1184">
        <v>12</v>
      </c>
      <c r="H1184" s="1">
        <v>45298</v>
      </c>
      <c r="I1184">
        <v>2024</v>
      </c>
      <c r="J1184">
        <v>1</v>
      </c>
      <c r="K1184" t="s">
        <v>30</v>
      </c>
      <c r="L1184" t="s">
        <v>21</v>
      </c>
      <c r="M1184">
        <v>0</v>
      </c>
    </row>
    <row r="1185" spans="1:13" x14ac:dyDescent="0.25">
      <c r="A1185" t="s">
        <v>992</v>
      </c>
      <c r="B1185" t="s">
        <v>35</v>
      </c>
      <c r="C1185" t="s">
        <v>14</v>
      </c>
      <c r="D1185" t="s">
        <v>15</v>
      </c>
      <c r="E1185">
        <v>50</v>
      </c>
      <c r="F1185">
        <v>0.09</v>
      </c>
      <c r="G1185">
        <v>826</v>
      </c>
      <c r="H1185" s="1">
        <v>45297</v>
      </c>
      <c r="I1185">
        <v>2024</v>
      </c>
      <c r="J1185">
        <v>1</v>
      </c>
      <c r="K1185" t="s">
        <v>36</v>
      </c>
      <c r="L1185">
        <v>0</v>
      </c>
      <c r="M1185">
        <v>1</v>
      </c>
    </row>
    <row r="1186" spans="1:13" x14ac:dyDescent="0.25">
      <c r="A1186" t="s">
        <v>760</v>
      </c>
      <c r="B1186" t="s">
        <v>35</v>
      </c>
      <c r="C1186" t="s">
        <v>14</v>
      </c>
      <c r="D1186" t="s">
        <v>15</v>
      </c>
      <c r="E1186">
        <v>94</v>
      </c>
      <c r="F1186">
        <v>0.13</v>
      </c>
      <c r="G1186">
        <v>899</v>
      </c>
      <c r="H1186" s="1">
        <v>45296</v>
      </c>
      <c r="I1186">
        <v>2024</v>
      </c>
      <c r="J1186">
        <v>1</v>
      </c>
      <c r="K1186" t="s">
        <v>36</v>
      </c>
      <c r="L1186">
        <v>0</v>
      </c>
      <c r="M1186">
        <v>1</v>
      </c>
    </row>
    <row r="1187" spans="1:13" x14ac:dyDescent="0.25">
      <c r="A1187" t="s">
        <v>993</v>
      </c>
      <c r="B1187" t="s">
        <v>45</v>
      </c>
      <c r="C1187" t="s">
        <v>14</v>
      </c>
      <c r="D1187" t="s">
        <v>20</v>
      </c>
      <c r="E1187" t="s">
        <v>21</v>
      </c>
      <c r="F1187" t="s">
        <v>21</v>
      </c>
      <c r="G1187">
        <v>123</v>
      </c>
      <c r="H1187" s="1">
        <v>45296</v>
      </c>
      <c r="I1187">
        <v>2024</v>
      </c>
      <c r="J1187">
        <v>1</v>
      </c>
      <c r="K1187" t="s">
        <v>36</v>
      </c>
      <c r="L1187" t="s">
        <v>21</v>
      </c>
      <c r="M1187">
        <v>0</v>
      </c>
    </row>
    <row r="1188" spans="1:13" x14ac:dyDescent="0.25">
      <c r="A1188" t="s">
        <v>994</v>
      </c>
      <c r="B1188" t="s">
        <v>24</v>
      </c>
      <c r="C1188" t="s">
        <v>29</v>
      </c>
      <c r="D1188" t="s">
        <v>46</v>
      </c>
      <c r="E1188">
        <v>30</v>
      </c>
      <c r="F1188">
        <v>0.15</v>
      </c>
      <c r="G1188">
        <v>199</v>
      </c>
      <c r="H1188" s="1">
        <v>45295</v>
      </c>
      <c r="I1188">
        <v>2024</v>
      </c>
      <c r="J1188">
        <v>1</v>
      </c>
      <c r="K1188" t="s">
        <v>36</v>
      </c>
      <c r="L1188">
        <v>0</v>
      </c>
      <c r="M1188">
        <v>1</v>
      </c>
    </row>
    <row r="1189" spans="1:13" x14ac:dyDescent="0.25">
      <c r="A1189" t="s">
        <v>995</v>
      </c>
      <c r="B1189" t="s">
        <v>114</v>
      </c>
      <c r="C1189" t="s">
        <v>14</v>
      </c>
      <c r="D1189" t="s">
        <v>43</v>
      </c>
      <c r="E1189" t="s">
        <v>21</v>
      </c>
      <c r="F1189">
        <v>1</v>
      </c>
      <c r="G1189">
        <v>356</v>
      </c>
      <c r="H1189" s="1">
        <v>45295</v>
      </c>
      <c r="I1189">
        <v>2024</v>
      </c>
      <c r="J1189">
        <v>1</v>
      </c>
      <c r="K1189" t="s">
        <v>36</v>
      </c>
      <c r="L1189">
        <v>1</v>
      </c>
      <c r="M1189">
        <v>1</v>
      </c>
    </row>
    <row r="1190" spans="1:13" x14ac:dyDescent="0.25">
      <c r="A1190" t="s">
        <v>996</v>
      </c>
      <c r="B1190" t="s">
        <v>54</v>
      </c>
      <c r="C1190" t="s">
        <v>14</v>
      </c>
      <c r="D1190" t="s">
        <v>43</v>
      </c>
      <c r="E1190" t="s">
        <v>21</v>
      </c>
      <c r="F1190">
        <v>0.2</v>
      </c>
      <c r="G1190">
        <v>456</v>
      </c>
      <c r="H1190" s="1">
        <v>45295</v>
      </c>
      <c r="I1190">
        <v>2024</v>
      </c>
      <c r="J1190">
        <v>1</v>
      </c>
      <c r="K1190" t="s">
        <v>36</v>
      </c>
      <c r="L1190">
        <v>0</v>
      </c>
      <c r="M1190">
        <v>1</v>
      </c>
    </row>
    <row r="1191" spans="1:13" x14ac:dyDescent="0.25">
      <c r="A1191" t="s">
        <v>997</v>
      </c>
      <c r="B1191" t="s">
        <v>70</v>
      </c>
      <c r="C1191" t="s">
        <v>14</v>
      </c>
      <c r="D1191" t="s">
        <v>15</v>
      </c>
      <c r="E1191">
        <v>3000</v>
      </c>
      <c r="F1191">
        <v>0.15</v>
      </c>
      <c r="G1191">
        <v>27200</v>
      </c>
      <c r="H1191" s="1">
        <v>45294</v>
      </c>
      <c r="I1191">
        <v>2024</v>
      </c>
      <c r="J1191">
        <v>1</v>
      </c>
      <c r="K1191" t="s">
        <v>26</v>
      </c>
      <c r="L1191">
        <v>0</v>
      </c>
      <c r="M1191">
        <v>1</v>
      </c>
    </row>
    <row r="1192" spans="1:13" x14ac:dyDescent="0.25">
      <c r="A1192" t="s">
        <v>63</v>
      </c>
      <c r="B1192" t="s">
        <v>24</v>
      </c>
      <c r="C1192" t="s">
        <v>64</v>
      </c>
      <c r="D1192" t="s">
        <v>20</v>
      </c>
      <c r="E1192">
        <v>100</v>
      </c>
      <c r="F1192">
        <v>0.3</v>
      </c>
      <c r="G1192">
        <v>7200</v>
      </c>
      <c r="H1192" s="1">
        <v>45294</v>
      </c>
      <c r="I1192">
        <v>2024</v>
      </c>
      <c r="J1192">
        <v>1</v>
      </c>
      <c r="K1192" t="s">
        <v>26</v>
      </c>
      <c r="L1192">
        <v>0</v>
      </c>
      <c r="M1192">
        <v>1</v>
      </c>
    </row>
    <row r="1193" spans="1:13" x14ac:dyDescent="0.25">
      <c r="A1193" t="s">
        <v>998</v>
      </c>
      <c r="B1193" t="s">
        <v>28</v>
      </c>
      <c r="C1193" t="s">
        <v>29</v>
      </c>
      <c r="D1193" t="s">
        <v>46</v>
      </c>
      <c r="E1193">
        <v>60</v>
      </c>
      <c r="F1193">
        <v>0.15</v>
      </c>
      <c r="G1193">
        <v>632</v>
      </c>
      <c r="H1193" s="1">
        <v>45294</v>
      </c>
      <c r="I1193">
        <v>2024</v>
      </c>
      <c r="J1193">
        <v>1</v>
      </c>
      <c r="K1193" t="s">
        <v>36</v>
      </c>
      <c r="L1193">
        <v>0</v>
      </c>
      <c r="M1193">
        <v>1</v>
      </c>
    </row>
    <row r="1194" spans="1:13" x14ac:dyDescent="0.25">
      <c r="A1194" t="s">
        <v>999</v>
      </c>
      <c r="B1194" t="s">
        <v>73</v>
      </c>
      <c r="C1194" t="s">
        <v>14</v>
      </c>
      <c r="D1194" t="s">
        <v>22</v>
      </c>
      <c r="E1194">
        <v>200</v>
      </c>
      <c r="F1194">
        <v>1</v>
      </c>
      <c r="G1194">
        <v>26</v>
      </c>
      <c r="H1194" s="1">
        <v>45293</v>
      </c>
      <c r="I1194">
        <v>2024</v>
      </c>
      <c r="J1194">
        <v>1</v>
      </c>
      <c r="K1194" t="s">
        <v>30</v>
      </c>
      <c r="L1194">
        <v>1</v>
      </c>
      <c r="M1194">
        <v>1</v>
      </c>
    </row>
    <row r="1195" spans="1:13" x14ac:dyDescent="0.25">
      <c r="A1195" t="s">
        <v>923</v>
      </c>
      <c r="B1195" t="s">
        <v>32</v>
      </c>
      <c r="C1195" t="s">
        <v>14</v>
      </c>
      <c r="D1195" t="s">
        <v>22</v>
      </c>
      <c r="E1195">
        <v>24</v>
      </c>
      <c r="F1195" t="s">
        <v>21</v>
      </c>
      <c r="G1195" t="s">
        <v>21</v>
      </c>
      <c r="H1195" s="1">
        <v>45293</v>
      </c>
      <c r="I1195">
        <v>2024</v>
      </c>
      <c r="J1195">
        <v>1</v>
      </c>
      <c r="K1195" t="s">
        <v>22</v>
      </c>
      <c r="L1195" t="s">
        <v>21</v>
      </c>
      <c r="M1195">
        <v>1</v>
      </c>
    </row>
    <row r="1196" spans="1:13" x14ac:dyDescent="0.25">
      <c r="A1196" t="s">
        <v>246</v>
      </c>
      <c r="B1196" t="s">
        <v>95</v>
      </c>
      <c r="C1196" t="s">
        <v>80</v>
      </c>
      <c r="D1196" t="s">
        <v>15</v>
      </c>
      <c r="E1196">
        <v>1000</v>
      </c>
      <c r="F1196" t="s">
        <v>21</v>
      </c>
      <c r="G1196">
        <v>2000</v>
      </c>
      <c r="H1196" s="1">
        <v>45291</v>
      </c>
      <c r="I1196">
        <v>2023</v>
      </c>
      <c r="J1196">
        <v>12</v>
      </c>
      <c r="K1196" t="s">
        <v>26</v>
      </c>
      <c r="L1196" t="s">
        <v>21</v>
      </c>
      <c r="M1196">
        <v>1</v>
      </c>
    </row>
    <row r="1197" spans="1:13" x14ac:dyDescent="0.25">
      <c r="A1197" t="s">
        <v>817</v>
      </c>
      <c r="B1197" t="s">
        <v>217</v>
      </c>
      <c r="C1197" t="s">
        <v>48</v>
      </c>
      <c r="D1197" t="s">
        <v>33</v>
      </c>
      <c r="E1197" t="s">
        <v>21</v>
      </c>
      <c r="F1197">
        <v>0.2</v>
      </c>
      <c r="G1197">
        <v>24</v>
      </c>
      <c r="H1197" s="1">
        <v>45289</v>
      </c>
      <c r="I1197">
        <v>2023</v>
      </c>
      <c r="J1197">
        <v>12</v>
      </c>
      <c r="K1197" t="s">
        <v>30</v>
      </c>
      <c r="L1197">
        <v>0</v>
      </c>
      <c r="M1197">
        <v>1</v>
      </c>
    </row>
    <row r="1198" spans="1:13" x14ac:dyDescent="0.25">
      <c r="A1198" t="s">
        <v>1000</v>
      </c>
      <c r="B1198" t="s">
        <v>140</v>
      </c>
      <c r="C1198" t="s">
        <v>14</v>
      </c>
      <c r="D1198" t="s">
        <v>22</v>
      </c>
      <c r="E1198" t="s">
        <v>21</v>
      </c>
      <c r="F1198">
        <v>1</v>
      </c>
      <c r="G1198" t="s">
        <v>21</v>
      </c>
      <c r="H1198" s="1">
        <v>45288</v>
      </c>
      <c r="I1198">
        <v>2023</v>
      </c>
      <c r="J1198">
        <v>12</v>
      </c>
      <c r="K1198" t="s">
        <v>22</v>
      </c>
      <c r="L1198">
        <v>1</v>
      </c>
      <c r="M1198">
        <v>1</v>
      </c>
    </row>
    <row r="1199" spans="1:13" x14ac:dyDescent="0.25">
      <c r="A1199" t="s">
        <v>96</v>
      </c>
      <c r="B1199" t="s">
        <v>77</v>
      </c>
      <c r="C1199" t="s">
        <v>48</v>
      </c>
      <c r="D1199" t="s">
        <v>22</v>
      </c>
      <c r="E1199">
        <v>1000</v>
      </c>
      <c r="F1199" t="s">
        <v>21</v>
      </c>
      <c r="G1199" t="s">
        <v>21</v>
      </c>
      <c r="H1199" s="1">
        <v>45285</v>
      </c>
      <c r="I1199">
        <v>2023</v>
      </c>
      <c r="J1199">
        <v>12</v>
      </c>
      <c r="K1199" t="s">
        <v>22</v>
      </c>
      <c r="L1199" t="s">
        <v>21</v>
      </c>
      <c r="M1199">
        <v>1</v>
      </c>
    </row>
    <row r="1200" spans="1:13" x14ac:dyDescent="0.25">
      <c r="A1200" t="s">
        <v>402</v>
      </c>
      <c r="B1200" t="s">
        <v>70</v>
      </c>
      <c r="C1200" t="s">
        <v>14</v>
      </c>
      <c r="D1200" t="s">
        <v>15</v>
      </c>
      <c r="E1200">
        <v>311</v>
      </c>
      <c r="F1200" t="s">
        <v>21</v>
      </c>
      <c r="G1200">
        <v>12</v>
      </c>
      <c r="H1200" s="1">
        <v>45281</v>
      </c>
      <c r="I1200">
        <v>2023</v>
      </c>
      <c r="J1200">
        <v>12</v>
      </c>
      <c r="K1200" t="s">
        <v>30</v>
      </c>
      <c r="L1200" t="s">
        <v>21</v>
      </c>
      <c r="M1200">
        <v>1</v>
      </c>
    </row>
    <row r="1201" spans="1:13" x14ac:dyDescent="0.25">
      <c r="A1201" t="s">
        <v>1001</v>
      </c>
      <c r="B1201" t="s">
        <v>66</v>
      </c>
      <c r="C1201" t="s">
        <v>14</v>
      </c>
      <c r="D1201" t="s">
        <v>22</v>
      </c>
      <c r="E1201" t="s">
        <v>21</v>
      </c>
      <c r="F1201">
        <v>1</v>
      </c>
      <c r="G1201">
        <v>368</v>
      </c>
      <c r="H1201" s="1">
        <v>45281</v>
      </c>
      <c r="I1201">
        <v>2023</v>
      </c>
      <c r="J1201">
        <v>12</v>
      </c>
      <c r="K1201" t="s">
        <v>36</v>
      </c>
      <c r="L1201">
        <v>1</v>
      </c>
      <c r="M1201">
        <v>1</v>
      </c>
    </row>
    <row r="1202" spans="1:13" x14ac:dyDescent="0.25">
      <c r="A1202" t="s">
        <v>1002</v>
      </c>
      <c r="B1202" t="s">
        <v>217</v>
      </c>
      <c r="C1202" t="s">
        <v>14</v>
      </c>
      <c r="D1202" t="s">
        <v>81</v>
      </c>
      <c r="E1202" t="s">
        <v>21</v>
      </c>
      <c r="F1202" t="s">
        <v>21</v>
      </c>
      <c r="G1202">
        <v>628</v>
      </c>
      <c r="H1202" s="1">
        <v>45281</v>
      </c>
      <c r="I1202">
        <v>2023</v>
      </c>
      <c r="J1202">
        <v>12</v>
      </c>
      <c r="K1202" t="s">
        <v>36</v>
      </c>
      <c r="L1202" t="s">
        <v>21</v>
      </c>
      <c r="M1202">
        <v>0</v>
      </c>
    </row>
    <row r="1203" spans="1:13" x14ac:dyDescent="0.25">
      <c r="A1203" t="s">
        <v>525</v>
      </c>
      <c r="B1203" t="s">
        <v>18</v>
      </c>
      <c r="C1203" t="s">
        <v>48</v>
      </c>
      <c r="D1203" t="s">
        <v>347</v>
      </c>
      <c r="E1203">
        <v>200</v>
      </c>
      <c r="F1203">
        <v>0.15</v>
      </c>
      <c r="G1203">
        <v>1700</v>
      </c>
      <c r="H1203" s="1">
        <v>45280</v>
      </c>
      <c r="I1203">
        <v>2023</v>
      </c>
      <c r="J1203">
        <v>12</v>
      </c>
      <c r="K1203" t="s">
        <v>26</v>
      </c>
      <c r="L1203">
        <v>0</v>
      </c>
      <c r="M1203">
        <v>1</v>
      </c>
    </row>
    <row r="1204" spans="1:13" x14ac:dyDescent="0.25">
      <c r="A1204" t="s">
        <v>1003</v>
      </c>
      <c r="B1204" t="s">
        <v>35</v>
      </c>
      <c r="C1204" t="s">
        <v>29</v>
      </c>
      <c r="D1204" t="s">
        <v>22</v>
      </c>
      <c r="E1204">
        <v>100</v>
      </c>
      <c r="F1204">
        <v>0.2</v>
      </c>
      <c r="G1204">
        <v>733</v>
      </c>
      <c r="H1204" s="1">
        <v>45279</v>
      </c>
      <c r="I1204">
        <v>2023</v>
      </c>
      <c r="J1204">
        <v>12</v>
      </c>
      <c r="K1204" t="s">
        <v>36</v>
      </c>
      <c r="L1204">
        <v>0</v>
      </c>
      <c r="M1204">
        <v>1</v>
      </c>
    </row>
    <row r="1205" spans="1:13" x14ac:dyDescent="0.25">
      <c r="A1205" t="s">
        <v>1004</v>
      </c>
      <c r="B1205" t="s">
        <v>24</v>
      </c>
      <c r="C1205" t="s">
        <v>14</v>
      </c>
      <c r="D1205" t="s">
        <v>15</v>
      </c>
      <c r="E1205" t="s">
        <v>21</v>
      </c>
      <c r="F1205">
        <v>1</v>
      </c>
      <c r="G1205">
        <v>52</v>
      </c>
      <c r="H1205" s="1">
        <v>45279</v>
      </c>
      <c r="I1205">
        <v>2023</v>
      </c>
      <c r="J1205">
        <v>12</v>
      </c>
      <c r="K1205" t="s">
        <v>30</v>
      </c>
      <c r="L1205">
        <v>1</v>
      </c>
      <c r="M1205">
        <v>1</v>
      </c>
    </row>
    <row r="1206" spans="1:13" x14ac:dyDescent="0.25">
      <c r="A1206" t="s">
        <v>577</v>
      </c>
      <c r="B1206" t="s">
        <v>217</v>
      </c>
      <c r="C1206" t="s">
        <v>14</v>
      </c>
      <c r="D1206" t="s">
        <v>15</v>
      </c>
      <c r="E1206">
        <v>350</v>
      </c>
      <c r="F1206">
        <v>0.1</v>
      </c>
      <c r="G1206">
        <v>116</v>
      </c>
      <c r="H1206" s="1">
        <v>45278</v>
      </c>
      <c r="I1206">
        <v>2023</v>
      </c>
      <c r="J1206">
        <v>12</v>
      </c>
      <c r="K1206" t="s">
        <v>36</v>
      </c>
      <c r="L1206">
        <v>0</v>
      </c>
      <c r="M1206">
        <v>1</v>
      </c>
    </row>
    <row r="1207" spans="1:13" x14ac:dyDescent="0.25">
      <c r="A1207" t="s">
        <v>1005</v>
      </c>
      <c r="B1207" t="s">
        <v>24</v>
      </c>
      <c r="C1207" t="s">
        <v>48</v>
      </c>
      <c r="D1207" t="s">
        <v>22</v>
      </c>
      <c r="E1207">
        <v>100</v>
      </c>
      <c r="F1207">
        <v>0.1</v>
      </c>
      <c r="G1207">
        <v>1500</v>
      </c>
      <c r="H1207" s="1">
        <v>45278</v>
      </c>
      <c r="I1207">
        <v>2023</v>
      </c>
      <c r="J1207">
        <v>12</v>
      </c>
      <c r="K1207" t="s">
        <v>26</v>
      </c>
      <c r="L1207">
        <v>0</v>
      </c>
      <c r="M1207">
        <v>1</v>
      </c>
    </row>
    <row r="1208" spans="1:13" x14ac:dyDescent="0.25">
      <c r="A1208" t="s">
        <v>1006</v>
      </c>
      <c r="B1208" t="s">
        <v>77</v>
      </c>
      <c r="C1208" t="s">
        <v>80</v>
      </c>
      <c r="D1208" t="s">
        <v>55</v>
      </c>
      <c r="E1208">
        <v>80</v>
      </c>
      <c r="F1208" t="s">
        <v>21</v>
      </c>
      <c r="G1208">
        <v>1800</v>
      </c>
      <c r="H1208" s="1">
        <v>45278</v>
      </c>
      <c r="I1208">
        <v>2023</v>
      </c>
      <c r="J1208">
        <v>12</v>
      </c>
      <c r="K1208" t="s">
        <v>26</v>
      </c>
      <c r="L1208" t="s">
        <v>21</v>
      </c>
      <c r="M1208">
        <v>1</v>
      </c>
    </row>
    <row r="1209" spans="1:13" x14ac:dyDescent="0.25">
      <c r="A1209" t="s">
        <v>1007</v>
      </c>
      <c r="B1209" t="s">
        <v>70</v>
      </c>
      <c r="C1209" t="s">
        <v>657</v>
      </c>
      <c r="D1209" t="s">
        <v>15</v>
      </c>
      <c r="E1209">
        <v>70</v>
      </c>
      <c r="F1209" t="s">
        <v>21</v>
      </c>
      <c r="G1209" t="s">
        <v>21</v>
      </c>
      <c r="H1209" s="1">
        <v>45278</v>
      </c>
      <c r="I1209">
        <v>2023</v>
      </c>
      <c r="J1209">
        <v>12</v>
      </c>
      <c r="K1209" t="s">
        <v>22</v>
      </c>
      <c r="L1209" t="s">
        <v>21</v>
      </c>
      <c r="M1209">
        <v>1</v>
      </c>
    </row>
    <row r="1210" spans="1:13" x14ac:dyDescent="0.25">
      <c r="A1210" t="s">
        <v>692</v>
      </c>
      <c r="B1210" t="s">
        <v>95</v>
      </c>
      <c r="C1210" t="s">
        <v>83</v>
      </c>
      <c r="D1210" t="s">
        <v>15</v>
      </c>
      <c r="E1210" t="s">
        <v>21</v>
      </c>
      <c r="F1210" t="s">
        <v>21</v>
      </c>
      <c r="G1210">
        <v>9900</v>
      </c>
      <c r="H1210" s="1">
        <v>45278</v>
      </c>
      <c r="I1210">
        <v>2023</v>
      </c>
      <c r="J1210">
        <v>12</v>
      </c>
      <c r="K1210" t="s">
        <v>26</v>
      </c>
      <c r="L1210" t="s">
        <v>21</v>
      </c>
      <c r="M1210">
        <v>0</v>
      </c>
    </row>
    <row r="1211" spans="1:13" x14ac:dyDescent="0.25">
      <c r="A1211" t="s">
        <v>247</v>
      </c>
      <c r="B1211" t="s">
        <v>24</v>
      </c>
      <c r="C1211" t="s">
        <v>29</v>
      </c>
      <c r="D1211" t="s">
        <v>15</v>
      </c>
      <c r="E1211">
        <v>20</v>
      </c>
      <c r="F1211" t="s">
        <v>21</v>
      </c>
      <c r="G1211">
        <v>1200</v>
      </c>
      <c r="H1211" s="1">
        <v>45277</v>
      </c>
      <c r="I1211">
        <v>2023</v>
      </c>
      <c r="J1211">
        <v>12</v>
      </c>
      <c r="K1211" t="s">
        <v>26</v>
      </c>
      <c r="L1211" t="s">
        <v>21</v>
      </c>
      <c r="M1211">
        <v>1</v>
      </c>
    </row>
    <row r="1212" spans="1:13" x14ac:dyDescent="0.25">
      <c r="A1212" t="s">
        <v>903</v>
      </c>
      <c r="B1212" t="s">
        <v>102</v>
      </c>
      <c r="C1212" t="s">
        <v>14</v>
      </c>
      <c r="D1212" t="s">
        <v>111</v>
      </c>
      <c r="E1212">
        <v>30</v>
      </c>
      <c r="F1212" t="s">
        <v>21</v>
      </c>
      <c r="G1212">
        <v>133</v>
      </c>
      <c r="H1212" s="1">
        <v>45275</v>
      </c>
      <c r="I1212">
        <v>2023</v>
      </c>
      <c r="J1212">
        <v>12</v>
      </c>
      <c r="K1212" t="s">
        <v>36</v>
      </c>
      <c r="L1212" t="s">
        <v>21</v>
      </c>
      <c r="M1212">
        <v>1</v>
      </c>
    </row>
    <row r="1213" spans="1:13" x14ac:dyDescent="0.25">
      <c r="A1213" t="s">
        <v>604</v>
      </c>
      <c r="B1213" t="s">
        <v>32</v>
      </c>
      <c r="C1213" t="s">
        <v>539</v>
      </c>
      <c r="D1213" t="s">
        <v>46</v>
      </c>
      <c r="E1213" t="s">
        <v>21</v>
      </c>
      <c r="F1213" t="s">
        <v>21</v>
      </c>
      <c r="G1213">
        <v>22</v>
      </c>
      <c r="H1213" s="1">
        <v>45275</v>
      </c>
      <c r="I1213">
        <v>2023</v>
      </c>
      <c r="J1213">
        <v>12</v>
      </c>
      <c r="K1213" t="s">
        <v>30</v>
      </c>
      <c r="L1213" t="s">
        <v>21</v>
      </c>
      <c r="M1213">
        <v>0</v>
      </c>
    </row>
    <row r="1214" spans="1:13" x14ac:dyDescent="0.25">
      <c r="A1214" t="s">
        <v>1008</v>
      </c>
      <c r="B1214" t="s">
        <v>66</v>
      </c>
      <c r="C1214" t="s">
        <v>14</v>
      </c>
      <c r="D1214" t="s">
        <v>46</v>
      </c>
      <c r="E1214" t="s">
        <v>21</v>
      </c>
      <c r="F1214" t="s">
        <v>21</v>
      </c>
      <c r="G1214">
        <v>262</v>
      </c>
      <c r="H1214" s="1">
        <v>45275</v>
      </c>
      <c r="I1214">
        <v>2023</v>
      </c>
      <c r="J1214">
        <v>12</v>
      </c>
      <c r="K1214" t="s">
        <v>36</v>
      </c>
      <c r="L1214" t="s">
        <v>21</v>
      </c>
      <c r="M1214">
        <v>0</v>
      </c>
    </row>
    <row r="1215" spans="1:13" x14ac:dyDescent="0.25">
      <c r="A1215" t="s">
        <v>507</v>
      </c>
      <c r="B1215" t="s">
        <v>66</v>
      </c>
      <c r="C1215" t="s">
        <v>14</v>
      </c>
      <c r="D1215" t="s">
        <v>20</v>
      </c>
      <c r="E1215">
        <v>900</v>
      </c>
      <c r="F1215">
        <v>0.24</v>
      </c>
      <c r="G1215">
        <v>15000</v>
      </c>
      <c r="H1215" s="1">
        <v>45274</v>
      </c>
      <c r="I1215">
        <v>2023</v>
      </c>
      <c r="J1215">
        <v>12</v>
      </c>
      <c r="K1215" t="s">
        <v>26</v>
      </c>
      <c r="L1215">
        <v>0</v>
      </c>
      <c r="M1215">
        <v>1</v>
      </c>
    </row>
    <row r="1216" spans="1:13" x14ac:dyDescent="0.25">
      <c r="A1216" t="s">
        <v>1009</v>
      </c>
      <c r="B1216" t="s">
        <v>77</v>
      </c>
      <c r="C1216" t="s">
        <v>83</v>
      </c>
      <c r="D1216" t="s">
        <v>22</v>
      </c>
      <c r="E1216">
        <v>20</v>
      </c>
      <c r="F1216" t="s">
        <v>21</v>
      </c>
      <c r="G1216">
        <v>385</v>
      </c>
      <c r="H1216" s="1">
        <v>45274</v>
      </c>
      <c r="I1216">
        <v>2023</v>
      </c>
      <c r="J1216">
        <v>12</v>
      </c>
      <c r="K1216" t="s">
        <v>36</v>
      </c>
      <c r="L1216" t="s">
        <v>21</v>
      </c>
      <c r="M1216">
        <v>1</v>
      </c>
    </row>
    <row r="1217" spans="1:13" x14ac:dyDescent="0.25">
      <c r="A1217" t="s">
        <v>205</v>
      </c>
      <c r="B1217" t="s">
        <v>77</v>
      </c>
      <c r="C1217" t="s">
        <v>14</v>
      </c>
      <c r="D1217" t="s">
        <v>111</v>
      </c>
      <c r="E1217" t="s">
        <v>21</v>
      </c>
      <c r="F1217">
        <v>0.28999999999999998</v>
      </c>
      <c r="G1217">
        <v>1300</v>
      </c>
      <c r="H1217" s="1">
        <v>45274</v>
      </c>
      <c r="I1217">
        <v>2023</v>
      </c>
      <c r="J1217">
        <v>12</v>
      </c>
      <c r="K1217" t="s">
        <v>26</v>
      </c>
      <c r="L1217">
        <v>0</v>
      </c>
      <c r="M1217">
        <v>1</v>
      </c>
    </row>
    <row r="1218" spans="1:13" x14ac:dyDescent="0.25">
      <c r="A1218" t="s">
        <v>1010</v>
      </c>
      <c r="B1218" t="s">
        <v>35</v>
      </c>
      <c r="C1218" t="s">
        <v>83</v>
      </c>
      <c r="D1218" t="s">
        <v>22</v>
      </c>
      <c r="E1218" t="s">
        <v>21</v>
      </c>
      <c r="F1218">
        <v>1</v>
      </c>
      <c r="G1218" t="s">
        <v>21</v>
      </c>
      <c r="H1218" s="1">
        <v>45274</v>
      </c>
      <c r="I1218">
        <v>2023</v>
      </c>
      <c r="J1218">
        <v>12</v>
      </c>
      <c r="K1218" t="s">
        <v>22</v>
      </c>
      <c r="L1218">
        <v>1</v>
      </c>
      <c r="M1218">
        <v>1</v>
      </c>
    </row>
    <row r="1219" spans="1:13" x14ac:dyDescent="0.25">
      <c r="A1219" t="s">
        <v>1011</v>
      </c>
      <c r="B1219" t="s">
        <v>91</v>
      </c>
      <c r="C1219" t="s">
        <v>14</v>
      </c>
      <c r="D1219" t="s">
        <v>33</v>
      </c>
      <c r="E1219" t="s">
        <v>21</v>
      </c>
      <c r="F1219" t="s">
        <v>21</v>
      </c>
      <c r="G1219">
        <v>76</v>
      </c>
      <c r="H1219" s="1">
        <v>45274</v>
      </c>
      <c r="I1219">
        <v>2023</v>
      </c>
      <c r="J1219">
        <v>12</v>
      </c>
      <c r="K1219" t="s">
        <v>30</v>
      </c>
      <c r="L1219" t="s">
        <v>21</v>
      </c>
      <c r="M1219">
        <v>0</v>
      </c>
    </row>
    <row r="1220" spans="1:13" x14ac:dyDescent="0.25">
      <c r="A1220" t="s">
        <v>1012</v>
      </c>
      <c r="B1220" t="s">
        <v>91</v>
      </c>
      <c r="C1220" t="s">
        <v>14</v>
      </c>
      <c r="D1220" t="s">
        <v>46</v>
      </c>
      <c r="E1220" t="s">
        <v>21</v>
      </c>
      <c r="F1220" t="s">
        <v>21</v>
      </c>
      <c r="G1220">
        <v>310</v>
      </c>
      <c r="H1220" s="1">
        <v>45274</v>
      </c>
      <c r="I1220">
        <v>2023</v>
      </c>
      <c r="J1220">
        <v>12</v>
      </c>
      <c r="K1220" t="s">
        <v>36</v>
      </c>
      <c r="L1220" t="s">
        <v>21</v>
      </c>
      <c r="M1220">
        <v>0</v>
      </c>
    </row>
    <row r="1221" spans="1:13" x14ac:dyDescent="0.25">
      <c r="A1221" t="s">
        <v>1013</v>
      </c>
      <c r="B1221" t="s">
        <v>95</v>
      </c>
      <c r="C1221" t="s">
        <v>14</v>
      </c>
      <c r="D1221" t="s">
        <v>68</v>
      </c>
      <c r="E1221" t="s">
        <v>21</v>
      </c>
      <c r="F1221">
        <v>0.5</v>
      </c>
      <c r="G1221">
        <v>25</v>
      </c>
      <c r="H1221" s="1">
        <v>45274</v>
      </c>
      <c r="I1221">
        <v>2023</v>
      </c>
      <c r="J1221">
        <v>12</v>
      </c>
      <c r="K1221" t="s">
        <v>30</v>
      </c>
      <c r="L1221">
        <v>0</v>
      </c>
      <c r="M1221">
        <v>1</v>
      </c>
    </row>
    <row r="1222" spans="1:13" x14ac:dyDescent="0.25">
      <c r="A1222" t="s">
        <v>1014</v>
      </c>
      <c r="B1222" t="s">
        <v>35</v>
      </c>
      <c r="C1222" t="s">
        <v>14</v>
      </c>
      <c r="D1222" t="s">
        <v>15</v>
      </c>
      <c r="E1222">
        <v>235</v>
      </c>
      <c r="F1222">
        <v>0.15</v>
      </c>
      <c r="G1222">
        <v>2500</v>
      </c>
      <c r="H1222" s="1">
        <v>45273</v>
      </c>
      <c r="I1222">
        <v>2023</v>
      </c>
      <c r="J1222">
        <v>12</v>
      </c>
      <c r="K1222" t="s">
        <v>26</v>
      </c>
      <c r="L1222">
        <v>0</v>
      </c>
      <c r="M1222">
        <v>1</v>
      </c>
    </row>
    <row r="1223" spans="1:13" x14ac:dyDescent="0.25">
      <c r="A1223" t="s">
        <v>1015</v>
      </c>
      <c r="B1223" t="s">
        <v>24</v>
      </c>
      <c r="C1223" t="s">
        <v>14</v>
      </c>
      <c r="D1223" t="s">
        <v>15</v>
      </c>
      <c r="E1223">
        <v>225</v>
      </c>
      <c r="F1223">
        <v>0.11</v>
      </c>
      <c r="G1223">
        <v>97</v>
      </c>
      <c r="H1223" s="1">
        <v>45273</v>
      </c>
      <c r="I1223">
        <v>2023</v>
      </c>
      <c r="J1223">
        <v>12</v>
      </c>
      <c r="K1223" t="s">
        <v>30</v>
      </c>
      <c r="L1223">
        <v>0</v>
      </c>
      <c r="M1223">
        <v>1</v>
      </c>
    </row>
    <row r="1224" spans="1:13" x14ac:dyDescent="0.25">
      <c r="A1224" t="s">
        <v>1016</v>
      </c>
      <c r="B1224" t="s">
        <v>102</v>
      </c>
      <c r="C1224" t="s">
        <v>14</v>
      </c>
      <c r="D1224" t="s">
        <v>15</v>
      </c>
      <c r="E1224">
        <v>111</v>
      </c>
      <c r="F1224" t="s">
        <v>21</v>
      </c>
      <c r="G1224" t="s">
        <v>21</v>
      </c>
      <c r="H1224" s="1">
        <v>45273</v>
      </c>
      <c r="I1224">
        <v>2023</v>
      </c>
      <c r="J1224">
        <v>12</v>
      </c>
      <c r="K1224" t="s">
        <v>22</v>
      </c>
      <c r="L1224" t="s">
        <v>21</v>
      </c>
      <c r="M1224">
        <v>1</v>
      </c>
    </row>
    <row r="1225" spans="1:13" x14ac:dyDescent="0.25">
      <c r="A1225" t="s">
        <v>1017</v>
      </c>
      <c r="B1225" t="s">
        <v>13</v>
      </c>
      <c r="C1225" t="s">
        <v>14</v>
      </c>
      <c r="D1225" t="s">
        <v>20</v>
      </c>
      <c r="E1225">
        <v>109</v>
      </c>
      <c r="F1225" t="s">
        <v>21</v>
      </c>
      <c r="G1225">
        <v>234</v>
      </c>
      <c r="H1225" s="1">
        <v>45273</v>
      </c>
      <c r="I1225">
        <v>2023</v>
      </c>
      <c r="J1225">
        <v>12</v>
      </c>
      <c r="K1225" t="s">
        <v>36</v>
      </c>
      <c r="L1225" t="s">
        <v>21</v>
      </c>
      <c r="M1225">
        <v>1</v>
      </c>
    </row>
    <row r="1226" spans="1:13" x14ac:dyDescent="0.25">
      <c r="A1226" t="s">
        <v>1018</v>
      </c>
      <c r="B1226" t="s">
        <v>102</v>
      </c>
      <c r="C1226" t="s">
        <v>14</v>
      </c>
      <c r="D1226" t="s">
        <v>22</v>
      </c>
      <c r="E1226">
        <v>31</v>
      </c>
      <c r="F1226" t="s">
        <v>21</v>
      </c>
      <c r="G1226" t="s">
        <v>21</v>
      </c>
      <c r="H1226" s="1">
        <v>45273</v>
      </c>
      <c r="I1226">
        <v>2023</v>
      </c>
      <c r="J1226">
        <v>12</v>
      </c>
      <c r="K1226" t="s">
        <v>22</v>
      </c>
      <c r="L1226" t="s">
        <v>21</v>
      </c>
      <c r="M1226">
        <v>1</v>
      </c>
    </row>
    <row r="1227" spans="1:13" x14ac:dyDescent="0.25">
      <c r="A1227" t="s">
        <v>1019</v>
      </c>
      <c r="B1227" t="s">
        <v>117</v>
      </c>
      <c r="C1227" t="s">
        <v>14</v>
      </c>
      <c r="D1227" t="s">
        <v>22</v>
      </c>
      <c r="E1227" t="s">
        <v>21</v>
      </c>
      <c r="F1227">
        <v>0.15</v>
      </c>
      <c r="G1227">
        <v>241</v>
      </c>
      <c r="H1227" s="1">
        <v>45273</v>
      </c>
      <c r="I1227">
        <v>2023</v>
      </c>
      <c r="J1227">
        <v>12</v>
      </c>
      <c r="K1227" t="s">
        <v>36</v>
      </c>
      <c r="L1227">
        <v>0</v>
      </c>
      <c r="M1227">
        <v>1</v>
      </c>
    </row>
    <row r="1228" spans="1:13" x14ac:dyDescent="0.25">
      <c r="A1228" t="s">
        <v>1020</v>
      </c>
      <c r="B1228" t="s">
        <v>54</v>
      </c>
      <c r="C1228" t="s">
        <v>14</v>
      </c>
      <c r="D1228" t="s">
        <v>22</v>
      </c>
      <c r="E1228" t="s">
        <v>21</v>
      </c>
      <c r="F1228">
        <v>0.2</v>
      </c>
      <c r="G1228">
        <v>172</v>
      </c>
      <c r="H1228" s="1">
        <v>45273</v>
      </c>
      <c r="I1228">
        <v>2023</v>
      </c>
      <c r="J1228">
        <v>12</v>
      </c>
      <c r="K1228" t="s">
        <v>36</v>
      </c>
      <c r="L1228">
        <v>0</v>
      </c>
      <c r="M1228">
        <v>1</v>
      </c>
    </row>
    <row r="1229" spans="1:13" x14ac:dyDescent="0.25">
      <c r="A1229" t="s">
        <v>410</v>
      </c>
      <c r="B1229" t="s">
        <v>66</v>
      </c>
      <c r="C1229" t="s">
        <v>870</v>
      </c>
      <c r="D1229" t="s">
        <v>15</v>
      </c>
      <c r="E1229">
        <v>45</v>
      </c>
      <c r="F1229" t="s">
        <v>21</v>
      </c>
      <c r="G1229" t="s">
        <v>21</v>
      </c>
      <c r="H1229" s="1">
        <v>45272</v>
      </c>
      <c r="I1229">
        <v>2023</v>
      </c>
      <c r="J1229">
        <v>12</v>
      </c>
      <c r="K1229" t="s">
        <v>22</v>
      </c>
      <c r="L1229" t="s">
        <v>21</v>
      </c>
      <c r="M1229">
        <v>1</v>
      </c>
    </row>
    <row r="1230" spans="1:13" x14ac:dyDescent="0.25">
      <c r="A1230" t="s">
        <v>839</v>
      </c>
      <c r="B1230" t="s">
        <v>77</v>
      </c>
      <c r="C1230" t="s">
        <v>14</v>
      </c>
      <c r="D1230" t="s">
        <v>46</v>
      </c>
      <c r="E1230">
        <v>15</v>
      </c>
      <c r="F1230">
        <v>0.33</v>
      </c>
      <c r="G1230">
        <v>302</v>
      </c>
      <c r="H1230" s="1">
        <v>45271</v>
      </c>
      <c r="I1230">
        <v>2023</v>
      </c>
      <c r="J1230">
        <v>12</v>
      </c>
      <c r="K1230" t="s">
        <v>36</v>
      </c>
      <c r="L1230">
        <v>0</v>
      </c>
      <c r="M1230">
        <v>1</v>
      </c>
    </row>
    <row r="1231" spans="1:13" x14ac:dyDescent="0.25">
      <c r="A1231" t="s">
        <v>1021</v>
      </c>
      <c r="B1231" t="s">
        <v>24</v>
      </c>
      <c r="C1231" t="s">
        <v>14</v>
      </c>
      <c r="D1231" t="s">
        <v>81</v>
      </c>
      <c r="E1231" t="s">
        <v>21</v>
      </c>
      <c r="F1231" t="s">
        <v>21</v>
      </c>
      <c r="G1231">
        <v>110</v>
      </c>
      <c r="H1231" s="1">
        <v>45269</v>
      </c>
      <c r="I1231">
        <v>2023</v>
      </c>
      <c r="J1231">
        <v>12</v>
      </c>
      <c r="K1231" t="s">
        <v>36</v>
      </c>
      <c r="L1231" t="s">
        <v>21</v>
      </c>
      <c r="M1231">
        <v>0</v>
      </c>
    </row>
    <row r="1232" spans="1:13" x14ac:dyDescent="0.25">
      <c r="A1232" t="s">
        <v>1022</v>
      </c>
      <c r="B1232" t="s">
        <v>35</v>
      </c>
      <c r="C1232" t="s">
        <v>14</v>
      </c>
      <c r="D1232" t="s">
        <v>15</v>
      </c>
      <c r="E1232" t="s">
        <v>21</v>
      </c>
      <c r="F1232">
        <v>1</v>
      </c>
      <c r="G1232">
        <v>694</v>
      </c>
      <c r="H1232" s="1">
        <v>45269</v>
      </c>
      <c r="I1232">
        <v>2023</v>
      </c>
      <c r="J1232">
        <v>12</v>
      </c>
      <c r="K1232" t="s">
        <v>36</v>
      </c>
      <c r="L1232">
        <v>1</v>
      </c>
      <c r="M1232">
        <v>1</v>
      </c>
    </row>
    <row r="1233" spans="1:13" x14ac:dyDescent="0.25">
      <c r="A1233" t="s">
        <v>1023</v>
      </c>
      <c r="B1233" t="s">
        <v>217</v>
      </c>
      <c r="C1233" t="s">
        <v>14</v>
      </c>
      <c r="D1233" t="s">
        <v>33</v>
      </c>
      <c r="E1233" t="s">
        <v>21</v>
      </c>
      <c r="F1233">
        <v>1</v>
      </c>
      <c r="G1233">
        <v>32</v>
      </c>
      <c r="H1233" s="1">
        <v>45269</v>
      </c>
      <c r="I1233">
        <v>2023</v>
      </c>
      <c r="J1233">
        <v>12</v>
      </c>
      <c r="K1233" t="s">
        <v>30</v>
      </c>
      <c r="L1233">
        <v>1</v>
      </c>
      <c r="M1233">
        <v>1</v>
      </c>
    </row>
    <row r="1234" spans="1:13" x14ac:dyDescent="0.25">
      <c r="A1234" t="s">
        <v>1024</v>
      </c>
      <c r="B1234" t="s">
        <v>24</v>
      </c>
      <c r="C1234" t="s">
        <v>14</v>
      </c>
      <c r="D1234" t="s">
        <v>20</v>
      </c>
      <c r="E1234">
        <v>839</v>
      </c>
      <c r="F1234">
        <v>1</v>
      </c>
      <c r="G1234">
        <v>194</v>
      </c>
      <c r="H1234" s="1">
        <v>45268</v>
      </c>
      <c r="I1234">
        <v>2023</v>
      </c>
      <c r="J1234">
        <v>12</v>
      </c>
      <c r="K1234" t="s">
        <v>36</v>
      </c>
      <c r="L1234">
        <v>1</v>
      </c>
      <c r="M1234">
        <v>1</v>
      </c>
    </row>
    <row r="1235" spans="1:13" x14ac:dyDescent="0.25">
      <c r="A1235" t="s">
        <v>1025</v>
      </c>
      <c r="B1235" t="s">
        <v>140</v>
      </c>
      <c r="C1235" t="s">
        <v>14</v>
      </c>
      <c r="D1235" t="s">
        <v>55</v>
      </c>
      <c r="E1235" t="s">
        <v>21</v>
      </c>
      <c r="F1235">
        <v>1</v>
      </c>
      <c r="G1235">
        <v>247</v>
      </c>
      <c r="H1235" s="1">
        <v>45268</v>
      </c>
      <c r="I1235">
        <v>2023</v>
      </c>
      <c r="J1235">
        <v>12</v>
      </c>
      <c r="K1235" t="s">
        <v>36</v>
      </c>
      <c r="L1235">
        <v>1</v>
      </c>
      <c r="M1235">
        <v>1</v>
      </c>
    </row>
    <row r="1236" spans="1:13" x14ac:dyDescent="0.25">
      <c r="A1236" t="s">
        <v>1026</v>
      </c>
      <c r="B1236" t="s">
        <v>106</v>
      </c>
      <c r="C1236" t="s">
        <v>48</v>
      </c>
      <c r="D1236" t="s">
        <v>20</v>
      </c>
      <c r="E1236">
        <v>200</v>
      </c>
      <c r="F1236" t="s">
        <v>21</v>
      </c>
      <c r="G1236">
        <v>76</v>
      </c>
      <c r="H1236" s="1">
        <v>45267</v>
      </c>
      <c r="I1236">
        <v>2023</v>
      </c>
      <c r="J1236">
        <v>12</v>
      </c>
      <c r="K1236" t="s">
        <v>30</v>
      </c>
      <c r="L1236" t="s">
        <v>21</v>
      </c>
      <c r="M1236">
        <v>1</v>
      </c>
    </row>
    <row r="1237" spans="1:13" x14ac:dyDescent="0.25">
      <c r="A1237" t="s">
        <v>85</v>
      </c>
      <c r="B1237" t="s">
        <v>66</v>
      </c>
      <c r="C1237" t="s">
        <v>14</v>
      </c>
      <c r="D1237" t="s">
        <v>15</v>
      </c>
      <c r="E1237">
        <v>20</v>
      </c>
      <c r="F1237" t="s">
        <v>21</v>
      </c>
      <c r="G1237">
        <v>10700</v>
      </c>
      <c r="H1237" s="1">
        <v>45267</v>
      </c>
      <c r="I1237">
        <v>2023</v>
      </c>
      <c r="J1237">
        <v>12</v>
      </c>
      <c r="K1237" t="s">
        <v>26</v>
      </c>
      <c r="L1237" t="s">
        <v>21</v>
      </c>
      <c r="M1237">
        <v>1</v>
      </c>
    </row>
    <row r="1238" spans="1:13" x14ac:dyDescent="0.25">
      <c r="A1238" t="s">
        <v>769</v>
      </c>
      <c r="B1238" t="s">
        <v>13</v>
      </c>
      <c r="C1238" t="s">
        <v>14</v>
      </c>
      <c r="D1238" t="s">
        <v>55</v>
      </c>
      <c r="E1238" t="s">
        <v>21</v>
      </c>
      <c r="F1238" t="s">
        <v>21</v>
      </c>
      <c r="G1238">
        <v>214</v>
      </c>
      <c r="H1238" s="1">
        <v>45267</v>
      </c>
      <c r="I1238">
        <v>2023</v>
      </c>
      <c r="J1238">
        <v>12</v>
      </c>
      <c r="K1238" t="s">
        <v>36</v>
      </c>
      <c r="L1238" t="s">
        <v>21</v>
      </c>
      <c r="M1238">
        <v>0</v>
      </c>
    </row>
    <row r="1239" spans="1:13" x14ac:dyDescent="0.25">
      <c r="A1239" t="s">
        <v>1027</v>
      </c>
      <c r="B1239" t="s">
        <v>73</v>
      </c>
      <c r="C1239" t="s">
        <v>14</v>
      </c>
      <c r="D1239" t="s">
        <v>22</v>
      </c>
      <c r="E1239">
        <v>145</v>
      </c>
      <c r="F1239" t="s">
        <v>21</v>
      </c>
      <c r="G1239">
        <v>2200</v>
      </c>
      <c r="H1239" s="1">
        <v>45266</v>
      </c>
      <c r="I1239">
        <v>2023</v>
      </c>
      <c r="J1239">
        <v>12</v>
      </c>
      <c r="K1239" t="s">
        <v>26</v>
      </c>
      <c r="L1239" t="s">
        <v>21</v>
      </c>
      <c r="M1239">
        <v>1</v>
      </c>
    </row>
    <row r="1240" spans="1:13" x14ac:dyDescent="0.25">
      <c r="A1240" t="s">
        <v>593</v>
      </c>
      <c r="B1240" t="s">
        <v>18</v>
      </c>
      <c r="C1240" t="s">
        <v>14</v>
      </c>
      <c r="D1240" t="s">
        <v>20</v>
      </c>
      <c r="E1240">
        <v>40</v>
      </c>
      <c r="F1240">
        <v>0.1</v>
      </c>
      <c r="G1240" t="s">
        <v>21</v>
      </c>
      <c r="H1240" s="1">
        <v>45266</v>
      </c>
      <c r="I1240">
        <v>2023</v>
      </c>
      <c r="J1240">
        <v>12</v>
      </c>
      <c r="K1240" t="s">
        <v>22</v>
      </c>
      <c r="L1240">
        <v>0</v>
      </c>
      <c r="M1240">
        <v>1</v>
      </c>
    </row>
    <row r="1241" spans="1:13" x14ac:dyDescent="0.25">
      <c r="A1241" t="s">
        <v>79</v>
      </c>
      <c r="B1241" t="s">
        <v>77</v>
      </c>
      <c r="C1241" t="s">
        <v>80</v>
      </c>
      <c r="D1241" t="s">
        <v>81</v>
      </c>
      <c r="E1241">
        <v>240</v>
      </c>
      <c r="F1241" t="s">
        <v>21</v>
      </c>
      <c r="G1241">
        <v>3500</v>
      </c>
      <c r="H1241" s="1">
        <v>45265</v>
      </c>
      <c r="I1241">
        <v>2023</v>
      </c>
      <c r="J1241">
        <v>12</v>
      </c>
      <c r="K1241" t="s">
        <v>26</v>
      </c>
      <c r="L1241" t="s">
        <v>21</v>
      </c>
      <c r="M1241">
        <v>1</v>
      </c>
    </row>
    <row r="1242" spans="1:13" x14ac:dyDescent="0.25">
      <c r="A1242" t="s">
        <v>1028</v>
      </c>
      <c r="B1242" t="s">
        <v>77</v>
      </c>
      <c r="C1242" t="s">
        <v>48</v>
      </c>
      <c r="D1242" t="s">
        <v>46</v>
      </c>
      <c r="E1242">
        <v>150</v>
      </c>
      <c r="F1242">
        <v>1</v>
      </c>
      <c r="G1242">
        <v>120</v>
      </c>
      <c r="H1242" s="1">
        <v>45265</v>
      </c>
      <c r="I1242">
        <v>2023</v>
      </c>
      <c r="J1242">
        <v>12</v>
      </c>
      <c r="K1242" t="s">
        <v>36</v>
      </c>
      <c r="L1242">
        <v>1</v>
      </c>
      <c r="M1242">
        <v>1</v>
      </c>
    </row>
    <row r="1243" spans="1:13" x14ac:dyDescent="0.25">
      <c r="A1243" t="s">
        <v>1027</v>
      </c>
      <c r="B1243" t="s">
        <v>77</v>
      </c>
      <c r="C1243" t="s">
        <v>14</v>
      </c>
      <c r="D1243" t="s">
        <v>22</v>
      </c>
      <c r="E1243">
        <v>145</v>
      </c>
      <c r="F1243">
        <v>0.05</v>
      </c>
      <c r="G1243">
        <v>2200</v>
      </c>
      <c r="H1243" s="1">
        <v>45265</v>
      </c>
      <c r="I1243">
        <v>2023</v>
      </c>
      <c r="J1243">
        <v>12</v>
      </c>
      <c r="K1243" t="s">
        <v>26</v>
      </c>
      <c r="L1243">
        <v>0</v>
      </c>
      <c r="M1243">
        <v>1</v>
      </c>
    </row>
    <row r="1244" spans="1:13" x14ac:dyDescent="0.25">
      <c r="A1244" t="s">
        <v>589</v>
      </c>
      <c r="B1244" t="s">
        <v>114</v>
      </c>
      <c r="C1244" t="s">
        <v>29</v>
      </c>
      <c r="D1244" t="s">
        <v>33</v>
      </c>
      <c r="E1244">
        <v>40</v>
      </c>
      <c r="F1244">
        <v>0.2</v>
      </c>
      <c r="G1244">
        <v>35</v>
      </c>
      <c r="H1244" s="1">
        <v>45265</v>
      </c>
      <c r="I1244">
        <v>2023</v>
      </c>
      <c r="J1244">
        <v>12</v>
      </c>
      <c r="K1244" t="s">
        <v>30</v>
      </c>
      <c r="L1244">
        <v>0</v>
      </c>
      <c r="M1244">
        <v>1</v>
      </c>
    </row>
    <row r="1245" spans="1:13" x14ac:dyDescent="0.25">
      <c r="A1245" t="s">
        <v>156</v>
      </c>
      <c r="B1245" t="s">
        <v>77</v>
      </c>
      <c r="C1245" t="s">
        <v>14</v>
      </c>
      <c r="D1245" t="s">
        <v>15</v>
      </c>
      <c r="E1245" t="s">
        <v>21</v>
      </c>
      <c r="F1245">
        <v>0.15</v>
      </c>
      <c r="G1245">
        <v>280</v>
      </c>
      <c r="H1245" s="1">
        <v>45265</v>
      </c>
      <c r="I1245">
        <v>2023</v>
      </c>
      <c r="J1245">
        <v>12</v>
      </c>
      <c r="K1245" t="s">
        <v>36</v>
      </c>
      <c r="L1245">
        <v>0</v>
      </c>
      <c r="M1245">
        <v>1</v>
      </c>
    </row>
    <row r="1246" spans="1:13" x14ac:dyDescent="0.25">
      <c r="A1246" t="s">
        <v>1029</v>
      </c>
      <c r="B1246" t="s">
        <v>54</v>
      </c>
      <c r="C1246" t="s">
        <v>83</v>
      </c>
      <c r="D1246" t="s">
        <v>43</v>
      </c>
      <c r="E1246" t="s">
        <v>21</v>
      </c>
      <c r="F1246" t="s">
        <v>21</v>
      </c>
      <c r="G1246">
        <v>350</v>
      </c>
      <c r="H1246" s="1">
        <v>45265</v>
      </c>
      <c r="I1246">
        <v>2023</v>
      </c>
      <c r="J1246">
        <v>12</v>
      </c>
      <c r="K1246" t="s">
        <v>36</v>
      </c>
      <c r="L1246" t="s">
        <v>21</v>
      </c>
      <c r="M1246">
        <v>0</v>
      </c>
    </row>
    <row r="1247" spans="1:13" x14ac:dyDescent="0.25">
      <c r="A1247" t="s">
        <v>1030</v>
      </c>
      <c r="B1247" t="s">
        <v>106</v>
      </c>
      <c r="C1247" t="s">
        <v>14</v>
      </c>
      <c r="D1247" t="s">
        <v>46</v>
      </c>
      <c r="E1247" t="s">
        <v>21</v>
      </c>
      <c r="F1247">
        <v>0.25</v>
      </c>
      <c r="G1247">
        <v>477</v>
      </c>
      <c r="H1247" s="1">
        <v>45265</v>
      </c>
      <c r="I1247">
        <v>2023</v>
      </c>
      <c r="J1247">
        <v>12</v>
      </c>
      <c r="K1247" t="s">
        <v>36</v>
      </c>
      <c r="L1247">
        <v>0</v>
      </c>
      <c r="M1247">
        <v>1</v>
      </c>
    </row>
    <row r="1248" spans="1:13" x14ac:dyDescent="0.25">
      <c r="A1248" t="s">
        <v>1031</v>
      </c>
      <c r="B1248" t="s">
        <v>77</v>
      </c>
      <c r="C1248" t="s">
        <v>143</v>
      </c>
      <c r="D1248" t="s">
        <v>49</v>
      </c>
      <c r="E1248" t="s">
        <v>21</v>
      </c>
      <c r="F1248">
        <v>1</v>
      </c>
      <c r="G1248">
        <v>3</v>
      </c>
      <c r="H1248" s="1">
        <v>45265</v>
      </c>
      <c r="I1248">
        <v>2023</v>
      </c>
      <c r="J1248">
        <v>12</v>
      </c>
      <c r="K1248" t="s">
        <v>16</v>
      </c>
      <c r="L1248">
        <v>1</v>
      </c>
      <c r="M1248">
        <v>1</v>
      </c>
    </row>
    <row r="1249" spans="1:13" x14ac:dyDescent="0.25">
      <c r="A1249" t="s">
        <v>546</v>
      </c>
      <c r="B1249" t="s">
        <v>18</v>
      </c>
      <c r="C1249" t="s">
        <v>14</v>
      </c>
      <c r="D1249" t="s">
        <v>20</v>
      </c>
      <c r="E1249" t="s">
        <v>21</v>
      </c>
      <c r="F1249" t="s">
        <v>21</v>
      </c>
      <c r="G1249">
        <v>6</v>
      </c>
      <c r="H1249" s="1">
        <v>45265</v>
      </c>
      <c r="I1249">
        <v>2023</v>
      </c>
      <c r="J1249">
        <v>12</v>
      </c>
      <c r="K1249" t="s">
        <v>16</v>
      </c>
      <c r="L1249" t="s">
        <v>21</v>
      </c>
      <c r="M1249">
        <v>0</v>
      </c>
    </row>
    <row r="1250" spans="1:13" x14ac:dyDescent="0.25">
      <c r="A1250" t="s">
        <v>223</v>
      </c>
      <c r="B1250" t="s">
        <v>32</v>
      </c>
      <c r="C1250" t="s">
        <v>161</v>
      </c>
      <c r="D1250" t="s">
        <v>15</v>
      </c>
      <c r="E1250">
        <v>1500</v>
      </c>
      <c r="F1250">
        <v>0.17</v>
      </c>
      <c r="G1250">
        <v>2100</v>
      </c>
      <c r="H1250" s="1">
        <v>45264</v>
      </c>
      <c r="I1250">
        <v>2023</v>
      </c>
      <c r="J1250">
        <v>12</v>
      </c>
      <c r="K1250" t="s">
        <v>26</v>
      </c>
      <c r="L1250">
        <v>0</v>
      </c>
      <c r="M1250">
        <v>1</v>
      </c>
    </row>
    <row r="1251" spans="1:13" x14ac:dyDescent="0.25">
      <c r="A1251" t="s">
        <v>1032</v>
      </c>
      <c r="B1251" t="s">
        <v>66</v>
      </c>
      <c r="C1251" t="s">
        <v>14</v>
      </c>
      <c r="D1251" t="s">
        <v>15</v>
      </c>
      <c r="E1251">
        <v>150</v>
      </c>
      <c r="F1251" t="s">
        <v>21</v>
      </c>
      <c r="G1251">
        <v>648</v>
      </c>
      <c r="H1251" s="1">
        <v>45264</v>
      </c>
      <c r="I1251">
        <v>2023</v>
      </c>
      <c r="J1251">
        <v>12</v>
      </c>
      <c r="K1251" t="s">
        <v>36</v>
      </c>
      <c r="L1251" t="s">
        <v>21</v>
      </c>
      <c r="M1251">
        <v>1</v>
      </c>
    </row>
    <row r="1252" spans="1:13" x14ac:dyDescent="0.25">
      <c r="A1252" t="s">
        <v>1033</v>
      </c>
      <c r="B1252" t="s">
        <v>32</v>
      </c>
      <c r="C1252" t="s">
        <v>14</v>
      </c>
      <c r="D1252" t="s">
        <v>22</v>
      </c>
      <c r="E1252">
        <v>8</v>
      </c>
      <c r="F1252" t="s">
        <v>21</v>
      </c>
      <c r="G1252">
        <v>185</v>
      </c>
      <c r="H1252" s="1">
        <v>45264</v>
      </c>
      <c r="I1252">
        <v>2023</v>
      </c>
      <c r="J1252">
        <v>12</v>
      </c>
      <c r="K1252" t="s">
        <v>36</v>
      </c>
      <c r="L1252" t="s">
        <v>21</v>
      </c>
      <c r="M1252">
        <v>1</v>
      </c>
    </row>
    <row r="1253" spans="1:13" x14ac:dyDescent="0.25">
      <c r="A1253" t="s">
        <v>1034</v>
      </c>
      <c r="B1253" t="s">
        <v>91</v>
      </c>
      <c r="C1253" t="s">
        <v>14</v>
      </c>
      <c r="D1253" t="s">
        <v>49</v>
      </c>
      <c r="E1253" t="s">
        <v>21</v>
      </c>
      <c r="F1253">
        <v>1</v>
      </c>
      <c r="G1253">
        <v>6</v>
      </c>
      <c r="H1253" s="1">
        <v>45264</v>
      </c>
      <c r="I1253">
        <v>2023</v>
      </c>
      <c r="J1253">
        <v>12</v>
      </c>
      <c r="K1253" t="s">
        <v>16</v>
      </c>
      <c r="L1253">
        <v>1</v>
      </c>
      <c r="M1253">
        <v>1</v>
      </c>
    </row>
    <row r="1254" spans="1:13" x14ac:dyDescent="0.25">
      <c r="A1254" t="s">
        <v>1035</v>
      </c>
      <c r="B1254" t="s">
        <v>13</v>
      </c>
      <c r="C1254" t="s">
        <v>14</v>
      </c>
      <c r="D1254" t="s">
        <v>15</v>
      </c>
      <c r="E1254" t="s">
        <v>21</v>
      </c>
      <c r="F1254">
        <v>0.05</v>
      </c>
      <c r="G1254">
        <v>614</v>
      </c>
      <c r="H1254" s="1">
        <v>45264</v>
      </c>
      <c r="I1254">
        <v>2023</v>
      </c>
      <c r="J1254">
        <v>12</v>
      </c>
      <c r="K1254" t="s">
        <v>36</v>
      </c>
      <c r="L1254">
        <v>0</v>
      </c>
      <c r="M1254">
        <v>1</v>
      </c>
    </row>
    <row r="1255" spans="1:13" x14ac:dyDescent="0.25">
      <c r="A1255" t="s">
        <v>1036</v>
      </c>
      <c r="B1255" t="s">
        <v>13</v>
      </c>
      <c r="C1255" t="s">
        <v>14</v>
      </c>
      <c r="D1255" t="s">
        <v>20</v>
      </c>
      <c r="E1255" t="s">
        <v>21</v>
      </c>
      <c r="F1255">
        <v>1</v>
      </c>
      <c r="G1255" t="s">
        <v>21</v>
      </c>
      <c r="H1255" s="1">
        <v>45261</v>
      </c>
      <c r="I1255">
        <v>2023</v>
      </c>
      <c r="J1255">
        <v>12</v>
      </c>
      <c r="K1255" t="s">
        <v>22</v>
      </c>
      <c r="L1255">
        <v>1</v>
      </c>
      <c r="M1255">
        <v>1</v>
      </c>
    </row>
    <row r="1256" spans="1:13" x14ac:dyDescent="0.25">
      <c r="A1256" t="s">
        <v>1037</v>
      </c>
      <c r="B1256" t="s">
        <v>18</v>
      </c>
      <c r="C1256" t="s">
        <v>48</v>
      </c>
      <c r="D1256" t="s">
        <v>20</v>
      </c>
      <c r="E1256">
        <v>40</v>
      </c>
      <c r="F1256">
        <v>0.36</v>
      </c>
      <c r="G1256">
        <v>52</v>
      </c>
      <c r="H1256" s="1">
        <v>45260</v>
      </c>
      <c r="I1256">
        <v>2023</v>
      </c>
      <c r="J1256">
        <v>11</v>
      </c>
      <c r="K1256" t="s">
        <v>30</v>
      </c>
      <c r="L1256">
        <v>0</v>
      </c>
      <c r="M1256">
        <v>1</v>
      </c>
    </row>
    <row r="1257" spans="1:13" x14ac:dyDescent="0.25">
      <c r="A1257" t="s">
        <v>495</v>
      </c>
      <c r="B1257" t="s">
        <v>77</v>
      </c>
      <c r="C1257" t="s">
        <v>80</v>
      </c>
      <c r="D1257" t="s">
        <v>111</v>
      </c>
      <c r="E1257">
        <v>30</v>
      </c>
      <c r="F1257">
        <v>0.02</v>
      </c>
      <c r="G1257">
        <v>700</v>
      </c>
      <c r="H1257" s="1">
        <v>45260</v>
      </c>
      <c r="I1257">
        <v>2023</v>
      </c>
      <c r="J1257">
        <v>11</v>
      </c>
      <c r="K1257" t="s">
        <v>36</v>
      </c>
      <c r="L1257">
        <v>0</v>
      </c>
      <c r="M1257">
        <v>1</v>
      </c>
    </row>
    <row r="1258" spans="1:13" x14ac:dyDescent="0.25">
      <c r="A1258" t="s">
        <v>1038</v>
      </c>
      <c r="B1258" t="s">
        <v>38</v>
      </c>
      <c r="C1258" t="s">
        <v>14</v>
      </c>
      <c r="D1258" t="s">
        <v>15</v>
      </c>
      <c r="E1258" t="s">
        <v>21</v>
      </c>
      <c r="F1258">
        <v>7.0000000000000007E-2</v>
      </c>
      <c r="G1258">
        <v>689</v>
      </c>
      <c r="H1258" s="1">
        <v>45260</v>
      </c>
      <c r="I1258">
        <v>2023</v>
      </c>
      <c r="J1258">
        <v>11</v>
      </c>
      <c r="K1258" t="s">
        <v>36</v>
      </c>
      <c r="L1258">
        <v>0</v>
      </c>
      <c r="M1258">
        <v>1</v>
      </c>
    </row>
    <row r="1259" spans="1:13" x14ac:dyDescent="0.25">
      <c r="A1259" t="s">
        <v>1039</v>
      </c>
      <c r="B1259" t="s">
        <v>18</v>
      </c>
      <c r="C1259" t="s">
        <v>14</v>
      </c>
      <c r="D1259" t="s">
        <v>22</v>
      </c>
      <c r="E1259" t="s">
        <v>21</v>
      </c>
      <c r="F1259" t="s">
        <v>21</v>
      </c>
      <c r="G1259">
        <v>100</v>
      </c>
      <c r="H1259" s="1">
        <v>45260</v>
      </c>
      <c r="I1259">
        <v>2023</v>
      </c>
      <c r="J1259">
        <v>11</v>
      </c>
      <c r="K1259" t="s">
        <v>36</v>
      </c>
      <c r="L1259" t="s">
        <v>21</v>
      </c>
      <c r="M1259">
        <v>0</v>
      </c>
    </row>
    <row r="1260" spans="1:13" x14ac:dyDescent="0.25">
      <c r="A1260" t="s">
        <v>1040</v>
      </c>
      <c r="B1260" t="s">
        <v>99</v>
      </c>
      <c r="C1260" t="s">
        <v>356</v>
      </c>
      <c r="D1260" t="s">
        <v>81</v>
      </c>
      <c r="E1260" t="s">
        <v>21</v>
      </c>
      <c r="F1260" t="s">
        <v>21</v>
      </c>
      <c r="G1260">
        <v>90</v>
      </c>
      <c r="H1260" s="1">
        <v>45260</v>
      </c>
      <c r="I1260">
        <v>2023</v>
      </c>
      <c r="J1260">
        <v>11</v>
      </c>
      <c r="K1260" t="s">
        <v>30</v>
      </c>
      <c r="L1260" t="s">
        <v>21</v>
      </c>
      <c r="M1260">
        <v>0</v>
      </c>
    </row>
    <row r="1261" spans="1:13" x14ac:dyDescent="0.25">
      <c r="A1261" t="s">
        <v>556</v>
      </c>
      <c r="B1261" t="s">
        <v>32</v>
      </c>
      <c r="C1261" t="s">
        <v>14</v>
      </c>
      <c r="D1261" t="s">
        <v>43</v>
      </c>
      <c r="E1261" t="s">
        <v>21</v>
      </c>
      <c r="F1261">
        <v>0.04</v>
      </c>
      <c r="G1261">
        <v>307</v>
      </c>
      <c r="H1261" s="1">
        <v>45260</v>
      </c>
      <c r="I1261">
        <v>2023</v>
      </c>
      <c r="J1261">
        <v>11</v>
      </c>
      <c r="K1261" t="s">
        <v>36</v>
      </c>
      <c r="L1261">
        <v>0</v>
      </c>
      <c r="M1261">
        <v>1</v>
      </c>
    </row>
    <row r="1262" spans="1:13" x14ac:dyDescent="0.25">
      <c r="A1262" t="s">
        <v>497</v>
      </c>
      <c r="B1262" t="s">
        <v>13</v>
      </c>
      <c r="C1262" t="s">
        <v>14</v>
      </c>
      <c r="D1262" t="s">
        <v>15</v>
      </c>
      <c r="E1262">
        <v>265</v>
      </c>
      <c r="F1262">
        <v>0.04</v>
      </c>
      <c r="G1262">
        <v>1300</v>
      </c>
      <c r="H1262" s="1">
        <v>45258</v>
      </c>
      <c r="I1262">
        <v>2023</v>
      </c>
      <c r="J1262">
        <v>11</v>
      </c>
      <c r="K1262" t="s">
        <v>26</v>
      </c>
      <c r="L1262">
        <v>0</v>
      </c>
      <c r="M1262">
        <v>1</v>
      </c>
    </row>
    <row r="1263" spans="1:13" x14ac:dyDescent="0.25">
      <c r="A1263" t="s">
        <v>1041</v>
      </c>
      <c r="B1263" t="s">
        <v>93</v>
      </c>
      <c r="C1263" t="s">
        <v>14</v>
      </c>
      <c r="D1263" t="s">
        <v>43</v>
      </c>
      <c r="E1263">
        <v>150</v>
      </c>
      <c r="F1263">
        <v>0.2</v>
      </c>
      <c r="G1263">
        <v>1100</v>
      </c>
      <c r="H1263" s="1">
        <v>45258</v>
      </c>
      <c r="I1263">
        <v>2023</v>
      </c>
      <c r="J1263">
        <v>11</v>
      </c>
      <c r="K1263" t="s">
        <v>26</v>
      </c>
      <c r="L1263">
        <v>0</v>
      </c>
      <c r="M1263">
        <v>1</v>
      </c>
    </row>
    <row r="1264" spans="1:13" x14ac:dyDescent="0.25">
      <c r="A1264" t="s">
        <v>299</v>
      </c>
      <c r="B1264" t="s">
        <v>106</v>
      </c>
      <c r="C1264" t="s">
        <v>80</v>
      </c>
      <c r="D1264" t="s">
        <v>55</v>
      </c>
      <c r="E1264" t="s">
        <v>21</v>
      </c>
      <c r="F1264">
        <v>0.05</v>
      </c>
      <c r="G1264">
        <v>414</v>
      </c>
      <c r="H1264" s="1">
        <v>45258</v>
      </c>
      <c r="I1264">
        <v>2023</v>
      </c>
      <c r="J1264">
        <v>11</v>
      </c>
      <c r="K1264" t="s">
        <v>36</v>
      </c>
      <c r="L1264">
        <v>0</v>
      </c>
      <c r="M1264">
        <v>1</v>
      </c>
    </row>
    <row r="1265" spans="1:13" x14ac:dyDescent="0.25">
      <c r="A1265" t="s">
        <v>1042</v>
      </c>
      <c r="B1265" t="s">
        <v>66</v>
      </c>
      <c r="C1265" t="s">
        <v>83</v>
      </c>
      <c r="D1265" t="s">
        <v>55</v>
      </c>
      <c r="E1265" t="s">
        <v>21</v>
      </c>
      <c r="F1265">
        <v>0.22</v>
      </c>
      <c r="G1265">
        <v>646</v>
      </c>
      <c r="H1265" s="1">
        <v>45258</v>
      </c>
      <c r="I1265">
        <v>2023</v>
      </c>
      <c r="J1265">
        <v>11</v>
      </c>
      <c r="K1265" t="s">
        <v>36</v>
      </c>
      <c r="L1265">
        <v>0</v>
      </c>
      <c r="M1265">
        <v>1</v>
      </c>
    </row>
    <row r="1266" spans="1:13" x14ac:dyDescent="0.25">
      <c r="A1266" t="s">
        <v>1043</v>
      </c>
      <c r="B1266" t="s">
        <v>140</v>
      </c>
      <c r="C1266" t="s">
        <v>14</v>
      </c>
      <c r="D1266" t="s">
        <v>20</v>
      </c>
      <c r="E1266">
        <v>2837</v>
      </c>
      <c r="F1266" t="s">
        <v>21</v>
      </c>
      <c r="G1266">
        <v>393</v>
      </c>
      <c r="H1266" s="1">
        <v>45257</v>
      </c>
      <c r="I1266">
        <v>2023</v>
      </c>
      <c r="J1266">
        <v>11</v>
      </c>
      <c r="K1266" t="s">
        <v>36</v>
      </c>
      <c r="L1266" t="s">
        <v>21</v>
      </c>
      <c r="M1266">
        <v>1</v>
      </c>
    </row>
    <row r="1267" spans="1:13" x14ac:dyDescent="0.25">
      <c r="A1267" t="s">
        <v>609</v>
      </c>
      <c r="B1267" t="s">
        <v>18</v>
      </c>
      <c r="C1267" t="s">
        <v>657</v>
      </c>
      <c r="D1267" t="s">
        <v>22</v>
      </c>
      <c r="E1267">
        <v>1000</v>
      </c>
      <c r="F1267" t="s">
        <v>21</v>
      </c>
      <c r="G1267">
        <v>9400</v>
      </c>
      <c r="H1267" s="1">
        <v>45257</v>
      </c>
      <c r="I1267">
        <v>2023</v>
      </c>
      <c r="J1267">
        <v>11</v>
      </c>
      <c r="K1267" t="s">
        <v>26</v>
      </c>
      <c r="L1267" t="s">
        <v>21</v>
      </c>
      <c r="M1267">
        <v>1</v>
      </c>
    </row>
    <row r="1268" spans="1:13" x14ac:dyDescent="0.25">
      <c r="A1268" t="s">
        <v>853</v>
      </c>
      <c r="B1268" t="s">
        <v>66</v>
      </c>
      <c r="C1268" t="s">
        <v>14</v>
      </c>
      <c r="D1268" t="s">
        <v>33</v>
      </c>
      <c r="E1268">
        <v>128</v>
      </c>
      <c r="F1268">
        <v>0.25</v>
      </c>
      <c r="G1268">
        <v>390</v>
      </c>
      <c r="H1268" s="1">
        <v>45257</v>
      </c>
      <c r="I1268">
        <v>2023</v>
      </c>
      <c r="J1268">
        <v>11</v>
      </c>
      <c r="K1268" t="s">
        <v>36</v>
      </c>
      <c r="L1268">
        <v>0</v>
      </c>
      <c r="M1268">
        <v>1</v>
      </c>
    </row>
    <row r="1269" spans="1:13" x14ac:dyDescent="0.25">
      <c r="A1269" t="s">
        <v>1044</v>
      </c>
      <c r="B1269" t="s">
        <v>533</v>
      </c>
      <c r="C1269" t="s">
        <v>14</v>
      </c>
      <c r="D1269" t="s">
        <v>55</v>
      </c>
      <c r="E1269" t="s">
        <v>21</v>
      </c>
      <c r="F1269">
        <v>1</v>
      </c>
      <c r="G1269">
        <v>597</v>
      </c>
      <c r="H1269" s="1">
        <v>45256</v>
      </c>
      <c r="I1269">
        <v>2023</v>
      </c>
      <c r="J1269">
        <v>11</v>
      </c>
      <c r="K1269" t="s">
        <v>36</v>
      </c>
      <c r="L1269">
        <v>1</v>
      </c>
      <c r="M1269">
        <v>1</v>
      </c>
    </row>
    <row r="1270" spans="1:13" x14ac:dyDescent="0.25">
      <c r="A1270" t="s">
        <v>1045</v>
      </c>
      <c r="B1270" t="s">
        <v>54</v>
      </c>
      <c r="C1270" t="s">
        <v>48</v>
      </c>
      <c r="D1270" t="s">
        <v>49</v>
      </c>
      <c r="E1270" t="s">
        <v>21</v>
      </c>
      <c r="F1270">
        <v>1</v>
      </c>
      <c r="G1270">
        <v>6</v>
      </c>
      <c r="H1270" s="1">
        <v>45255</v>
      </c>
      <c r="I1270">
        <v>2023</v>
      </c>
      <c r="J1270">
        <v>11</v>
      </c>
      <c r="K1270" t="s">
        <v>16</v>
      </c>
      <c r="L1270">
        <v>1</v>
      </c>
      <c r="M1270">
        <v>1</v>
      </c>
    </row>
    <row r="1271" spans="1:13" x14ac:dyDescent="0.25">
      <c r="A1271" t="s">
        <v>1046</v>
      </c>
      <c r="B1271" t="s">
        <v>24</v>
      </c>
      <c r="C1271" t="s">
        <v>143</v>
      </c>
      <c r="D1271" t="s">
        <v>33</v>
      </c>
      <c r="E1271">
        <v>100</v>
      </c>
      <c r="F1271" t="s">
        <v>21</v>
      </c>
      <c r="G1271">
        <v>16</v>
      </c>
      <c r="H1271" s="1">
        <v>45251</v>
      </c>
      <c r="I1271">
        <v>2023</v>
      </c>
      <c r="J1271">
        <v>11</v>
      </c>
      <c r="K1271" t="s">
        <v>30</v>
      </c>
      <c r="L1271" t="s">
        <v>21</v>
      </c>
      <c r="M1271">
        <v>1</v>
      </c>
    </row>
    <row r="1272" spans="1:13" x14ac:dyDescent="0.25">
      <c r="A1272" t="s">
        <v>1047</v>
      </c>
      <c r="B1272" t="s">
        <v>91</v>
      </c>
      <c r="C1272" t="s">
        <v>83</v>
      </c>
      <c r="D1272" t="s">
        <v>22</v>
      </c>
      <c r="E1272">
        <v>60</v>
      </c>
      <c r="F1272" t="s">
        <v>21</v>
      </c>
      <c r="G1272">
        <v>214</v>
      </c>
      <c r="H1272" s="1">
        <v>45251</v>
      </c>
      <c r="I1272">
        <v>2023</v>
      </c>
      <c r="J1272">
        <v>11</v>
      </c>
      <c r="K1272" t="s">
        <v>36</v>
      </c>
      <c r="L1272" t="s">
        <v>21</v>
      </c>
      <c r="M1272">
        <v>1</v>
      </c>
    </row>
    <row r="1273" spans="1:13" x14ac:dyDescent="0.25">
      <c r="A1273" t="s">
        <v>1048</v>
      </c>
      <c r="B1273" t="s">
        <v>24</v>
      </c>
      <c r="C1273" t="s">
        <v>174</v>
      </c>
      <c r="D1273" t="s">
        <v>46</v>
      </c>
      <c r="E1273">
        <v>25</v>
      </c>
      <c r="F1273" t="s">
        <v>21</v>
      </c>
      <c r="G1273">
        <v>79</v>
      </c>
      <c r="H1273" s="1">
        <v>45251</v>
      </c>
      <c r="I1273">
        <v>2023</v>
      </c>
      <c r="J1273">
        <v>11</v>
      </c>
      <c r="K1273" t="s">
        <v>30</v>
      </c>
      <c r="L1273" t="s">
        <v>21</v>
      </c>
      <c r="M1273">
        <v>1</v>
      </c>
    </row>
    <row r="1274" spans="1:13" x14ac:dyDescent="0.25">
      <c r="A1274" t="s">
        <v>1049</v>
      </c>
      <c r="B1274" t="s">
        <v>77</v>
      </c>
      <c r="C1274" t="s">
        <v>48</v>
      </c>
      <c r="D1274" t="s">
        <v>68</v>
      </c>
      <c r="E1274">
        <v>100</v>
      </c>
      <c r="F1274" t="s">
        <v>21</v>
      </c>
      <c r="G1274">
        <v>19</v>
      </c>
      <c r="H1274" s="1">
        <v>45250</v>
      </c>
      <c r="I1274">
        <v>2023</v>
      </c>
      <c r="J1274">
        <v>11</v>
      </c>
      <c r="K1274" t="s">
        <v>30</v>
      </c>
      <c r="L1274" t="s">
        <v>21</v>
      </c>
      <c r="M1274">
        <v>1</v>
      </c>
    </row>
    <row r="1275" spans="1:13" x14ac:dyDescent="0.25">
      <c r="A1275" t="s">
        <v>248</v>
      </c>
      <c r="B1275" t="s">
        <v>93</v>
      </c>
      <c r="C1275" t="s">
        <v>14</v>
      </c>
      <c r="D1275" t="s">
        <v>43</v>
      </c>
      <c r="E1275" t="s">
        <v>21</v>
      </c>
      <c r="F1275" t="s">
        <v>21</v>
      </c>
      <c r="G1275">
        <v>228</v>
      </c>
      <c r="H1275" s="1">
        <v>45250</v>
      </c>
      <c r="I1275">
        <v>2023</v>
      </c>
      <c r="J1275">
        <v>11</v>
      </c>
      <c r="K1275" t="s">
        <v>36</v>
      </c>
      <c r="L1275" t="s">
        <v>21</v>
      </c>
      <c r="M1275">
        <v>0</v>
      </c>
    </row>
    <row r="1276" spans="1:13" x14ac:dyDescent="0.25">
      <c r="A1276" t="s">
        <v>1050</v>
      </c>
      <c r="B1276" t="s">
        <v>95</v>
      </c>
      <c r="C1276" t="s">
        <v>14</v>
      </c>
      <c r="D1276" t="s">
        <v>15</v>
      </c>
      <c r="E1276" t="s">
        <v>21</v>
      </c>
      <c r="F1276">
        <v>0.17</v>
      </c>
      <c r="G1276">
        <v>167</v>
      </c>
      <c r="H1276" s="1">
        <v>45250</v>
      </c>
      <c r="I1276">
        <v>2023</v>
      </c>
      <c r="J1276">
        <v>11</v>
      </c>
      <c r="K1276" t="s">
        <v>36</v>
      </c>
      <c r="L1276">
        <v>0</v>
      </c>
      <c r="M1276">
        <v>1</v>
      </c>
    </row>
    <row r="1277" spans="1:13" x14ac:dyDescent="0.25">
      <c r="A1277" t="s">
        <v>1051</v>
      </c>
      <c r="B1277" t="s">
        <v>106</v>
      </c>
      <c r="C1277" t="s">
        <v>48</v>
      </c>
      <c r="D1277" t="s">
        <v>68</v>
      </c>
      <c r="E1277">
        <v>120</v>
      </c>
      <c r="F1277">
        <v>0.01</v>
      </c>
      <c r="G1277">
        <v>100</v>
      </c>
      <c r="H1277" s="1">
        <v>45249</v>
      </c>
      <c r="I1277">
        <v>2023</v>
      </c>
      <c r="J1277">
        <v>11</v>
      </c>
      <c r="K1277" t="s">
        <v>36</v>
      </c>
      <c r="L1277">
        <v>0</v>
      </c>
      <c r="M1277">
        <v>1</v>
      </c>
    </row>
    <row r="1278" spans="1:13" x14ac:dyDescent="0.25">
      <c r="A1278" t="s">
        <v>1052</v>
      </c>
      <c r="B1278" t="s">
        <v>35</v>
      </c>
      <c r="C1278" t="s">
        <v>14</v>
      </c>
      <c r="D1278" t="s">
        <v>20</v>
      </c>
      <c r="E1278">
        <v>84</v>
      </c>
      <c r="F1278" t="s">
        <v>21</v>
      </c>
      <c r="G1278" t="s">
        <v>21</v>
      </c>
      <c r="H1278" s="1">
        <v>45247</v>
      </c>
      <c r="I1278">
        <v>2023</v>
      </c>
      <c r="J1278">
        <v>11</v>
      </c>
      <c r="K1278" t="s">
        <v>22</v>
      </c>
      <c r="L1278" t="s">
        <v>21</v>
      </c>
      <c r="M1278">
        <v>1</v>
      </c>
    </row>
    <row r="1279" spans="1:13" x14ac:dyDescent="0.25">
      <c r="A1279" t="s">
        <v>240</v>
      </c>
      <c r="B1279" t="s">
        <v>24</v>
      </c>
      <c r="C1279" t="s">
        <v>14</v>
      </c>
      <c r="D1279" t="s">
        <v>15</v>
      </c>
      <c r="E1279" t="s">
        <v>21</v>
      </c>
      <c r="F1279" t="s">
        <v>21</v>
      </c>
      <c r="G1279">
        <v>108</v>
      </c>
      <c r="H1279" s="1">
        <v>45247</v>
      </c>
      <c r="I1279">
        <v>2023</v>
      </c>
      <c r="J1279">
        <v>11</v>
      </c>
      <c r="K1279" t="s">
        <v>36</v>
      </c>
      <c r="L1279" t="s">
        <v>21</v>
      </c>
      <c r="M1279">
        <v>0</v>
      </c>
    </row>
    <row r="1280" spans="1:13" x14ac:dyDescent="0.25">
      <c r="A1280" t="s">
        <v>1053</v>
      </c>
      <c r="B1280" t="s">
        <v>533</v>
      </c>
      <c r="C1280" t="s">
        <v>14</v>
      </c>
      <c r="D1280" t="s">
        <v>22</v>
      </c>
      <c r="E1280" t="s">
        <v>21</v>
      </c>
      <c r="F1280">
        <v>0.16</v>
      </c>
      <c r="G1280" t="s">
        <v>21</v>
      </c>
      <c r="H1280" s="1">
        <v>45247</v>
      </c>
      <c r="I1280">
        <v>2023</v>
      </c>
      <c r="J1280">
        <v>11</v>
      </c>
      <c r="K1280" t="s">
        <v>22</v>
      </c>
      <c r="L1280">
        <v>0</v>
      </c>
      <c r="M1280">
        <v>1</v>
      </c>
    </row>
    <row r="1281" spans="1:13" x14ac:dyDescent="0.25">
      <c r="A1281" t="s">
        <v>1054</v>
      </c>
      <c r="B1281" t="s">
        <v>24</v>
      </c>
      <c r="C1281" t="s">
        <v>14</v>
      </c>
      <c r="D1281" t="s">
        <v>68</v>
      </c>
      <c r="E1281" t="s">
        <v>21</v>
      </c>
      <c r="F1281">
        <v>1</v>
      </c>
      <c r="G1281">
        <v>40</v>
      </c>
      <c r="H1281" s="1">
        <v>45247</v>
      </c>
      <c r="I1281">
        <v>2023</v>
      </c>
      <c r="J1281">
        <v>11</v>
      </c>
      <c r="K1281" t="s">
        <v>30</v>
      </c>
      <c r="L1281">
        <v>1</v>
      </c>
      <c r="M1281">
        <v>1</v>
      </c>
    </row>
    <row r="1282" spans="1:13" x14ac:dyDescent="0.25">
      <c r="A1282" t="s">
        <v>1055</v>
      </c>
      <c r="B1282" t="s">
        <v>77</v>
      </c>
      <c r="C1282" t="s">
        <v>80</v>
      </c>
      <c r="D1282" t="s">
        <v>22</v>
      </c>
      <c r="E1282" t="s">
        <v>21</v>
      </c>
      <c r="F1282" t="s">
        <v>21</v>
      </c>
      <c r="G1282" t="s">
        <v>21</v>
      </c>
      <c r="H1282" s="1">
        <v>45247</v>
      </c>
      <c r="I1282">
        <v>2023</v>
      </c>
      <c r="J1282">
        <v>11</v>
      </c>
      <c r="K1282" t="s">
        <v>22</v>
      </c>
      <c r="L1282" t="s">
        <v>21</v>
      </c>
      <c r="M1282">
        <v>0</v>
      </c>
    </row>
    <row r="1283" spans="1:13" x14ac:dyDescent="0.25">
      <c r="A1283" t="s">
        <v>1056</v>
      </c>
      <c r="B1283" t="s">
        <v>490</v>
      </c>
      <c r="C1283" t="s">
        <v>14</v>
      </c>
      <c r="D1283" t="s">
        <v>33</v>
      </c>
      <c r="E1283">
        <v>115</v>
      </c>
      <c r="F1283" t="s">
        <v>21</v>
      </c>
      <c r="G1283">
        <v>1700</v>
      </c>
      <c r="H1283" s="1">
        <v>45246</v>
      </c>
      <c r="I1283">
        <v>2023</v>
      </c>
      <c r="J1283">
        <v>11</v>
      </c>
      <c r="K1283" t="s">
        <v>26</v>
      </c>
      <c r="L1283" t="s">
        <v>21</v>
      </c>
      <c r="M1283">
        <v>1</v>
      </c>
    </row>
    <row r="1284" spans="1:13" x14ac:dyDescent="0.25">
      <c r="A1284" t="s">
        <v>1057</v>
      </c>
      <c r="B1284" t="s">
        <v>77</v>
      </c>
      <c r="C1284" t="s">
        <v>143</v>
      </c>
      <c r="D1284" t="s">
        <v>20</v>
      </c>
      <c r="E1284">
        <v>33</v>
      </c>
      <c r="F1284" t="s">
        <v>21</v>
      </c>
      <c r="G1284">
        <v>10</v>
      </c>
      <c r="H1284" s="1">
        <v>45246</v>
      </c>
      <c r="I1284">
        <v>2023</v>
      </c>
      <c r="J1284">
        <v>11</v>
      </c>
      <c r="K1284" t="s">
        <v>30</v>
      </c>
      <c r="L1284" t="s">
        <v>21</v>
      </c>
      <c r="M1284">
        <v>1</v>
      </c>
    </row>
    <row r="1285" spans="1:13" x14ac:dyDescent="0.25">
      <c r="A1285" t="s">
        <v>1058</v>
      </c>
      <c r="B1285" t="s">
        <v>40</v>
      </c>
      <c r="C1285" t="s">
        <v>80</v>
      </c>
      <c r="D1285" t="s">
        <v>55</v>
      </c>
      <c r="E1285" t="s">
        <v>21</v>
      </c>
      <c r="F1285">
        <v>0.25</v>
      </c>
      <c r="G1285">
        <v>223</v>
      </c>
      <c r="H1285" s="1">
        <v>45246</v>
      </c>
      <c r="I1285">
        <v>2023</v>
      </c>
      <c r="J1285">
        <v>11</v>
      </c>
      <c r="K1285" t="s">
        <v>36</v>
      </c>
      <c r="L1285">
        <v>0</v>
      </c>
      <c r="M1285">
        <v>1</v>
      </c>
    </row>
    <row r="1286" spans="1:13" x14ac:dyDescent="0.25">
      <c r="A1286" t="s">
        <v>56</v>
      </c>
      <c r="B1286" t="s">
        <v>18</v>
      </c>
      <c r="C1286" t="s">
        <v>14</v>
      </c>
      <c r="D1286" t="s">
        <v>15</v>
      </c>
      <c r="E1286" t="s">
        <v>21</v>
      </c>
      <c r="F1286" t="s">
        <v>21</v>
      </c>
      <c r="G1286">
        <v>455.2</v>
      </c>
      <c r="H1286" s="1">
        <v>45246</v>
      </c>
      <c r="I1286">
        <v>2023</v>
      </c>
      <c r="J1286">
        <v>11</v>
      </c>
      <c r="K1286" t="s">
        <v>36</v>
      </c>
      <c r="L1286" t="s">
        <v>21</v>
      </c>
      <c r="M1286">
        <v>0</v>
      </c>
    </row>
    <row r="1287" spans="1:13" x14ac:dyDescent="0.25">
      <c r="A1287" t="s">
        <v>1059</v>
      </c>
      <c r="B1287" t="s">
        <v>77</v>
      </c>
      <c r="C1287" t="s">
        <v>1060</v>
      </c>
      <c r="D1287" t="s">
        <v>33</v>
      </c>
      <c r="E1287" t="s">
        <v>21</v>
      </c>
      <c r="F1287" t="s">
        <v>21</v>
      </c>
      <c r="G1287">
        <v>91</v>
      </c>
      <c r="H1287" s="1">
        <v>45245</v>
      </c>
      <c r="I1287">
        <v>2023</v>
      </c>
      <c r="J1287">
        <v>11</v>
      </c>
      <c r="K1287" t="s">
        <v>30</v>
      </c>
      <c r="L1287" t="s">
        <v>21</v>
      </c>
      <c r="M1287">
        <v>0</v>
      </c>
    </row>
    <row r="1288" spans="1:13" x14ac:dyDescent="0.25">
      <c r="A1288" t="s">
        <v>624</v>
      </c>
      <c r="B1288" t="s">
        <v>77</v>
      </c>
      <c r="C1288" t="s">
        <v>174</v>
      </c>
      <c r="D1288" t="s">
        <v>22</v>
      </c>
      <c r="E1288" t="s">
        <v>21</v>
      </c>
      <c r="F1288">
        <v>0.06</v>
      </c>
      <c r="G1288">
        <v>331</v>
      </c>
      <c r="H1288" s="1">
        <v>45245</v>
      </c>
      <c r="I1288">
        <v>2023</v>
      </c>
      <c r="J1288">
        <v>11</v>
      </c>
      <c r="K1288" t="s">
        <v>36</v>
      </c>
      <c r="L1288">
        <v>0</v>
      </c>
      <c r="M1288">
        <v>1</v>
      </c>
    </row>
    <row r="1289" spans="1:13" x14ac:dyDescent="0.25">
      <c r="A1289" t="s">
        <v>1061</v>
      </c>
      <c r="B1289" t="s">
        <v>91</v>
      </c>
      <c r="C1289" t="s">
        <v>14</v>
      </c>
      <c r="D1289" t="s">
        <v>46</v>
      </c>
      <c r="E1289" t="s">
        <v>21</v>
      </c>
      <c r="F1289" t="s">
        <v>21</v>
      </c>
      <c r="G1289">
        <v>347</v>
      </c>
      <c r="H1289" s="1">
        <v>45245</v>
      </c>
      <c r="I1289">
        <v>2023</v>
      </c>
      <c r="J1289">
        <v>11</v>
      </c>
      <c r="K1289" t="s">
        <v>36</v>
      </c>
      <c r="L1289" t="s">
        <v>21</v>
      </c>
      <c r="M1289">
        <v>0</v>
      </c>
    </row>
    <row r="1290" spans="1:13" x14ac:dyDescent="0.25">
      <c r="A1290" t="s">
        <v>836</v>
      </c>
      <c r="B1290" t="s">
        <v>35</v>
      </c>
      <c r="C1290" t="s">
        <v>14</v>
      </c>
      <c r="D1290" t="s">
        <v>15</v>
      </c>
      <c r="E1290" t="s">
        <v>21</v>
      </c>
      <c r="F1290">
        <v>0.1</v>
      </c>
      <c r="G1290">
        <v>176</v>
      </c>
      <c r="H1290" s="1">
        <v>45245</v>
      </c>
      <c r="I1290">
        <v>2023</v>
      </c>
      <c r="J1290">
        <v>11</v>
      </c>
      <c r="K1290" t="s">
        <v>36</v>
      </c>
      <c r="L1290">
        <v>0</v>
      </c>
      <c r="M1290">
        <v>1</v>
      </c>
    </row>
    <row r="1291" spans="1:13" x14ac:dyDescent="0.25">
      <c r="A1291" t="s">
        <v>1062</v>
      </c>
      <c r="B1291" t="s">
        <v>35</v>
      </c>
      <c r="C1291" t="s">
        <v>14</v>
      </c>
      <c r="D1291" t="s">
        <v>22</v>
      </c>
      <c r="E1291" t="s">
        <v>21</v>
      </c>
      <c r="F1291">
        <v>1</v>
      </c>
      <c r="G1291" t="s">
        <v>21</v>
      </c>
      <c r="H1291" s="1">
        <v>45245</v>
      </c>
      <c r="I1291">
        <v>2023</v>
      </c>
      <c r="J1291">
        <v>11</v>
      </c>
      <c r="K1291" t="s">
        <v>22</v>
      </c>
      <c r="L1291">
        <v>1</v>
      </c>
      <c r="M1291">
        <v>1</v>
      </c>
    </row>
    <row r="1292" spans="1:13" x14ac:dyDescent="0.25">
      <c r="A1292" t="s">
        <v>1063</v>
      </c>
      <c r="B1292" t="s">
        <v>24</v>
      </c>
      <c r="C1292" t="s">
        <v>14</v>
      </c>
      <c r="D1292" t="s">
        <v>15</v>
      </c>
      <c r="E1292">
        <v>200</v>
      </c>
      <c r="F1292" t="s">
        <v>21</v>
      </c>
      <c r="G1292">
        <v>451</v>
      </c>
      <c r="H1292" s="1">
        <v>45244</v>
      </c>
      <c r="I1292">
        <v>2023</v>
      </c>
      <c r="J1292">
        <v>11</v>
      </c>
      <c r="K1292" t="s">
        <v>36</v>
      </c>
      <c r="L1292" t="s">
        <v>21</v>
      </c>
      <c r="M1292">
        <v>1</v>
      </c>
    </row>
    <row r="1293" spans="1:13" x14ac:dyDescent="0.25">
      <c r="A1293" t="s">
        <v>1064</v>
      </c>
      <c r="B1293" t="s">
        <v>490</v>
      </c>
      <c r="C1293" t="s">
        <v>14</v>
      </c>
      <c r="D1293" t="s">
        <v>15</v>
      </c>
      <c r="E1293">
        <v>150</v>
      </c>
      <c r="F1293" t="s">
        <v>21</v>
      </c>
      <c r="G1293">
        <v>316</v>
      </c>
      <c r="H1293" s="1">
        <v>45244</v>
      </c>
      <c r="I1293">
        <v>2023</v>
      </c>
      <c r="J1293">
        <v>11</v>
      </c>
      <c r="K1293" t="s">
        <v>36</v>
      </c>
      <c r="L1293" t="s">
        <v>21</v>
      </c>
      <c r="M1293">
        <v>1</v>
      </c>
    </row>
    <row r="1294" spans="1:13" x14ac:dyDescent="0.25">
      <c r="A1294" t="s">
        <v>1065</v>
      </c>
      <c r="B1294" t="s">
        <v>52</v>
      </c>
      <c r="C1294" t="s">
        <v>64</v>
      </c>
      <c r="D1294" t="s">
        <v>22</v>
      </c>
      <c r="E1294">
        <v>50</v>
      </c>
      <c r="F1294">
        <v>0.3</v>
      </c>
      <c r="G1294" t="s">
        <v>21</v>
      </c>
      <c r="H1294" s="1">
        <v>45244</v>
      </c>
      <c r="I1294">
        <v>2023</v>
      </c>
      <c r="J1294">
        <v>11</v>
      </c>
      <c r="K1294" t="s">
        <v>22</v>
      </c>
      <c r="L1294">
        <v>0</v>
      </c>
      <c r="M1294">
        <v>1</v>
      </c>
    </row>
    <row r="1295" spans="1:13" x14ac:dyDescent="0.25">
      <c r="A1295" t="s">
        <v>1066</v>
      </c>
      <c r="B1295" t="s">
        <v>35</v>
      </c>
      <c r="C1295" t="s">
        <v>48</v>
      </c>
      <c r="D1295" t="s">
        <v>55</v>
      </c>
      <c r="E1295" t="s">
        <v>21</v>
      </c>
      <c r="F1295" t="s">
        <v>21</v>
      </c>
      <c r="G1295">
        <v>245</v>
      </c>
      <c r="H1295" s="1">
        <v>45244</v>
      </c>
      <c r="I1295">
        <v>2023</v>
      </c>
      <c r="J1295">
        <v>11</v>
      </c>
      <c r="K1295" t="s">
        <v>36</v>
      </c>
      <c r="L1295" t="s">
        <v>21</v>
      </c>
      <c r="M1295">
        <v>0</v>
      </c>
    </row>
    <row r="1296" spans="1:13" x14ac:dyDescent="0.25">
      <c r="A1296" t="s">
        <v>1067</v>
      </c>
      <c r="B1296" t="s">
        <v>102</v>
      </c>
      <c r="C1296" t="s">
        <v>14</v>
      </c>
      <c r="D1296" t="s">
        <v>15</v>
      </c>
      <c r="E1296" t="s">
        <v>21</v>
      </c>
      <c r="F1296" t="s">
        <v>21</v>
      </c>
      <c r="G1296">
        <v>347</v>
      </c>
      <c r="H1296" s="1">
        <v>45244</v>
      </c>
      <c r="I1296">
        <v>2023</v>
      </c>
      <c r="J1296">
        <v>11</v>
      </c>
      <c r="K1296" t="s">
        <v>36</v>
      </c>
      <c r="L1296" t="s">
        <v>21</v>
      </c>
      <c r="M1296">
        <v>0</v>
      </c>
    </row>
    <row r="1297" spans="1:13" x14ac:dyDescent="0.25">
      <c r="A1297" t="s">
        <v>1068</v>
      </c>
      <c r="B1297" t="s">
        <v>28</v>
      </c>
      <c r="C1297" t="s">
        <v>14</v>
      </c>
      <c r="D1297" t="s">
        <v>20</v>
      </c>
      <c r="E1297" t="s">
        <v>21</v>
      </c>
      <c r="F1297" t="s">
        <v>21</v>
      </c>
      <c r="G1297">
        <v>128</v>
      </c>
      <c r="H1297" s="1">
        <v>45244</v>
      </c>
      <c r="I1297">
        <v>2023</v>
      </c>
      <c r="J1297">
        <v>11</v>
      </c>
      <c r="K1297" t="s">
        <v>36</v>
      </c>
      <c r="L1297" t="s">
        <v>21</v>
      </c>
      <c r="M1297">
        <v>0</v>
      </c>
    </row>
    <row r="1298" spans="1:13" x14ac:dyDescent="0.25">
      <c r="A1298" t="s">
        <v>240</v>
      </c>
      <c r="B1298" t="s">
        <v>24</v>
      </c>
      <c r="C1298" t="s">
        <v>14</v>
      </c>
      <c r="D1298" t="s">
        <v>15</v>
      </c>
      <c r="E1298">
        <v>180</v>
      </c>
      <c r="F1298" t="s">
        <v>21</v>
      </c>
      <c r="G1298">
        <v>108</v>
      </c>
      <c r="H1298" s="1">
        <v>45243</v>
      </c>
      <c r="I1298">
        <v>2023</v>
      </c>
      <c r="J1298">
        <v>11</v>
      </c>
      <c r="K1298" t="s">
        <v>36</v>
      </c>
      <c r="L1298" t="s">
        <v>21</v>
      </c>
      <c r="M1298">
        <v>1</v>
      </c>
    </row>
    <row r="1299" spans="1:13" x14ac:dyDescent="0.25">
      <c r="A1299" t="s">
        <v>335</v>
      </c>
      <c r="B1299" t="s">
        <v>73</v>
      </c>
      <c r="C1299" t="s">
        <v>14</v>
      </c>
      <c r="D1299" t="s">
        <v>15</v>
      </c>
      <c r="E1299">
        <v>125</v>
      </c>
      <c r="F1299">
        <v>0.04</v>
      </c>
      <c r="G1299">
        <v>3</v>
      </c>
      <c r="H1299" s="1">
        <v>45242</v>
      </c>
      <c r="I1299">
        <v>2023</v>
      </c>
      <c r="J1299">
        <v>11</v>
      </c>
      <c r="K1299" t="s">
        <v>16</v>
      </c>
      <c r="L1299">
        <v>0</v>
      </c>
      <c r="M1299">
        <v>1</v>
      </c>
    </row>
    <row r="1300" spans="1:13" x14ac:dyDescent="0.25">
      <c r="A1300" t="s">
        <v>592</v>
      </c>
      <c r="B1300" t="s">
        <v>95</v>
      </c>
      <c r="C1300" t="s">
        <v>14</v>
      </c>
      <c r="D1300" t="s">
        <v>22</v>
      </c>
      <c r="E1300" t="s">
        <v>21</v>
      </c>
      <c r="F1300" t="s">
        <v>21</v>
      </c>
      <c r="G1300">
        <v>626</v>
      </c>
      <c r="H1300" s="1">
        <v>45240</v>
      </c>
      <c r="I1300">
        <v>2023</v>
      </c>
      <c r="J1300">
        <v>11</v>
      </c>
      <c r="K1300" t="s">
        <v>36</v>
      </c>
      <c r="L1300" t="s">
        <v>21</v>
      </c>
      <c r="M1300">
        <v>0</v>
      </c>
    </row>
    <row r="1301" spans="1:13" x14ac:dyDescent="0.25">
      <c r="A1301" t="s">
        <v>1069</v>
      </c>
      <c r="B1301" t="s">
        <v>40</v>
      </c>
      <c r="C1301" t="s">
        <v>14</v>
      </c>
      <c r="D1301" t="s">
        <v>194</v>
      </c>
      <c r="E1301" t="s">
        <v>21</v>
      </c>
      <c r="F1301" t="s">
        <v>21</v>
      </c>
      <c r="G1301">
        <v>1100</v>
      </c>
      <c r="H1301" s="1">
        <v>45239</v>
      </c>
      <c r="I1301">
        <v>2023</v>
      </c>
      <c r="J1301">
        <v>11</v>
      </c>
      <c r="K1301" t="s">
        <v>26</v>
      </c>
      <c r="L1301" t="s">
        <v>21</v>
      </c>
      <c r="M1301">
        <v>0</v>
      </c>
    </row>
    <row r="1302" spans="1:13" x14ac:dyDescent="0.25">
      <c r="A1302" t="s">
        <v>1070</v>
      </c>
      <c r="B1302" t="s">
        <v>35</v>
      </c>
      <c r="C1302" t="s">
        <v>14</v>
      </c>
      <c r="D1302" t="s">
        <v>22</v>
      </c>
      <c r="E1302" t="s">
        <v>21</v>
      </c>
      <c r="F1302" t="s">
        <v>21</v>
      </c>
      <c r="G1302">
        <v>1900</v>
      </c>
      <c r="H1302" s="1">
        <v>45239</v>
      </c>
      <c r="I1302">
        <v>2023</v>
      </c>
      <c r="J1302">
        <v>11</v>
      </c>
      <c r="K1302" t="s">
        <v>26</v>
      </c>
      <c r="L1302" t="s">
        <v>21</v>
      </c>
      <c r="M1302">
        <v>0</v>
      </c>
    </row>
    <row r="1303" spans="1:13" x14ac:dyDescent="0.25">
      <c r="A1303" t="s">
        <v>1071</v>
      </c>
      <c r="B1303" t="s">
        <v>13</v>
      </c>
      <c r="C1303" t="s">
        <v>48</v>
      </c>
      <c r="D1303" t="s">
        <v>49</v>
      </c>
      <c r="E1303" t="s">
        <v>21</v>
      </c>
      <c r="F1303">
        <v>1</v>
      </c>
      <c r="G1303">
        <v>7</v>
      </c>
      <c r="H1303" s="1">
        <v>45239</v>
      </c>
      <c r="I1303">
        <v>2023</v>
      </c>
      <c r="J1303">
        <v>11</v>
      </c>
      <c r="K1303" t="s">
        <v>16</v>
      </c>
      <c r="L1303">
        <v>1</v>
      </c>
      <c r="M1303">
        <v>1</v>
      </c>
    </row>
    <row r="1304" spans="1:13" x14ac:dyDescent="0.25">
      <c r="A1304" t="s">
        <v>187</v>
      </c>
      <c r="B1304" t="s">
        <v>18</v>
      </c>
      <c r="C1304" t="s">
        <v>14</v>
      </c>
      <c r="D1304" t="s">
        <v>15</v>
      </c>
      <c r="E1304">
        <v>20</v>
      </c>
      <c r="F1304" t="s">
        <v>21</v>
      </c>
      <c r="G1304">
        <v>4900</v>
      </c>
      <c r="H1304" s="1">
        <v>45238</v>
      </c>
      <c r="I1304">
        <v>2023</v>
      </c>
      <c r="J1304">
        <v>11</v>
      </c>
      <c r="K1304" t="s">
        <v>26</v>
      </c>
      <c r="L1304" t="s">
        <v>21</v>
      </c>
      <c r="M1304">
        <v>1</v>
      </c>
    </row>
    <row r="1305" spans="1:13" x14ac:dyDescent="0.25">
      <c r="A1305" t="s">
        <v>240</v>
      </c>
      <c r="B1305" t="s">
        <v>24</v>
      </c>
      <c r="C1305" t="s">
        <v>14</v>
      </c>
      <c r="D1305" t="s">
        <v>15</v>
      </c>
      <c r="E1305" t="s">
        <v>21</v>
      </c>
      <c r="F1305" t="s">
        <v>21</v>
      </c>
      <c r="G1305">
        <v>108</v>
      </c>
      <c r="H1305" s="1">
        <v>45238</v>
      </c>
      <c r="I1305">
        <v>2023</v>
      </c>
      <c r="J1305">
        <v>11</v>
      </c>
      <c r="K1305" t="s">
        <v>36</v>
      </c>
      <c r="L1305" t="s">
        <v>21</v>
      </c>
      <c r="M1305">
        <v>0</v>
      </c>
    </row>
    <row r="1306" spans="1:13" x14ac:dyDescent="0.25">
      <c r="A1306" t="s">
        <v>580</v>
      </c>
      <c r="B1306" t="s">
        <v>24</v>
      </c>
      <c r="C1306" t="s">
        <v>14</v>
      </c>
      <c r="D1306" t="s">
        <v>15</v>
      </c>
      <c r="E1306" t="s">
        <v>21</v>
      </c>
      <c r="F1306">
        <v>7.0000000000000007E-2</v>
      </c>
      <c r="G1306">
        <v>224</v>
      </c>
      <c r="H1306" s="1">
        <v>45238</v>
      </c>
      <c r="I1306">
        <v>2023</v>
      </c>
      <c r="J1306">
        <v>11</v>
      </c>
      <c r="K1306" t="s">
        <v>36</v>
      </c>
      <c r="L1306">
        <v>0</v>
      </c>
      <c r="M1306">
        <v>1</v>
      </c>
    </row>
    <row r="1307" spans="1:13" x14ac:dyDescent="0.25">
      <c r="A1307" t="s">
        <v>1072</v>
      </c>
      <c r="B1307" t="s">
        <v>91</v>
      </c>
      <c r="C1307" t="s">
        <v>14</v>
      </c>
      <c r="D1307" t="s">
        <v>22</v>
      </c>
      <c r="E1307" t="s">
        <v>21</v>
      </c>
      <c r="F1307" t="s">
        <v>21</v>
      </c>
      <c r="G1307">
        <v>1300</v>
      </c>
      <c r="H1307" s="1">
        <v>45238</v>
      </c>
      <c r="I1307">
        <v>2023</v>
      </c>
      <c r="J1307">
        <v>11</v>
      </c>
      <c r="K1307" t="s">
        <v>26</v>
      </c>
      <c r="L1307" t="s">
        <v>21</v>
      </c>
      <c r="M1307">
        <v>0</v>
      </c>
    </row>
    <row r="1308" spans="1:13" x14ac:dyDescent="0.25">
      <c r="A1308" t="s">
        <v>108</v>
      </c>
      <c r="B1308" t="s">
        <v>18</v>
      </c>
      <c r="C1308" t="s">
        <v>14</v>
      </c>
      <c r="D1308" t="s">
        <v>15</v>
      </c>
      <c r="E1308" t="s">
        <v>21</v>
      </c>
      <c r="F1308" t="s">
        <v>21</v>
      </c>
      <c r="G1308">
        <v>26</v>
      </c>
      <c r="H1308" s="1">
        <v>45238</v>
      </c>
      <c r="I1308">
        <v>2023</v>
      </c>
      <c r="J1308">
        <v>11</v>
      </c>
      <c r="K1308" t="s">
        <v>30</v>
      </c>
      <c r="L1308" t="s">
        <v>21</v>
      </c>
      <c r="M1308">
        <v>0</v>
      </c>
    </row>
    <row r="1309" spans="1:13" x14ac:dyDescent="0.25">
      <c r="A1309" t="s">
        <v>1073</v>
      </c>
      <c r="B1309" t="s">
        <v>77</v>
      </c>
      <c r="C1309" t="s">
        <v>14</v>
      </c>
      <c r="D1309" t="s">
        <v>15</v>
      </c>
      <c r="E1309">
        <v>185</v>
      </c>
      <c r="F1309">
        <v>7.0000000000000007E-2</v>
      </c>
      <c r="G1309">
        <v>766</v>
      </c>
      <c r="H1309" s="1">
        <v>45237</v>
      </c>
      <c r="I1309">
        <v>2023</v>
      </c>
      <c r="J1309">
        <v>11</v>
      </c>
      <c r="K1309" t="s">
        <v>36</v>
      </c>
      <c r="L1309">
        <v>0</v>
      </c>
      <c r="M1309">
        <v>1</v>
      </c>
    </row>
    <row r="1310" spans="1:13" x14ac:dyDescent="0.25">
      <c r="A1310" t="s">
        <v>268</v>
      </c>
      <c r="B1310" t="s">
        <v>91</v>
      </c>
      <c r="C1310" t="s">
        <v>14</v>
      </c>
      <c r="D1310" t="s">
        <v>15</v>
      </c>
      <c r="E1310">
        <v>23</v>
      </c>
      <c r="F1310" t="s">
        <v>21</v>
      </c>
      <c r="G1310">
        <v>97</v>
      </c>
      <c r="H1310" s="1">
        <v>45237</v>
      </c>
      <c r="I1310">
        <v>2023</v>
      </c>
      <c r="J1310">
        <v>11</v>
      </c>
      <c r="K1310" t="s">
        <v>30</v>
      </c>
      <c r="L1310" t="s">
        <v>21</v>
      </c>
      <c r="M1310">
        <v>1</v>
      </c>
    </row>
    <row r="1311" spans="1:13" x14ac:dyDescent="0.25">
      <c r="A1311" t="s">
        <v>383</v>
      </c>
      <c r="B1311" t="s">
        <v>18</v>
      </c>
      <c r="C1311" t="s">
        <v>14</v>
      </c>
      <c r="D1311" t="s">
        <v>15</v>
      </c>
      <c r="E1311" t="s">
        <v>21</v>
      </c>
      <c r="F1311">
        <v>0.25</v>
      </c>
      <c r="G1311">
        <v>736</v>
      </c>
      <c r="H1311" s="1">
        <v>45237</v>
      </c>
      <c r="I1311">
        <v>2023</v>
      </c>
      <c r="J1311">
        <v>11</v>
      </c>
      <c r="K1311" t="s">
        <v>36</v>
      </c>
      <c r="L1311">
        <v>0</v>
      </c>
      <c r="M1311">
        <v>1</v>
      </c>
    </row>
    <row r="1312" spans="1:13" x14ac:dyDescent="0.25">
      <c r="A1312" t="s">
        <v>1074</v>
      </c>
      <c r="B1312" t="s">
        <v>91</v>
      </c>
      <c r="C1312" t="s">
        <v>14</v>
      </c>
      <c r="D1312" t="s">
        <v>46</v>
      </c>
      <c r="E1312" t="s">
        <v>21</v>
      </c>
      <c r="F1312">
        <v>1</v>
      </c>
      <c r="G1312">
        <v>151</v>
      </c>
      <c r="H1312" s="1">
        <v>45237</v>
      </c>
      <c r="I1312">
        <v>2023</v>
      </c>
      <c r="J1312">
        <v>11</v>
      </c>
      <c r="K1312" t="s">
        <v>36</v>
      </c>
      <c r="L1312">
        <v>1</v>
      </c>
      <c r="M1312">
        <v>1</v>
      </c>
    </row>
    <row r="1313" spans="1:13" x14ac:dyDescent="0.25">
      <c r="A1313" t="s">
        <v>1075</v>
      </c>
      <c r="B1313" t="s">
        <v>52</v>
      </c>
      <c r="C1313" t="s">
        <v>14</v>
      </c>
      <c r="D1313" t="s">
        <v>22</v>
      </c>
      <c r="E1313" t="s">
        <v>21</v>
      </c>
      <c r="F1313">
        <v>0.12</v>
      </c>
      <c r="G1313">
        <v>640</v>
      </c>
      <c r="H1313" s="1">
        <v>45236</v>
      </c>
      <c r="I1313">
        <v>2023</v>
      </c>
      <c r="J1313">
        <v>11</v>
      </c>
      <c r="K1313" t="s">
        <v>36</v>
      </c>
      <c r="L1313">
        <v>0</v>
      </c>
      <c r="M1313">
        <v>1</v>
      </c>
    </row>
    <row r="1314" spans="1:13" x14ac:dyDescent="0.25">
      <c r="A1314" t="s">
        <v>799</v>
      </c>
      <c r="B1314" t="s">
        <v>91</v>
      </c>
      <c r="C1314" t="s">
        <v>14</v>
      </c>
      <c r="D1314" t="s">
        <v>33</v>
      </c>
      <c r="E1314" t="s">
        <v>21</v>
      </c>
      <c r="F1314" t="s">
        <v>21</v>
      </c>
      <c r="G1314">
        <v>35</v>
      </c>
      <c r="H1314" s="1">
        <v>45236</v>
      </c>
      <c r="I1314">
        <v>2023</v>
      </c>
      <c r="J1314">
        <v>11</v>
      </c>
      <c r="K1314" t="s">
        <v>30</v>
      </c>
      <c r="L1314" t="s">
        <v>21</v>
      </c>
      <c r="M1314">
        <v>0</v>
      </c>
    </row>
    <row r="1315" spans="1:13" x14ac:dyDescent="0.25">
      <c r="A1315" t="s">
        <v>1076</v>
      </c>
      <c r="B1315" t="s">
        <v>70</v>
      </c>
      <c r="C1315" t="s">
        <v>657</v>
      </c>
      <c r="D1315" t="s">
        <v>33</v>
      </c>
      <c r="E1315" t="s">
        <v>21</v>
      </c>
      <c r="F1315" t="s">
        <v>21</v>
      </c>
      <c r="G1315" t="s">
        <v>21</v>
      </c>
      <c r="H1315" s="1">
        <v>45236</v>
      </c>
      <c r="I1315">
        <v>2023</v>
      </c>
      <c r="J1315">
        <v>11</v>
      </c>
      <c r="K1315" t="s">
        <v>22</v>
      </c>
      <c r="L1315" t="s">
        <v>21</v>
      </c>
      <c r="M1315">
        <v>0</v>
      </c>
    </row>
    <row r="1316" spans="1:13" x14ac:dyDescent="0.25">
      <c r="A1316" t="s">
        <v>1077</v>
      </c>
      <c r="B1316" t="s">
        <v>13</v>
      </c>
      <c r="C1316" t="s">
        <v>14</v>
      </c>
      <c r="D1316" t="s">
        <v>20</v>
      </c>
      <c r="E1316" t="s">
        <v>21</v>
      </c>
      <c r="F1316" t="s">
        <v>21</v>
      </c>
      <c r="G1316">
        <v>62</v>
      </c>
      <c r="H1316" s="1">
        <v>45236</v>
      </c>
      <c r="I1316">
        <v>2023</v>
      </c>
      <c r="J1316">
        <v>11</v>
      </c>
      <c r="K1316" t="s">
        <v>30</v>
      </c>
      <c r="L1316" t="s">
        <v>21</v>
      </c>
      <c r="M1316">
        <v>0</v>
      </c>
    </row>
    <row r="1317" spans="1:13" x14ac:dyDescent="0.25">
      <c r="A1317" t="s">
        <v>377</v>
      </c>
      <c r="B1317" t="s">
        <v>28</v>
      </c>
      <c r="C1317" t="s">
        <v>14</v>
      </c>
      <c r="D1317" t="s">
        <v>15</v>
      </c>
      <c r="E1317">
        <v>120</v>
      </c>
      <c r="F1317">
        <v>0.02</v>
      </c>
      <c r="G1317" t="s">
        <v>21</v>
      </c>
      <c r="H1317" s="1">
        <v>45233</v>
      </c>
      <c r="I1317">
        <v>2023</v>
      </c>
      <c r="J1317">
        <v>11</v>
      </c>
      <c r="K1317" t="s">
        <v>22</v>
      </c>
      <c r="L1317">
        <v>0</v>
      </c>
      <c r="M1317">
        <v>1</v>
      </c>
    </row>
    <row r="1318" spans="1:13" x14ac:dyDescent="0.25">
      <c r="A1318" t="s">
        <v>1078</v>
      </c>
      <c r="B1318" t="s">
        <v>66</v>
      </c>
      <c r="C1318" t="s">
        <v>657</v>
      </c>
      <c r="D1318" t="s">
        <v>15</v>
      </c>
      <c r="E1318" t="s">
        <v>21</v>
      </c>
      <c r="F1318">
        <v>0.1</v>
      </c>
      <c r="G1318">
        <v>7200</v>
      </c>
      <c r="H1318" s="1">
        <v>45233</v>
      </c>
      <c r="I1318">
        <v>2023</v>
      </c>
      <c r="J1318">
        <v>11</v>
      </c>
      <c r="K1318" t="s">
        <v>26</v>
      </c>
      <c r="L1318">
        <v>0</v>
      </c>
      <c r="M1318">
        <v>1</v>
      </c>
    </row>
    <row r="1319" spans="1:13" x14ac:dyDescent="0.25">
      <c r="A1319" t="s">
        <v>1079</v>
      </c>
      <c r="B1319" t="s">
        <v>52</v>
      </c>
      <c r="C1319" t="s">
        <v>14</v>
      </c>
      <c r="D1319" t="s">
        <v>46</v>
      </c>
      <c r="E1319" t="s">
        <v>21</v>
      </c>
      <c r="F1319">
        <v>0.5</v>
      </c>
      <c r="G1319">
        <v>427</v>
      </c>
      <c r="H1319" s="1">
        <v>45233</v>
      </c>
      <c r="I1319">
        <v>2023</v>
      </c>
      <c r="J1319">
        <v>11</v>
      </c>
      <c r="K1319" t="s">
        <v>36</v>
      </c>
      <c r="L1319">
        <v>0</v>
      </c>
      <c r="M1319">
        <v>1</v>
      </c>
    </row>
    <row r="1320" spans="1:13" x14ac:dyDescent="0.25">
      <c r="A1320" t="s">
        <v>1080</v>
      </c>
      <c r="B1320" t="s">
        <v>13</v>
      </c>
      <c r="C1320" t="s">
        <v>14</v>
      </c>
      <c r="D1320" t="s">
        <v>15</v>
      </c>
      <c r="E1320">
        <v>800</v>
      </c>
      <c r="F1320">
        <v>0.1</v>
      </c>
      <c r="G1320">
        <v>366</v>
      </c>
      <c r="H1320" s="1">
        <v>45232</v>
      </c>
      <c r="I1320">
        <v>2023</v>
      </c>
      <c r="J1320">
        <v>11</v>
      </c>
      <c r="K1320" t="s">
        <v>36</v>
      </c>
      <c r="L1320">
        <v>0</v>
      </c>
      <c r="M1320">
        <v>1</v>
      </c>
    </row>
    <row r="1321" spans="1:13" x14ac:dyDescent="0.25">
      <c r="A1321" t="s">
        <v>1081</v>
      </c>
      <c r="B1321" t="s">
        <v>95</v>
      </c>
      <c r="C1321" t="s">
        <v>14</v>
      </c>
      <c r="D1321" t="s">
        <v>15</v>
      </c>
      <c r="E1321">
        <v>65</v>
      </c>
      <c r="F1321">
        <v>0.08</v>
      </c>
      <c r="G1321">
        <v>122</v>
      </c>
      <c r="H1321" s="1">
        <v>45232</v>
      </c>
      <c r="I1321">
        <v>2023</v>
      </c>
      <c r="J1321">
        <v>11</v>
      </c>
      <c r="K1321" t="s">
        <v>36</v>
      </c>
      <c r="L1321">
        <v>0</v>
      </c>
      <c r="M1321">
        <v>1</v>
      </c>
    </row>
    <row r="1322" spans="1:13" x14ac:dyDescent="0.25">
      <c r="A1322" t="s">
        <v>1082</v>
      </c>
      <c r="B1322" t="s">
        <v>533</v>
      </c>
      <c r="C1322" t="s">
        <v>14</v>
      </c>
      <c r="D1322" t="s">
        <v>55</v>
      </c>
      <c r="E1322" t="s">
        <v>21</v>
      </c>
      <c r="F1322" t="s">
        <v>21</v>
      </c>
      <c r="G1322">
        <v>200</v>
      </c>
      <c r="H1322" s="1">
        <v>45232</v>
      </c>
      <c r="I1322">
        <v>2023</v>
      </c>
      <c r="J1322">
        <v>11</v>
      </c>
      <c r="K1322" t="s">
        <v>36</v>
      </c>
      <c r="L1322" t="s">
        <v>21</v>
      </c>
      <c r="M1322">
        <v>0</v>
      </c>
    </row>
    <row r="1323" spans="1:13" x14ac:dyDescent="0.25">
      <c r="A1323" t="s">
        <v>1083</v>
      </c>
      <c r="B1323" t="s">
        <v>91</v>
      </c>
      <c r="C1323" t="s">
        <v>14</v>
      </c>
      <c r="D1323" t="s">
        <v>55</v>
      </c>
      <c r="E1323" t="s">
        <v>21</v>
      </c>
      <c r="F1323" t="s">
        <v>21</v>
      </c>
      <c r="G1323">
        <v>472</v>
      </c>
      <c r="H1323" s="1">
        <v>45232</v>
      </c>
      <c r="I1323">
        <v>2023</v>
      </c>
      <c r="J1323">
        <v>11</v>
      </c>
      <c r="K1323" t="s">
        <v>36</v>
      </c>
      <c r="L1323" t="s">
        <v>21</v>
      </c>
      <c r="M1323">
        <v>0</v>
      </c>
    </row>
    <row r="1324" spans="1:13" x14ac:dyDescent="0.25">
      <c r="A1324" t="s">
        <v>1084</v>
      </c>
      <c r="B1324" t="s">
        <v>38</v>
      </c>
      <c r="C1324" t="s">
        <v>62</v>
      </c>
      <c r="D1324" t="s">
        <v>15</v>
      </c>
      <c r="E1324" t="s">
        <v>21</v>
      </c>
      <c r="F1324">
        <v>0.1</v>
      </c>
      <c r="G1324">
        <v>84</v>
      </c>
      <c r="H1324" s="1">
        <v>45232</v>
      </c>
      <c r="I1324">
        <v>2023</v>
      </c>
      <c r="J1324">
        <v>11</v>
      </c>
      <c r="K1324" t="s">
        <v>30</v>
      </c>
      <c r="L1324">
        <v>0</v>
      </c>
      <c r="M1324">
        <v>1</v>
      </c>
    </row>
    <row r="1325" spans="1:13" x14ac:dyDescent="0.25">
      <c r="A1325" t="s">
        <v>287</v>
      </c>
      <c r="B1325" t="s">
        <v>38</v>
      </c>
      <c r="C1325" t="s">
        <v>14</v>
      </c>
      <c r="D1325" t="s">
        <v>15</v>
      </c>
      <c r="E1325">
        <v>545</v>
      </c>
      <c r="F1325">
        <v>0.1</v>
      </c>
      <c r="G1325" t="s">
        <v>21</v>
      </c>
      <c r="H1325" s="1">
        <v>45231</v>
      </c>
      <c r="I1325">
        <v>2023</v>
      </c>
      <c r="J1325">
        <v>11</v>
      </c>
      <c r="K1325" t="s">
        <v>22</v>
      </c>
      <c r="L1325">
        <v>0</v>
      </c>
      <c r="M1325">
        <v>1</v>
      </c>
    </row>
    <row r="1326" spans="1:13" x14ac:dyDescent="0.25">
      <c r="A1326" t="s">
        <v>1085</v>
      </c>
      <c r="B1326" t="s">
        <v>38</v>
      </c>
      <c r="C1326" t="s">
        <v>14</v>
      </c>
      <c r="D1326" t="s">
        <v>15</v>
      </c>
      <c r="E1326">
        <v>500</v>
      </c>
      <c r="F1326">
        <v>7.0000000000000007E-2</v>
      </c>
      <c r="G1326">
        <v>2400</v>
      </c>
      <c r="H1326" s="1">
        <v>45231</v>
      </c>
      <c r="I1326">
        <v>2023</v>
      </c>
      <c r="J1326">
        <v>11</v>
      </c>
      <c r="K1326" t="s">
        <v>26</v>
      </c>
      <c r="L1326">
        <v>0</v>
      </c>
      <c r="M1326">
        <v>1</v>
      </c>
    </row>
    <row r="1327" spans="1:13" x14ac:dyDescent="0.25">
      <c r="A1327" t="s">
        <v>1086</v>
      </c>
      <c r="B1327" t="s">
        <v>24</v>
      </c>
      <c r="C1327" t="s">
        <v>14</v>
      </c>
      <c r="D1327" t="s">
        <v>194</v>
      </c>
      <c r="E1327">
        <v>250</v>
      </c>
      <c r="F1327">
        <v>0.2</v>
      </c>
      <c r="G1327">
        <v>1700</v>
      </c>
      <c r="H1327" s="1">
        <v>45231</v>
      </c>
      <c r="I1327">
        <v>2023</v>
      </c>
      <c r="J1327">
        <v>11</v>
      </c>
      <c r="K1327" t="s">
        <v>26</v>
      </c>
      <c r="L1327">
        <v>0</v>
      </c>
      <c r="M1327">
        <v>1</v>
      </c>
    </row>
    <row r="1328" spans="1:13" x14ac:dyDescent="0.25">
      <c r="A1328" t="s">
        <v>1087</v>
      </c>
      <c r="B1328" t="s">
        <v>40</v>
      </c>
      <c r="C1328" t="s">
        <v>14</v>
      </c>
      <c r="D1328" t="s">
        <v>33</v>
      </c>
      <c r="E1328">
        <v>73</v>
      </c>
      <c r="F1328">
        <v>0.5</v>
      </c>
      <c r="G1328">
        <v>106</v>
      </c>
      <c r="H1328" s="1">
        <v>45231</v>
      </c>
      <c r="I1328">
        <v>2023</v>
      </c>
      <c r="J1328">
        <v>11</v>
      </c>
      <c r="K1328" t="s">
        <v>36</v>
      </c>
      <c r="L1328">
        <v>0</v>
      </c>
      <c r="M1328">
        <v>1</v>
      </c>
    </row>
    <row r="1329" spans="1:13" x14ac:dyDescent="0.25">
      <c r="A1329" t="s">
        <v>1088</v>
      </c>
      <c r="B1329" t="s">
        <v>35</v>
      </c>
      <c r="C1329" t="s">
        <v>14</v>
      </c>
      <c r="D1329" t="s">
        <v>347</v>
      </c>
      <c r="E1329" t="s">
        <v>21</v>
      </c>
      <c r="F1329">
        <v>1</v>
      </c>
      <c r="G1329">
        <v>856</v>
      </c>
      <c r="H1329" s="1">
        <v>45230</v>
      </c>
      <c r="I1329">
        <v>2023</v>
      </c>
      <c r="J1329">
        <v>10</v>
      </c>
      <c r="K1329" t="s">
        <v>36</v>
      </c>
      <c r="L1329">
        <v>1</v>
      </c>
      <c r="M1329">
        <v>1</v>
      </c>
    </row>
    <row r="1330" spans="1:13" x14ac:dyDescent="0.25">
      <c r="A1330" t="s">
        <v>1089</v>
      </c>
      <c r="B1330" t="s">
        <v>45</v>
      </c>
      <c r="C1330" t="s">
        <v>83</v>
      </c>
      <c r="D1330" t="s">
        <v>20</v>
      </c>
      <c r="E1330">
        <v>215</v>
      </c>
      <c r="F1330">
        <v>0.05</v>
      </c>
      <c r="G1330" t="s">
        <v>21</v>
      </c>
      <c r="H1330" s="1">
        <v>45229</v>
      </c>
      <c r="I1330">
        <v>2023</v>
      </c>
      <c r="J1330">
        <v>10</v>
      </c>
      <c r="K1330" t="s">
        <v>22</v>
      </c>
      <c r="L1330">
        <v>0</v>
      </c>
      <c r="M1330">
        <v>1</v>
      </c>
    </row>
    <row r="1331" spans="1:13" x14ac:dyDescent="0.25">
      <c r="A1331" t="s">
        <v>50</v>
      </c>
      <c r="B1331" t="s">
        <v>18</v>
      </c>
      <c r="C1331" t="s">
        <v>14</v>
      </c>
      <c r="D1331" t="s">
        <v>20</v>
      </c>
      <c r="E1331">
        <v>100</v>
      </c>
      <c r="F1331">
        <v>0.08</v>
      </c>
      <c r="G1331">
        <v>100</v>
      </c>
      <c r="H1331" s="1">
        <v>45229</v>
      </c>
      <c r="I1331">
        <v>2023</v>
      </c>
      <c r="J1331">
        <v>10</v>
      </c>
      <c r="K1331" t="s">
        <v>36</v>
      </c>
      <c r="L1331">
        <v>0</v>
      </c>
      <c r="M1331">
        <v>1</v>
      </c>
    </row>
    <row r="1332" spans="1:13" x14ac:dyDescent="0.25">
      <c r="A1332" t="s">
        <v>1090</v>
      </c>
      <c r="B1332" t="s">
        <v>13</v>
      </c>
      <c r="C1332" t="s">
        <v>14</v>
      </c>
      <c r="D1332" t="s">
        <v>33</v>
      </c>
      <c r="E1332">
        <v>50</v>
      </c>
      <c r="F1332" t="s">
        <v>21</v>
      </c>
      <c r="G1332">
        <v>153</v>
      </c>
      <c r="H1332" s="1">
        <v>45229</v>
      </c>
      <c r="I1332">
        <v>2023</v>
      </c>
      <c r="J1332">
        <v>10</v>
      </c>
      <c r="K1332" t="s">
        <v>36</v>
      </c>
      <c r="L1332" t="s">
        <v>21</v>
      </c>
      <c r="M1332">
        <v>1</v>
      </c>
    </row>
    <row r="1333" spans="1:13" x14ac:dyDescent="0.25">
      <c r="A1333" t="s">
        <v>1091</v>
      </c>
      <c r="B1333" t="s">
        <v>77</v>
      </c>
      <c r="C1333" t="s">
        <v>14</v>
      </c>
      <c r="D1333" t="s">
        <v>33</v>
      </c>
      <c r="E1333" t="s">
        <v>21</v>
      </c>
      <c r="F1333" t="s">
        <v>21</v>
      </c>
      <c r="G1333">
        <v>116</v>
      </c>
      <c r="H1333" s="1">
        <v>45226</v>
      </c>
      <c r="I1333">
        <v>2023</v>
      </c>
      <c r="J1333">
        <v>10</v>
      </c>
      <c r="K1333" t="s">
        <v>36</v>
      </c>
      <c r="L1333" t="s">
        <v>21</v>
      </c>
      <c r="M1333">
        <v>0</v>
      </c>
    </row>
    <row r="1334" spans="1:13" x14ac:dyDescent="0.25">
      <c r="A1334" t="s">
        <v>1092</v>
      </c>
      <c r="B1334" t="s">
        <v>77</v>
      </c>
      <c r="C1334" t="s">
        <v>14</v>
      </c>
      <c r="D1334" t="s">
        <v>15</v>
      </c>
      <c r="E1334">
        <v>120</v>
      </c>
      <c r="F1334">
        <v>0.2</v>
      </c>
      <c r="G1334">
        <v>1300</v>
      </c>
      <c r="H1334" s="1">
        <v>45225</v>
      </c>
      <c r="I1334">
        <v>2023</v>
      </c>
      <c r="J1334">
        <v>10</v>
      </c>
      <c r="K1334" t="s">
        <v>26</v>
      </c>
      <c r="L1334">
        <v>0</v>
      </c>
      <c r="M1334">
        <v>1</v>
      </c>
    </row>
    <row r="1335" spans="1:13" x14ac:dyDescent="0.25">
      <c r="A1335" t="s">
        <v>1093</v>
      </c>
      <c r="B1335" t="s">
        <v>106</v>
      </c>
      <c r="C1335" t="s">
        <v>48</v>
      </c>
      <c r="D1335" t="s">
        <v>97</v>
      </c>
      <c r="E1335">
        <v>50</v>
      </c>
      <c r="F1335">
        <v>0.2</v>
      </c>
      <c r="G1335" t="s">
        <v>21</v>
      </c>
      <c r="H1335" s="1">
        <v>45225</v>
      </c>
      <c r="I1335">
        <v>2023</v>
      </c>
      <c r="J1335">
        <v>10</v>
      </c>
      <c r="K1335" t="s">
        <v>22</v>
      </c>
      <c r="L1335">
        <v>0</v>
      </c>
      <c r="M1335">
        <v>1</v>
      </c>
    </row>
    <row r="1336" spans="1:13" x14ac:dyDescent="0.25">
      <c r="A1336" t="s">
        <v>1094</v>
      </c>
      <c r="B1336" t="s">
        <v>24</v>
      </c>
      <c r="C1336" t="s">
        <v>14</v>
      </c>
      <c r="D1336" t="s">
        <v>22</v>
      </c>
      <c r="E1336">
        <v>110</v>
      </c>
      <c r="F1336" t="s">
        <v>21</v>
      </c>
      <c r="G1336">
        <v>453</v>
      </c>
      <c r="H1336" s="1">
        <v>45224</v>
      </c>
      <c r="I1336">
        <v>2023</v>
      </c>
      <c r="J1336">
        <v>10</v>
      </c>
      <c r="K1336" t="s">
        <v>36</v>
      </c>
      <c r="L1336" t="s">
        <v>21</v>
      </c>
      <c r="M1336">
        <v>1</v>
      </c>
    </row>
    <row r="1337" spans="1:13" x14ac:dyDescent="0.25">
      <c r="A1337" t="s">
        <v>1095</v>
      </c>
      <c r="B1337" t="s">
        <v>28</v>
      </c>
      <c r="C1337" t="s">
        <v>901</v>
      </c>
      <c r="D1337" t="s">
        <v>15</v>
      </c>
      <c r="E1337">
        <v>70</v>
      </c>
      <c r="F1337" t="s">
        <v>21</v>
      </c>
      <c r="G1337" t="s">
        <v>21</v>
      </c>
      <c r="H1337" s="1">
        <v>45224</v>
      </c>
      <c r="I1337">
        <v>2023</v>
      </c>
      <c r="J1337">
        <v>10</v>
      </c>
      <c r="K1337" t="s">
        <v>22</v>
      </c>
      <c r="L1337" t="s">
        <v>21</v>
      </c>
      <c r="M1337">
        <v>1</v>
      </c>
    </row>
    <row r="1338" spans="1:13" x14ac:dyDescent="0.25">
      <c r="A1338" t="s">
        <v>1096</v>
      </c>
      <c r="B1338" t="s">
        <v>24</v>
      </c>
      <c r="C1338" t="s">
        <v>48</v>
      </c>
      <c r="D1338" t="s">
        <v>68</v>
      </c>
      <c r="E1338">
        <v>20</v>
      </c>
      <c r="F1338">
        <v>0.33</v>
      </c>
      <c r="G1338" t="s">
        <v>21</v>
      </c>
      <c r="H1338" s="1">
        <v>45224</v>
      </c>
      <c r="I1338">
        <v>2023</v>
      </c>
      <c r="J1338">
        <v>10</v>
      </c>
      <c r="K1338" t="s">
        <v>22</v>
      </c>
      <c r="L1338">
        <v>0</v>
      </c>
      <c r="M1338">
        <v>1</v>
      </c>
    </row>
    <row r="1339" spans="1:13" x14ac:dyDescent="0.25">
      <c r="A1339" t="s">
        <v>1097</v>
      </c>
      <c r="B1339" t="s">
        <v>28</v>
      </c>
      <c r="C1339" t="s">
        <v>14</v>
      </c>
      <c r="D1339" t="s">
        <v>43</v>
      </c>
      <c r="E1339" t="s">
        <v>21</v>
      </c>
      <c r="F1339">
        <v>0.2</v>
      </c>
      <c r="G1339">
        <v>391</v>
      </c>
      <c r="H1339" s="1">
        <v>45224</v>
      </c>
      <c r="I1339">
        <v>2023</v>
      </c>
      <c r="J1339">
        <v>10</v>
      </c>
      <c r="K1339" t="s">
        <v>36</v>
      </c>
      <c r="L1339">
        <v>0</v>
      </c>
      <c r="M1339">
        <v>1</v>
      </c>
    </row>
    <row r="1340" spans="1:13" x14ac:dyDescent="0.25">
      <c r="A1340" t="s">
        <v>299</v>
      </c>
      <c r="B1340" t="s">
        <v>106</v>
      </c>
      <c r="C1340" t="s">
        <v>80</v>
      </c>
      <c r="D1340" t="s">
        <v>55</v>
      </c>
      <c r="E1340" t="s">
        <v>21</v>
      </c>
      <c r="F1340" t="s">
        <v>21</v>
      </c>
      <c r="G1340">
        <v>414</v>
      </c>
      <c r="H1340" s="1">
        <v>45224</v>
      </c>
      <c r="I1340">
        <v>2023</v>
      </c>
      <c r="J1340">
        <v>10</v>
      </c>
      <c r="K1340" t="s">
        <v>36</v>
      </c>
      <c r="L1340" t="s">
        <v>21</v>
      </c>
      <c r="M1340">
        <v>0</v>
      </c>
    </row>
    <row r="1341" spans="1:13" x14ac:dyDescent="0.25">
      <c r="A1341" t="s">
        <v>1098</v>
      </c>
      <c r="B1341" t="s">
        <v>117</v>
      </c>
      <c r="C1341" t="s">
        <v>14</v>
      </c>
      <c r="D1341" t="s">
        <v>33</v>
      </c>
      <c r="E1341" t="s">
        <v>21</v>
      </c>
      <c r="F1341">
        <v>1</v>
      </c>
      <c r="G1341">
        <v>76</v>
      </c>
      <c r="H1341" s="1">
        <v>45224</v>
      </c>
      <c r="I1341">
        <v>2023</v>
      </c>
      <c r="J1341">
        <v>10</v>
      </c>
      <c r="K1341" t="s">
        <v>30</v>
      </c>
      <c r="L1341">
        <v>1</v>
      </c>
      <c r="M1341">
        <v>1</v>
      </c>
    </row>
    <row r="1342" spans="1:13" x14ac:dyDescent="0.25">
      <c r="A1342" t="s">
        <v>1099</v>
      </c>
      <c r="B1342" t="s">
        <v>70</v>
      </c>
      <c r="C1342" t="s">
        <v>14</v>
      </c>
      <c r="D1342" t="s">
        <v>43</v>
      </c>
      <c r="E1342">
        <v>130</v>
      </c>
      <c r="F1342">
        <v>0.2</v>
      </c>
      <c r="G1342">
        <v>365</v>
      </c>
      <c r="H1342" s="1">
        <v>45223</v>
      </c>
      <c r="I1342">
        <v>2023</v>
      </c>
      <c r="J1342">
        <v>10</v>
      </c>
      <c r="K1342" t="s">
        <v>36</v>
      </c>
      <c r="L1342">
        <v>0</v>
      </c>
      <c r="M1342">
        <v>1</v>
      </c>
    </row>
    <row r="1343" spans="1:13" x14ac:dyDescent="0.25">
      <c r="A1343" t="s">
        <v>1100</v>
      </c>
      <c r="B1343" t="s">
        <v>18</v>
      </c>
      <c r="C1343" t="s">
        <v>14</v>
      </c>
      <c r="D1343" t="s">
        <v>49</v>
      </c>
      <c r="E1343" t="s">
        <v>21</v>
      </c>
      <c r="F1343">
        <v>1</v>
      </c>
      <c r="G1343">
        <v>1</v>
      </c>
      <c r="H1343" s="1">
        <v>45223</v>
      </c>
      <c r="I1343">
        <v>2023</v>
      </c>
      <c r="J1343">
        <v>10</v>
      </c>
      <c r="K1343" t="s">
        <v>16</v>
      </c>
      <c r="L1343">
        <v>1</v>
      </c>
      <c r="M1343">
        <v>1</v>
      </c>
    </row>
    <row r="1344" spans="1:13" x14ac:dyDescent="0.25">
      <c r="A1344" t="s">
        <v>1101</v>
      </c>
      <c r="B1344" t="s">
        <v>24</v>
      </c>
      <c r="C1344" t="s">
        <v>14</v>
      </c>
      <c r="D1344" t="s">
        <v>20</v>
      </c>
      <c r="E1344" t="s">
        <v>21</v>
      </c>
      <c r="F1344">
        <v>0.03</v>
      </c>
      <c r="G1344">
        <v>65</v>
      </c>
      <c r="H1344" s="1">
        <v>45223</v>
      </c>
      <c r="I1344">
        <v>2023</v>
      </c>
      <c r="J1344">
        <v>10</v>
      </c>
      <c r="K1344" t="s">
        <v>30</v>
      </c>
      <c r="L1344">
        <v>0</v>
      </c>
      <c r="M1344">
        <v>1</v>
      </c>
    </row>
    <row r="1345" spans="1:13" x14ac:dyDescent="0.25">
      <c r="A1345" t="s">
        <v>1102</v>
      </c>
      <c r="B1345" t="s">
        <v>52</v>
      </c>
      <c r="C1345" t="s">
        <v>80</v>
      </c>
      <c r="D1345" t="s">
        <v>22</v>
      </c>
      <c r="E1345">
        <v>100</v>
      </c>
      <c r="F1345">
        <v>0.3</v>
      </c>
      <c r="G1345" t="s">
        <v>21</v>
      </c>
      <c r="H1345" s="1">
        <v>45222</v>
      </c>
      <c r="I1345">
        <v>2023</v>
      </c>
      <c r="J1345">
        <v>10</v>
      </c>
      <c r="K1345" t="s">
        <v>22</v>
      </c>
      <c r="L1345">
        <v>0</v>
      </c>
      <c r="M1345">
        <v>1</v>
      </c>
    </row>
    <row r="1346" spans="1:13" x14ac:dyDescent="0.25">
      <c r="A1346" t="s">
        <v>1103</v>
      </c>
      <c r="B1346" t="s">
        <v>18</v>
      </c>
      <c r="C1346" t="s">
        <v>657</v>
      </c>
      <c r="D1346" t="s">
        <v>97</v>
      </c>
      <c r="E1346">
        <v>15</v>
      </c>
      <c r="F1346" t="s">
        <v>21</v>
      </c>
      <c r="G1346" t="s">
        <v>21</v>
      </c>
      <c r="H1346" s="1">
        <v>45222</v>
      </c>
      <c r="I1346">
        <v>2023</v>
      </c>
      <c r="J1346">
        <v>10</v>
      </c>
      <c r="K1346" t="s">
        <v>22</v>
      </c>
      <c r="L1346" t="s">
        <v>21</v>
      </c>
      <c r="M1346">
        <v>1</v>
      </c>
    </row>
    <row r="1347" spans="1:13" x14ac:dyDescent="0.25">
      <c r="A1347" t="s">
        <v>910</v>
      </c>
      <c r="B1347" t="s">
        <v>35</v>
      </c>
      <c r="C1347" t="s">
        <v>14</v>
      </c>
      <c r="D1347" t="s">
        <v>22</v>
      </c>
      <c r="E1347">
        <v>119</v>
      </c>
      <c r="F1347">
        <v>0.17</v>
      </c>
      <c r="G1347">
        <v>218</v>
      </c>
      <c r="H1347" s="1">
        <v>45219</v>
      </c>
      <c r="I1347">
        <v>2023</v>
      </c>
      <c r="J1347">
        <v>10</v>
      </c>
      <c r="K1347" t="s">
        <v>36</v>
      </c>
      <c r="L1347">
        <v>0</v>
      </c>
      <c r="M1347">
        <v>1</v>
      </c>
    </row>
    <row r="1348" spans="1:13" x14ac:dyDescent="0.25">
      <c r="A1348" t="s">
        <v>749</v>
      </c>
      <c r="B1348" t="s">
        <v>77</v>
      </c>
      <c r="C1348" t="s">
        <v>14</v>
      </c>
      <c r="D1348" t="s">
        <v>33</v>
      </c>
      <c r="E1348">
        <v>26</v>
      </c>
      <c r="F1348" t="s">
        <v>21</v>
      </c>
      <c r="G1348">
        <v>67</v>
      </c>
      <c r="H1348" s="1">
        <v>45219</v>
      </c>
      <c r="I1348">
        <v>2023</v>
      </c>
      <c r="J1348">
        <v>10</v>
      </c>
      <c r="K1348" t="s">
        <v>30</v>
      </c>
      <c r="L1348" t="s">
        <v>21</v>
      </c>
      <c r="M1348">
        <v>1</v>
      </c>
    </row>
    <row r="1349" spans="1:13" x14ac:dyDescent="0.25">
      <c r="A1349" t="s">
        <v>910</v>
      </c>
      <c r="B1349" t="s">
        <v>35</v>
      </c>
      <c r="C1349" t="s">
        <v>14</v>
      </c>
      <c r="D1349" t="s">
        <v>22</v>
      </c>
      <c r="E1349" t="s">
        <v>21</v>
      </c>
      <c r="F1349">
        <v>0.25</v>
      </c>
      <c r="G1349">
        <v>218</v>
      </c>
      <c r="H1349" s="1">
        <v>45219</v>
      </c>
      <c r="I1349">
        <v>2023</v>
      </c>
      <c r="J1349">
        <v>10</v>
      </c>
      <c r="K1349" t="s">
        <v>36</v>
      </c>
      <c r="L1349">
        <v>0</v>
      </c>
      <c r="M1349">
        <v>1</v>
      </c>
    </row>
    <row r="1350" spans="1:13" x14ac:dyDescent="0.25">
      <c r="A1350" t="s">
        <v>1104</v>
      </c>
      <c r="B1350" t="s">
        <v>117</v>
      </c>
      <c r="C1350" t="s">
        <v>14</v>
      </c>
      <c r="D1350" t="s">
        <v>111</v>
      </c>
      <c r="E1350">
        <v>500</v>
      </c>
      <c r="F1350">
        <v>1</v>
      </c>
      <c r="G1350">
        <v>1100</v>
      </c>
      <c r="H1350" s="1">
        <v>45218</v>
      </c>
      <c r="I1350">
        <v>2023</v>
      </c>
      <c r="J1350">
        <v>10</v>
      </c>
      <c r="K1350" t="s">
        <v>26</v>
      </c>
      <c r="L1350">
        <v>1</v>
      </c>
      <c r="M1350">
        <v>1</v>
      </c>
    </row>
    <row r="1351" spans="1:13" x14ac:dyDescent="0.25">
      <c r="A1351" t="s">
        <v>1105</v>
      </c>
      <c r="B1351" t="s">
        <v>99</v>
      </c>
      <c r="C1351" t="s">
        <v>14</v>
      </c>
      <c r="D1351" t="s">
        <v>20</v>
      </c>
      <c r="E1351">
        <v>140</v>
      </c>
      <c r="F1351">
        <v>0.09</v>
      </c>
      <c r="G1351">
        <v>32</v>
      </c>
      <c r="H1351" s="1">
        <v>45218</v>
      </c>
      <c r="I1351">
        <v>2023</v>
      </c>
      <c r="J1351">
        <v>10</v>
      </c>
      <c r="K1351" t="s">
        <v>30</v>
      </c>
      <c r="L1351">
        <v>0</v>
      </c>
      <c r="M1351">
        <v>1</v>
      </c>
    </row>
    <row r="1352" spans="1:13" x14ac:dyDescent="0.25">
      <c r="A1352" t="s">
        <v>685</v>
      </c>
      <c r="B1352" t="s">
        <v>342</v>
      </c>
      <c r="C1352" t="s">
        <v>14</v>
      </c>
      <c r="D1352" t="s">
        <v>15</v>
      </c>
      <c r="E1352">
        <v>100</v>
      </c>
      <c r="F1352" t="s">
        <v>21</v>
      </c>
      <c r="G1352">
        <v>951</v>
      </c>
      <c r="H1352" s="1">
        <v>45218</v>
      </c>
      <c r="I1352">
        <v>2023</v>
      </c>
      <c r="J1352">
        <v>10</v>
      </c>
      <c r="K1352" t="s">
        <v>36</v>
      </c>
      <c r="L1352" t="s">
        <v>21</v>
      </c>
      <c r="M1352">
        <v>1</v>
      </c>
    </row>
    <row r="1353" spans="1:13" x14ac:dyDescent="0.25">
      <c r="A1353" t="s">
        <v>1106</v>
      </c>
      <c r="B1353" t="s">
        <v>38</v>
      </c>
      <c r="C1353" t="s">
        <v>174</v>
      </c>
      <c r="D1353" t="s">
        <v>68</v>
      </c>
      <c r="E1353">
        <v>21</v>
      </c>
      <c r="F1353">
        <v>0.28000000000000003</v>
      </c>
      <c r="G1353">
        <v>16</v>
      </c>
      <c r="H1353" s="1">
        <v>45218</v>
      </c>
      <c r="I1353">
        <v>2023</v>
      </c>
      <c r="J1353">
        <v>10</v>
      </c>
      <c r="K1353" t="s">
        <v>30</v>
      </c>
      <c r="L1353">
        <v>0</v>
      </c>
      <c r="M1353">
        <v>1</v>
      </c>
    </row>
    <row r="1354" spans="1:13" x14ac:dyDescent="0.25">
      <c r="A1354" t="s">
        <v>1107</v>
      </c>
      <c r="B1354" t="s">
        <v>24</v>
      </c>
      <c r="C1354" t="s">
        <v>539</v>
      </c>
      <c r="D1354" t="s">
        <v>43</v>
      </c>
      <c r="E1354">
        <v>230</v>
      </c>
      <c r="F1354">
        <v>0.25</v>
      </c>
      <c r="G1354">
        <v>705</v>
      </c>
      <c r="H1354" s="1">
        <v>45217</v>
      </c>
      <c r="I1354">
        <v>2023</v>
      </c>
      <c r="J1354">
        <v>10</v>
      </c>
      <c r="K1354" t="s">
        <v>36</v>
      </c>
      <c r="L1354">
        <v>0</v>
      </c>
      <c r="M1354">
        <v>1</v>
      </c>
    </row>
    <row r="1355" spans="1:13" x14ac:dyDescent="0.25">
      <c r="A1355" t="s">
        <v>108</v>
      </c>
      <c r="B1355" t="s">
        <v>18</v>
      </c>
      <c r="C1355" t="s">
        <v>14</v>
      </c>
      <c r="D1355" t="s">
        <v>15</v>
      </c>
      <c r="E1355">
        <v>40</v>
      </c>
      <c r="F1355" t="s">
        <v>21</v>
      </c>
      <c r="G1355">
        <v>26</v>
      </c>
      <c r="H1355" s="1">
        <v>45217</v>
      </c>
      <c r="I1355">
        <v>2023</v>
      </c>
      <c r="J1355">
        <v>10</v>
      </c>
      <c r="K1355" t="s">
        <v>30</v>
      </c>
      <c r="L1355" t="s">
        <v>21</v>
      </c>
      <c r="M1355">
        <v>1</v>
      </c>
    </row>
    <row r="1356" spans="1:13" x14ac:dyDescent="0.25">
      <c r="A1356" t="s">
        <v>645</v>
      </c>
      <c r="B1356" t="s">
        <v>13</v>
      </c>
      <c r="C1356" t="s">
        <v>74</v>
      </c>
      <c r="D1356" t="s">
        <v>68</v>
      </c>
      <c r="E1356">
        <v>35</v>
      </c>
      <c r="F1356">
        <v>0.1</v>
      </c>
      <c r="G1356">
        <v>64</v>
      </c>
      <c r="H1356" s="1">
        <v>45217</v>
      </c>
      <c r="I1356">
        <v>2023</v>
      </c>
      <c r="J1356">
        <v>10</v>
      </c>
      <c r="K1356" t="s">
        <v>30</v>
      </c>
      <c r="L1356">
        <v>0</v>
      </c>
      <c r="M1356">
        <v>1</v>
      </c>
    </row>
    <row r="1357" spans="1:13" x14ac:dyDescent="0.25">
      <c r="A1357" t="s">
        <v>1108</v>
      </c>
      <c r="B1357" t="s">
        <v>35</v>
      </c>
      <c r="C1357" t="s">
        <v>14</v>
      </c>
      <c r="D1357" t="s">
        <v>33</v>
      </c>
      <c r="E1357">
        <v>24</v>
      </c>
      <c r="F1357" t="s">
        <v>21</v>
      </c>
      <c r="G1357">
        <v>38</v>
      </c>
      <c r="H1357" s="1">
        <v>45217</v>
      </c>
      <c r="I1357">
        <v>2023</v>
      </c>
      <c r="J1357">
        <v>10</v>
      </c>
      <c r="K1357" t="s">
        <v>30</v>
      </c>
      <c r="L1357" t="s">
        <v>21</v>
      </c>
      <c r="M1357">
        <v>1</v>
      </c>
    </row>
    <row r="1358" spans="1:13" x14ac:dyDescent="0.25">
      <c r="A1358" t="s">
        <v>1109</v>
      </c>
      <c r="B1358" t="s">
        <v>24</v>
      </c>
      <c r="C1358" t="s">
        <v>48</v>
      </c>
      <c r="D1358" t="s">
        <v>49</v>
      </c>
      <c r="E1358" t="s">
        <v>21</v>
      </c>
      <c r="F1358">
        <v>1</v>
      </c>
      <c r="G1358" t="s">
        <v>21</v>
      </c>
      <c r="H1358" s="1">
        <v>45217</v>
      </c>
      <c r="I1358">
        <v>2023</v>
      </c>
      <c r="J1358">
        <v>10</v>
      </c>
      <c r="K1358" t="s">
        <v>22</v>
      </c>
      <c r="L1358">
        <v>1</v>
      </c>
      <c r="M1358">
        <v>1</v>
      </c>
    </row>
    <row r="1359" spans="1:13" x14ac:dyDescent="0.25">
      <c r="A1359" t="s">
        <v>1110</v>
      </c>
      <c r="B1359" t="s">
        <v>533</v>
      </c>
      <c r="C1359" t="s">
        <v>14</v>
      </c>
      <c r="D1359" t="s">
        <v>49</v>
      </c>
      <c r="E1359" t="s">
        <v>21</v>
      </c>
      <c r="F1359">
        <v>1</v>
      </c>
      <c r="G1359">
        <v>9</v>
      </c>
      <c r="H1359" s="1">
        <v>45217</v>
      </c>
      <c r="I1359">
        <v>2023</v>
      </c>
      <c r="J1359">
        <v>10</v>
      </c>
      <c r="K1359" t="s">
        <v>16</v>
      </c>
      <c r="L1359">
        <v>1</v>
      </c>
      <c r="M1359">
        <v>1</v>
      </c>
    </row>
    <row r="1360" spans="1:13" x14ac:dyDescent="0.25">
      <c r="A1360" t="s">
        <v>1111</v>
      </c>
      <c r="B1360" t="s">
        <v>66</v>
      </c>
      <c r="C1360" t="s">
        <v>161</v>
      </c>
      <c r="D1360" t="s">
        <v>46</v>
      </c>
      <c r="E1360" t="s">
        <v>21</v>
      </c>
      <c r="F1360">
        <v>1</v>
      </c>
      <c r="G1360">
        <v>391</v>
      </c>
      <c r="H1360" s="1">
        <v>45217</v>
      </c>
      <c r="I1360">
        <v>2023</v>
      </c>
      <c r="J1360">
        <v>10</v>
      </c>
      <c r="K1360" t="s">
        <v>36</v>
      </c>
      <c r="L1360">
        <v>1</v>
      </c>
      <c r="M1360">
        <v>1</v>
      </c>
    </row>
    <row r="1361" spans="1:13" x14ac:dyDescent="0.25">
      <c r="A1361" t="s">
        <v>270</v>
      </c>
      <c r="B1361" t="s">
        <v>73</v>
      </c>
      <c r="C1361" t="s">
        <v>14</v>
      </c>
      <c r="D1361" t="s">
        <v>15</v>
      </c>
      <c r="E1361">
        <v>100</v>
      </c>
      <c r="F1361" t="s">
        <v>21</v>
      </c>
      <c r="G1361">
        <v>3300</v>
      </c>
      <c r="H1361" s="1">
        <v>45216</v>
      </c>
      <c r="I1361">
        <v>2023</v>
      </c>
      <c r="J1361">
        <v>10</v>
      </c>
      <c r="K1361" t="s">
        <v>26</v>
      </c>
      <c r="L1361" t="s">
        <v>21</v>
      </c>
      <c r="M1361">
        <v>1</v>
      </c>
    </row>
    <row r="1362" spans="1:13" x14ac:dyDescent="0.25">
      <c r="A1362" t="s">
        <v>1112</v>
      </c>
      <c r="B1362" t="s">
        <v>66</v>
      </c>
      <c r="C1362" t="s">
        <v>14</v>
      </c>
      <c r="D1362" t="s">
        <v>97</v>
      </c>
      <c r="E1362" t="s">
        <v>21</v>
      </c>
      <c r="F1362" t="s">
        <v>21</v>
      </c>
      <c r="G1362">
        <v>5500</v>
      </c>
      <c r="H1362" s="1">
        <v>45216</v>
      </c>
      <c r="I1362">
        <v>2023</v>
      </c>
      <c r="J1362">
        <v>10</v>
      </c>
      <c r="K1362" t="s">
        <v>26</v>
      </c>
      <c r="L1362" t="s">
        <v>21</v>
      </c>
      <c r="M1362">
        <v>0</v>
      </c>
    </row>
    <row r="1363" spans="1:13" x14ac:dyDescent="0.25">
      <c r="A1363" t="s">
        <v>141</v>
      </c>
      <c r="B1363" t="s">
        <v>45</v>
      </c>
      <c r="C1363" t="s">
        <v>14</v>
      </c>
      <c r="D1363" t="s">
        <v>20</v>
      </c>
      <c r="E1363">
        <v>660</v>
      </c>
      <c r="F1363">
        <v>0.03</v>
      </c>
      <c r="G1363">
        <v>154</v>
      </c>
      <c r="H1363" s="1">
        <v>45215</v>
      </c>
      <c r="I1363">
        <v>2023</v>
      </c>
      <c r="J1363">
        <v>10</v>
      </c>
      <c r="K1363" t="s">
        <v>36</v>
      </c>
      <c r="L1363">
        <v>0</v>
      </c>
      <c r="M1363">
        <v>1</v>
      </c>
    </row>
    <row r="1364" spans="1:13" x14ac:dyDescent="0.25">
      <c r="A1364" t="s">
        <v>1113</v>
      </c>
      <c r="B1364" t="s">
        <v>24</v>
      </c>
      <c r="C1364" t="s">
        <v>48</v>
      </c>
      <c r="D1364" t="s">
        <v>46</v>
      </c>
      <c r="E1364">
        <v>90</v>
      </c>
      <c r="F1364" t="s">
        <v>21</v>
      </c>
      <c r="G1364">
        <v>112</v>
      </c>
      <c r="H1364" s="1">
        <v>45215</v>
      </c>
      <c r="I1364">
        <v>2023</v>
      </c>
      <c r="J1364">
        <v>10</v>
      </c>
      <c r="K1364" t="s">
        <v>36</v>
      </c>
      <c r="L1364" t="s">
        <v>21</v>
      </c>
      <c r="M1364">
        <v>1</v>
      </c>
    </row>
    <row r="1365" spans="1:13" x14ac:dyDescent="0.25">
      <c r="A1365" t="s">
        <v>729</v>
      </c>
      <c r="B1365" t="s">
        <v>77</v>
      </c>
      <c r="C1365" t="s">
        <v>14</v>
      </c>
      <c r="D1365" t="s">
        <v>347</v>
      </c>
      <c r="E1365">
        <v>80</v>
      </c>
      <c r="F1365">
        <v>0.03</v>
      </c>
      <c r="G1365">
        <v>537</v>
      </c>
      <c r="H1365" s="1">
        <v>45215</v>
      </c>
      <c r="I1365">
        <v>2023</v>
      </c>
      <c r="J1365">
        <v>10</v>
      </c>
      <c r="K1365" t="s">
        <v>36</v>
      </c>
      <c r="L1365">
        <v>0</v>
      </c>
      <c r="M1365">
        <v>1</v>
      </c>
    </row>
    <row r="1366" spans="1:13" x14ac:dyDescent="0.25">
      <c r="A1366" t="s">
        <v>1114</v>
      </c>
      <c r="B1366" t="s">
        <v>73</v>
      </c>
      <c r="C1366" t="s">
        <v>14</v>
      </c>
      <c r="D1366" t="s">
        <v>20</v>
      </c>
      <c r="E1366">
        <v>80</v>
      </c>
      <c r="F1366" t="s">
        <v>21</v>
      </c>
      <c r="G1366">
        <v>229</v>
      </c>
      <c r="H1366" s="1">
        <v>45215</v>
      </c>
      <c r="I1366">
        <v>2023</v>
      </c>
      <c r="J1366">
        <v>10</v>
      </c>
      <c r="K1366" t="s">
        <v>36</v>
      </c>
      <c r="L1366" t="s">
        <v>21</v>
      </c>
      <c r="M1366">
        <v>1</v>
      </c>
    </row>
    <row r="1367" spans="1:13" x14ac:dyDescent="0.25">
      <c r="A1367" t="s">
        <v>1115</v>
      </c>
      <c r="B1367" t="s">
        <v>13</v>
      </c>
      <c r="C1367" t="s">
        <v>14</v>
      </c>
      <c r="D1367" t="s">
        <v>20</v>
      </c>
      <c r="E1367">
        <v>58</v>
      </c>
      <c r="F1367">
        <v>0.5</v>
      </c>
      <c r="G1367" t="s">
        <v>21</v>
      </c>
      <c r="H1367" s="1">
        <v>45215</v>
      </c>
      <c r="I1367">
        <v>2023</v>
      </c>
      <c r="J1367">
        <v>10</v>
      </c>
      <c r="K1367" t="s">
        <v>22</v>
      </c>
      <c r="L1367">
        <v>0</v>
      </c>
      <c r="M1367">
        <v>1</v>
      </c>
    </row>
    <row r="1368" spans="1:13" x14ac:dyDescent="0.25">
      <c r="A1368" t="s">
        <v>1116</v>
      </c>
      <c r="B1368" t="s">
        <v>45</v>
      </c>
      <c r="C1368" t="s">
        <v>14</v>
      </c>
      <c r="D1368" t="s">
        <v>20</v>
      </c>
      <c r="E1368" t="s">
        <v>21</v>
      </c>
      <c r="F1368">
        <v>0.28000000000000003</v>
      </c>
      <c r="G1368">
        <v>153</v>
      </c>
      <c r="H1368" s="1">
        <v>45215</v>
      </c>
      <c r="I1368">
        <v>2023</v>
      </c>
      <c r="J1368">
        <v>10</v>
      </c>
      <c r="K1368" t="s">
        <v>36</v>
      </c>
      <c r="L1368">
        <v>0</v>
      </c>
      <c r="M1368">
        <v>1</v>
      </c>
    </row>
    <row r="1369" spans="1:13" x14ac:dyDescent="0.25">
      <c r="A1369" t="s">
        <v>1117</v>
      </c>
      <c r="B1369" t="s">
        <v>18</v>
      </c>
      <c r="C1369" t="s">
        <v>80</v>
      </c>
      <c r="D1369" t="s">
        <v>20</v>
      </c>
      <c r="E1369" t="s">
        <v>21</v>
      </c>
      <c r="F1369" t="s">
        <v>21</v>
      </c>
      <c r="G1369" t="s">
        <v>21</v>
      </c>
      <c r="H1369" s="1">
        <v>45214</v>
      </c>
      <c r="I1369">
        <v>2023</v>
      </c>
      <c r="J1369">
        <v>10</v>
      </c>
      <c r="K1369" t="s">
        <v>22</v>
      </c>
      <c r="L1369" t="s">
        <v>21</v>
      </c>
      <c r="M1369">
        <v>0</v>
      </c>
    </row>
    <row r="1370" spans="1:13" x14ac:dyDescent="0.25">
      <c r="A1370" t="s">
        <v>152</v>
      </c>
      <c r="B1370" t="s">
        <v>106</v>
      </c>
      <c r="C1370" t="s">
        <v>48</v>
      </c>
      <c r="D1370" t="s">
        <v>33</v>
      </c>
      <c r="E1370">
        <v>300</v>
      </c>
      <c r="F1370" t="s">
        <v>21</v>
      </c>
      <c r="G1370">
        <v>61</v>
      </c>
      <c r="H1370" s="1">
        <v>45213</v>
      </c>
      <c r="I1370">
        <v>2023</v>
      </c>
      <c r="J1370">
        <v>10</v>
      </c>
      <c r="K1370" t="s">
        <v>30</v>
      </c>
      <c r="L1370" t="s">
        <v>21</v>
      </c>
      <c r="M1370">
        <v>1</v>
      </c>
    </row>
    <row r="1371" spans="1:13" x14ac:dyDescent="0.25">
      <c r="A1371" t="s">
        <v>622</v>
      </c>
      <c r="B1371" t="s">
        <v>117</v>
      </c>
      <c r="C1371" t="s">
        <v>14</v>
      </c>
      <c r="D1371" t="s">
        <v>111</v>
      </c>
      <c r="E1371" t="s">
        <v>21</v>
      </c>
      <c r="F1371">
        <v>0.2</v>
      </c>
      <c r="G1371">
        <v>2400</v>
      </c>
      <c r="H1371" s="1">
        <v>45212</v>
      </c>
      <c r="I1371">
        <v>2023</v>
      </c>
      <c r="J1371">
        <v>10</v>
      </c>
      <c r="K1371" t="s">
        <v>26</v>
      </c>
      <c r="L1371">
        <v>0</v>
      </c>
      <c r="M1371">
        <v>1</v>
      </c>
    </row>
    <row r="1372" spans="1:13" x14ac:dyDescent="0.25">
      <c r="A1372" t="s">
        <v>1118</v>
      </c>
      <c r="B1372" t="s">
        <v>35</v>
      </c>
      <c r="C1372" t="s">
        <v>14</v>
      </c>
      <c r="D1372" t="s">
        <v>22</v>
      </c>
      <c r="E1372" t="s">
        <v>21</v>
      </c>
      <c r="F1372" t="s">
        <v>21</v>
      </c>
      <c r="G1372" t="s">
        <v>21</v>
      </c>
      <c r="H1372" s="1">
        <v>45212</v>
      </c>
      <c r="I1372">
        <v>2023</v>
      </c>
      <c r="J1372">
        <v>10</v>
      </c>
      <c r="K1372" t="s">
        <v>22</v>
      </c>
      <c r="L1372" t="s">
        <v>21</v>
      </c>
      <c r="M1372">
        <v>0</v>
      </c>
    </row>
    <row r="1373" spans="1:13" x14ac:dyDescent="0.25">
      <c r="A1373" t="s">
        <v>199</v>
      </c>
      <c r="B1373" t="s">
        <v>70</v>
      </c>
      <c r="C1373" t="s">
        <v>14</v>
      </c>
      <c r="D1373" t="s">
        <v>15</v>
      </c>
      <c r="E1373">
        <v>1258</v>
      </c>
      <c r="F1373">
        <v>0.02</v>
      </c>
      <c r="G1373" t="s">
        <v>21</v>
      </c>
      <c r="H1373" s="1">
        <v>45211</v>
      </c>
      <c r="I1373">
        <v>2023</v>
      </c>
      <c r="J1373">
        <v>10</v>
      </c>
      <c r="K1373" t="s">
        <v>22</v>
      </c>
      <c r="L1373">
        <v>0</v>
      </c>
      <c r="M1373">
        <v>1</v>
      </c>
    </row>
    <row r="1374" spans="1:13" x14ac:dyDescent="0.25">
      <c r="A1374" t="s">
        <v>1119</v>
      </c>
      <c r="B1374" t="s">
        <v>77</v>
      </c>
      <c r="C1374" t="s">
        <v>14</v>
      </c>
      <c r="D1374" t="s">
        <v>15</v>
      </c>
      <c r="E1374">
        <v>172</v>
      </c>
      <c r="F1374">
        <v>0.14000000000000001</v>
      </c>
      <c r="G1374">
        <v>392</v>
      </c>
      <c r="H1374" s="1">
        <v>45211</v>
      </c>
      <c r="I1374">
        <v>2023</v>
      </c>
      <c r="J1374">
        <v>10</v>
      </c>
      <c r="K1374" t="s">
        <v>36</v>
      </c>
      <c r="L1374">
        <v>0</v>
      </c>
      <c r="M1374">
        <v>1</v>
      </c>
    </row>
    <row r="1375" spans="1:13" x14ac:dyDescent="0.25">
      <c r="A1375" t="s">
        <v>1120</v>
      </c>
      <c r="B1375" t="s">
        <v>38</v>
      </c>
      <c r="C1375" t="s">
        <v>14</v>
      </c>
      <c r="D1375" t="s">
        <v>15</v>
      </c>
      <c r="E1375">
        <v>84</v>
      </c>
      <c r="F1375">
        <v>0.28000000000000003</v>
      </c>
      <c r="G1375">
        <v>272</v>
      </c>
      <c r="H1375" s="1">
        <v>45211</v>
      </c>
      <c r="I1375">
        <v>2023</v>
      </c>
      <c r="J1375">
        <v>10</v>
      </c>
      <c r="K1375" t="s">
        <v>36</v>
      </c>
      <c r="L1375">
        <v>0</v>
      </c>
      <c r="M1375">
        <v>1</v>
      </c>
    </row>
    <row r="1376" spans="1:13" x14ac:dyDescent="0.25">
      <c r="A1376" t="s">
        <v>1121</v>
      </c>
      <c r="B1376" t="s">
        <v>93</v>
      </c>
      <c r="C1376" t="s">
        <v>14</v>
      </c>
      <c r="D1376" t="s">
        <v>33</v>
      </c>
      <c r="E1376">
        <v>20</v>
      </c>
      <c r="F1376">
        <v>0.2</v>
      </c>
      <c r="G1376">
        <v>86</v>
      </c>
      <c r="H1376" s="1">
        <v>45210</v>
      </c>
      <c r="I1376">
        <v>2023</v>
      </c>
      <c r="J1376">
        <v>10</v>
      </c>
      <c r="K1376" t="s">
        <v>30</v>
      </c>
      <c r="L1376">
        <v>0</v>
      </c>
      <c r="M1376">
        <v>1</v>
      </c>
    </row>
    <row r="1377" spans="1:13" x14ac:dyDescent="0.25">
      <c r="A1377" t="s">
        <v>1122</v>
      </c>
      <c r="B1377" t="s">
        <v>28</v>
      </c>
      <c r="C1377" t="s">
        <v>62</v>
      </c>
      <c r="D1377" t="s">
        <v>81</v>
      </c>
      <c r="E1377" t="s">
        <v>21</v>
      </c>
      <c r="F1377" t="s">
        <v>21</v>
      </c>
      <c r="G1377">
        <v>658</v>
      </c>
      <c r="H1377" s="1">
        <v>45210</v>
      </c>
      <c r="I1377">
        <v>2023</v>
      </c>
      <c r="J1377">
        <v>10</v>
      </c>
      <c r="K1377" t="s">
        <v>36</v>
      </c>
      <c r="L1377" t="s">
        <v>21</v>
      </c>
      <c r="M1377">
        <v>0</v>
      </c>
    </row>
    <row r="1378" spans="1:13" x14ac:dyDescent="0.25">
      <c r="A1378" t="s">
        <v>1123</v>
      </c>
      <c r="B1378" t="s">
        <v>77</v>
      </c>
      <c r="C1378" t="s">
        <v>230</v>
      </c>
      <c r="D1378" t="s">
        <v>55</v>
      </c>
      <c r="E1378">
        <v>180</v>
      </c>
      <c r="F1378" t="s">
        <v>21</v>
      </c>
      <c r="G1378">
        <v>727</v>
      </c>
      <c r="H1378" s="1">
        <v>45209</v>
      </c>
      <c r="I1378">
        <v>2023</v>
      </c>
      <c r="J1378">
        <v>10</v>
      </c>
      <c r="K1378" t="s">
        <v>36</v>
      </c>
      <c r="L1378" t="s">
        <v>21</v>
      </c>
      <c r="M1378">
        <v>1</v>
      </c>
    </row>
    <row r="1379" spans="1:13" x14ac:dyDescent="0.25">
      <c r="A1379" t="s">
        <v>948</v>
      </c>
      <c r="B1379" t="s">
        <v>24</v>
      </c>
      <c r="C1379" t="s">
        <v>14</v>
      </c>
      <c r="D1379" t="s">
        <v>15</v>
      </c>
      <c r="E1379">
        <v>558</v>
      </c>
      <c r="F1379" t="s">
        <v>21</v>
      </c>
      <c r="G1379">
        <v>79</v>
      </c>
      <c r="H1379" s="1">
        <v>45208</v>
      </c>
      <c r="I1379">
        <v>2023</v>
      </c>
      <c r="J1379">
        <v>10</v>
      </c>
      <c r="K1379" t="s">
        <v>30</v>
      </c>
      <c r="L1379" t="s">
        <v>21</v>
      </c>
      <c r="M1379">
        <v>1</v>
      </c>
    </row>
    <row r="1380" spans="1:13" x14ac:dyDescent="0.25">
      <c r="A1380" t="s">
        <v>864</v>
      </c>
      <c r="B1380" t="s">
        <v>35</v>
      </c>
      <c r="C1380" t="s">
        <v>14</v>
      </c>
      <c r="D1380" t="s">
        <v>55</v>
      </c>
      <c r="E1380">
        <v>114</v>
      </c>
      <c r="F1380">
        <v>0.05</v>
      </c>
      <c r="G1380">
        <v>522</v>
      </c>
      <c r="H1380" s="1">
        <v>45208</v>
      </c>
      <c r="I1380">
        <v>2023</v>
      </c>
      <c r="J1380">
        <v>10</v>
      </c>
      <c r="K1380" t="s">
        <v>36</v>
      </c>
      <c r="L1380">
        <v>0</v>
      </c>
      <c r="M1380">
        <v>1</v>
      </c>
    </row>
    <row r="1381" spans="1:13" x14ac:dyDescent="0.25">
      <c r="A1381" t="s">
        <v>491</v>
      </c>
      <c r="B1381" t="s">
        <v>490</v>
      </c>
      <c r="C1381" t="s">
        <v>14</v>
      </c>
      <c r="D1381" t="s">
        <v>22</v>
      </c>
      <c r="E1381">
        <v>40</v>
      </c>
      <c r="F1381" t="s">
        <v>21</v>
      </c>
      <c r="G1381">
        <v>167</v>
      </c>
      <c r="H1381" s="1">
        <v>45208</v>
      </c>
      <c r="I1381">
        <v>2023</v>
      </c>
      <c r="J1381">
        <v>10</v>
      </c>
      <c r="K1381" t="s">
        <v>36</v>
      </c>
      <c r="L1381" t="s">
        <v>21</v>
      </c>
      <c r="M1381">
        <v>1</v>
      </c>
    </row>
    <row r="1382" spans="1:13" x14ac:dyDescent="0.25">
      <c r="A1382" t="s">
        <v>1124</v>
      </c>
      <c r="B1382" t="s">
        <v>77</v>
      </c>
      <c r="C1382" t="s">
        <v>14</v>
      </c>
      <c r="D1382" t="s">
        <v>22</v>
      </c>
      <c r="E1382" t="s">
        <v>21</v>
      </c>
      <c r="F1382">
        <v>1</v>
      </c>
      <c r="G1382" t="s">
        <v>21</v>
      </c>
      <c r="H1382" s="1">
        <v>45208</v>
      </c>
      <c r="I1382">
        <v>2023</v>
      </c>
      <c r="J1382">
        <v>10</v>
      </c>
      <c r="K1382" t="s">
        <v>22</v>
      </c>
      <c r="L1382">
        <v>1</v>
      </c>
      <c r="M1382">
        <v>1</v>
      </c>
    </row>
    <row r="1383" spans="1:13" x14ac:dyDescent="0.25">
      <c r="A1383" t="s">
        <v>1125</v>
      </c>
      <c r="B1383" t="s">
        <v>18</v>
      </c>
      <c r="C1383" t="s">
        <v>14</v>
      </c>
      <c r="D1383" t="s">
        <v>20</v>
      </c>
      <c r="E1383" t="s">
        <v>21</v>
      </c>
      <c r="F1383">
        <v>0.6</v>
      </c>
      <c r="G1383" t="s">
        <v>21</v>
      </c>
      <c r="H1383" s="1">
        <v>45208</v>
      </c>
      <c r="I1383">
        <v>2023</v>
      </c>
      <c r="J1383">
        <v>10</v>
      </c>
      <c r="K1383" t="s">
        <v>22</v>
      </c>
      <c r="L1383">
        <v>0</v>
      </c>
      <c r="M1383">
        <v>1</v>
      </c>
    </row>
    <row r="1384" spans="1:13" x14ac:dyDescent="0.25">
      <c r="A1384" t="s">
        <v>1126</v>
      </c>
      <c r="B1384" t="s">
        <v>73</v>
      </c>
      <c r="C1384" t="s">
        <v>14</v>
      </c>
      <c r="D1384" t="s">
        <v>81</v>
      </c>
      <c r="E1384">
        <v>75</v>
      </c>
      <c r="F1384">
        <v>0.09</v>
      </c>
      <c r="G1384" t="s">
        <v>21</v>
      </c>
      <c r="H1384" s="1">
        <v>45206</v>
      </c>
      <c r="I1384">
        <v>2023</v>
      </c>
      <c r="J1384">
        <v>10</v>
      </c>
      <c r="K1384" t="s">
        <v>22</v>
      </c>
      <c r="L1384">
        <v>0</v>
      </c>
      <c r="M1384">
        <v>1</v>
      </c>
    </row>
    <row r="1385" spans="1:13" x14ac:dyDescent="0.25">
      <c r="A1385" t="s">
        <v>1127</v>
      </c>
      <c r="B1385" t="s">
        <v>70</v>
      </c>
      <c r="C1385" t="s">
        <v>14</v>
      </c>
      <c r="D1385" t="s">
        <v>15</v>
      </c>
      <c r="E1385">
        <v>440</v>
      </c>
      <c r="F1385">
        <v>0.04</v>
      </c>
      <c r="G1385">
        <v>39</v>
      </c>
      <c r="H1385" s="1">
        <v>45205</v>
      </c>
      <c r="I1385">
        <v>2023</v>
      </c>
      <c r="J1385">
        <v>10</v>
      </c>
      <c r="K1385" t="s">
        <v>30</v>
      </c>
      <c r="L1385">
        <v>0</v>
      </c>
      <c r="M1385">
        <v>1</v>
      </c>
    </row>
    <row r="1386" spans="1:13" x14ac:dyDescent="0.25">
      <c r="A1386" t="s">
        <v>234</v>
      </c>
      <c r="B1386" t="s">
        <v>77</v>
      </c>
      <c r="C1386" t="s">
        <v>14</v>
      </c>
      <c r="D1386" t="s">
        <v>81</v>
      </c>
      <c r="E1386">
        <v>80</v>
      </c>
      <c r="F1386">
        <v>0.05</v>
      </c>
      <c r="G1386">
        <v>54</v>
      </c>
      <c r="H1386" s="1">
        <v>45205</v>
      </c>
      <c r="I1386">
        <v>2023</v>
      </c>
      <c r="J1386">
        <v>10</v>
      </c>
      <c r="K1386" t="s">
        <v>30</v>
      </c>
      <c r="L1386">
        <v>0</v>
      </c>
      <c r="M1386">
        <v>1</v>
      </c>
    </row>
    <row r="1387" spans="1:13" x14ac:dyDescent="0.25">
      <c r="A1387" t="s">
        <v>656</v>
      </c>
      <c r="B1387" t="s">
        <v>18</v>
      </c>
      <c r="C1387" t="s">
        <v>14</v>
      </c>
      <c r="D1387" t="s">
        <v>33</v>
      </c>
      <c r="E1387" t="s">
        <v>21</v>
      </c>
      <c r="F1387">
        <v>0.09</v>
      </c>
      <c r="G1387">
        <v>42</v>
      </c>
      <c r="H1387" s="1">
        <v>45205</v>
      </c>
      <c r="I1387">
        <v>2023</v>
      </c>
      <c r="J1387">
        <v>10</v>
      </c>
      <c r="K1387" t="s">
        <v>30</v>
      </c>
      <c r="L1387">
        <v>0</v>
      </c>
      <c r="M1387">
        <v>1</v>
      </c>
    </row>
    <row r="1388" spans="1:13" x14ac:dyDescent="0.25">
      <c r="A1388" t="s">
        <v>1128</v>
      </c>
      <c r="B1388" t="s">
        <v>77</v>
      </c>
      <c r="C1388" t="s">
        <v>14</v>
      </c>
      <c r="D1388" t="s">
        <v>22</v>
      </c>
      <c r="E1388" t="s">
        <v>21</v>
      </c>
      <c r="F1388">
        <v>1</v>
      </c>
      <c r="G1388">
        <v>86</v>
      </c>
      <c r="H1388" s="1">
        <v>45205</v>
      </c>
      <c r="I1388">
        <v>2023</v>
      </c>
      <c r="J1388">
        <v>10</v>
      </c>
      <c r="K1388" t="s">
        <v>30</v>
      </c>
      <c r="L1388">
        <v>1</v>
      </c>
      <c r="M1388">
        <v>1</v>
      </c>
    </row>
    <row r="1389" spans="1:13" x14ac:dyDescent="0.25">
      <c r="A1389" t="s">
        <v>1129</v>
      </c>
      <c r="B1389" t="s">
        <v>66</v>
      </c>
      <c r="C1389" t="s">
        <v>14</v>
      </c>
      <c r="D1389" t="s">
        <v>15</v>
      </c>
      <c r="E1389" t="s">
        <v>21</v>
      </c>
      <c r="F1389">
        <v>1</v>
      </c>
      <c r="G1389">
        <v>504</v>
      </c>
      <c r="H1389" s="1">
        <v>45205</v>
      </c>
      <c r="I1389">
        <v>2023</v>
      </c>
      <c r="J1389">
        <v>10</v>
      </c>
      <c r="K1389" t="s">
        <v>36</v>
      </c>
      <c r="L1389">
        <v>1</v>
      </c>
      <c r="M1389">
        <v>1</v>
      </c>
    </row>
    <row r="1390" spans="1:13" x14ac:dyDescent="0.25">
      <c r="A1390" t="s">
        <v>1130</v>
      </c>
      <c r="B1390" t="s">
        <v>52</v>
      </c>
      <c r="C1390" t="s">
        <v>14</v>
      </c>
      <c r="D1390" t="s">
        <v>22</v>
      </c>
      <c r="E1390" t="s">
        <v>21</v>
      </c>
      <c r="F1390" t="s">
        <v>21</v>
      </c>
      <c r="G1390">
        <v>450</v>
      </c>
      <c r="H1390" s="1">
        <v>45205</v>
      </c>
      <c r="I1390">
        <v>2023</v>
      </c>
      <c r="J1390">
        <v>10</v>
      </c>
      <c r="K1390" t="s">
        <v>36</v>
      </c>
      <c r="L1390" t="s">
        <v>21</v>
      </c>
      <c r="M1390">
        <v>0</v>
      </c>
    </row>
    <row r="1391" spans="1:13" x14ac:dyDescent="0.25">
      <c r="A1391" t="s">
        <v>781</v>
      </c>
      <c r="B1391" t="s">
        <v>217</v>
      </c>
      <c r="C1391" t="s">
        <v>14</v>
      </c>
      <c r="D1391" t="s">
        <v>15</v>
      </c>
      <c r="E1391">
        <v>185</v>
      </c>
      <c r="F1391" t="s">
        <v>21</v>
      </c>
      <c r="G1391">
        <v>516</v>
      </c>
      <c r="H1391" s="1">
        <v>45204</v>
      </c>
      <c r="I1391">
        <v>2023</v>
      </c>
      <c r="J1391">
        <v>10</v>
      </c>
      <c r="K1391" t="s">
        <v>36</v>
      </c>
      <c r="L1391" t="s">
        <v>21</v>
      </c>
      <c r="M1391">
        <v>1</v>
      </c>
    </row>
    <row r="1392" spans="1:13" x14ac:dyDescent="0.25">
      <c r="A1392" t="s">
        <v>1131</v>
      </c>
      <c r="B1392" t="s">
        <v>24</v>
      </c>
      <c r="C1392" t="s">
        <v>48</v>
      </c>
      <c r="D1392" t="s">
        <v>111</v>
      </c>
      <c r="E1392">
        <v>50</v>
      </c>
      <c r="F1392" t="s">
        <v>21</v>
      </c>
      <c r="G1392">
        <v>315</v>
      </c>
      <c r="H1392" s="1">
        <v>45204</v>
      </c>
      <c r="I1392">
        <v>2023</v>
      </c>
      <c r="J1392">
        <v>10</v>
      </c>
      <c r="K1392" t="s">
        <v>36</v>
      </c>
      <c r="L1392" t="s">
        <v>21</v>
      </c>
      <c r="M1392">
        <v>1</v>
      </c>
    </row>
    <row r="1393" spans="1:13" x14ac:dyDescent="0.25">
      <c r="A1393" t="s">
        <v>1132</v>
      </c>
      <c r="B1393" t="s">
        <v>106</v>
      </c>
      <c r="C1393" t="s">
        <v>14</v>
      </c>
      <c r="D1393" t="s">
        <v>20</v>
      </c>
      <c r="E1393">
        <v>29</v>
      </c>
      <c r="F1393">
        <v>0.14000000000000001</v>
      </c>
      <c r="G1393">
        <v>8</v>
      </c>
      <c r="H1393" s="1">
        <v>45204</v>
      </c>
      <c r="I1393">
        <v>2023</v>
      </c>
      <c r="J1393">
        <v>10</v>
      </c>
      <c r="K1393" t="s">
        <v>16</v>
      </c>
      <c r="L1393">
        <v>0</v>
      </c>
      <c r="M1393">
        <v>1</v>
      </c>
    </row>
    <row r="1394" spans="1:13" x14ac:dyDescent="0.25">
      <c r="A1394" t="s">
        <v>768</v>
      </c>
      <c r="B1394" t="s">
        <v>45</v>
      </c>
      <c r="C1394" t="s">
        <v>14</v>
      </c>
      <c r="D1394" t="s">
        <v>46</v>
      </c>
      <c r="E1394">
        <v>16</v>
      </c>
      <c r="F1394">
        <v>7.0000000000000007E-2</v>
      </c>
      <c r="G1394" t="s">
        <v>21</v>
      </c>
      <c r="H1394" s="1">
        <v>45204</v>
      </c>
      <c r="I1394">
        <v>2023</v>
      </c>
      <c r="J1394">
        <v>10</v>
      </c>
      <c r="K1394" t="s">
        <v>22</v>
      </c>
      <c r="L1394">
        <v>0</v>
      </c>
      <c r="M1394">
        <v>1</v>
      </c>
    </row>
    <row r="1395" spans="1:13" x14ac:dyDescent="0.25">
      <c r="A1395" t="s">
        <v>470</v>
      </c>
      <c r="B1395" t="s">
        <v>66</v>
      </c>
      <c r="C1395" t="s">
        <v>80</v>
      </c>
      <c r="D1395" t="s">
        <v>15</v>
      </c>
      <c r="E1395" t="s">
        <v>21</v>
      </c>
      <c r="F1395">
        <v>0.25</v>
      </c>
      <c r="G1395">
        <v>629</v>
      </c>
      <c r="H1395" s="1">
        <v>45204</v>
      </c>
      <c r="I1395">
        <v>2023</v>
      </c>
      <c r="J1395">
        <v>10</v>
      </c>
      <c r="K1395" t="s">
        <v>36</v>
      </c>
      <c r="L1395">
        <v>0</v>
      </c>
      <c r="M1395">
        <v>1</v>
      </c>
    </row>
    <row r="1396" spans="1:13" x14ac:dyDescent="0.25">
      <c r="A1396" t="s">
        <v>1133</v>
      </c>
      <c r="B1396" t="s">
        <v>52</v>
      </c>
      <c r="C1396" t="s">
        <v>539</v>
      </c>
      <c r="D1396" t="s">
        <v>46</v>
      </c>
      <c r="E1396" t="s">
        <v>21</v>
      </c>
      <c r="F1396">
        <v>0.12</v>
      </c>
      <c r="G1396">
        <v>577</v>
      </c>
      <c r="H1396" s="1">
        <v>45204</v>
      </c>
      <c r="I1396">
        <v>2023</v>
      </c>
      <c r="J1396">
        <v>10</v>
      </c>
      <c r="K1396" t="s">
        <v>36</v>
      </c>
      <c r="L1396">
        <v>0</v>
      </c>
      <c r="M1396">
        <v>1</v>
      </c>
    </row>
    <row r="1397" spans="1:13" x14ac:dyDescent="0.25">
      <c r="A1397" t="s">
        <v>1134</v>
      </c>
      <c r="B1397" t="s">
        <v>13</v>
      </c>
      <c r="C1397" t="s">
        <v>14</v>
      </c>
      <c r="D1397" t="s">
        <v>20</v>
      </c>
      <c r="E1397">
        <v>780</v>
      </c>
      <c r="F1397">
        <v>0.14000000000000001</v>
      </c>
      <c r="G1397">
        <v>400</v>
      </c>
      <c r="H1397" s="1">
        <v>45203</v>
      </c>
      <c r="I1397">
        <v>2023</v>
      </c>
      <c r="J1397">
        <v>10</v>
      </c>
      <c r="K1397" t="s">
        <v>36</v>
      </c>
      <c r="L1397">
        <v>0</v>
      </c>
      <c r="M1397">
        <v>1</v>
      </c>
    </row>
    <row r="1398" spans="1:13" x14ac:dyDescent="0.25">
      <c r="A1398" t="s">
        <v>566</v>
      </c>
      <c r="B1398" t="s">
        <v>73</v>
      </c>
      <c r="C1398" t="s">
        <v>174</v>
      </c>
      <c r="D1398" t="s">
        <v>22</v>
      </c>
      <c r="E1398">
        <v>250</v>
      </c>
      <c r="F1398">
        <v>0.3</v>
      </c>
      <c r="G1398">
        <v>730</v>
      </c>
      <c r="H1398" s="1">
        <v>45203</v>
      </c>
      <c r="I1398">
        <v>2023</v>
      </c>
      <c r="J1398">
        <v>10</v>
      </c>
      <c r="K1398" t="s">
        <v>36</v>
      </c>
      <c r="L1398">
        <v>0</v>
      </c>
      <c r="M1398">
        <v>1</v>
      </c>
    </row>
    <row r="1399" spans="1:13" x14ac:dyDescent="0.25">
      <c r="A1399" t="s">
        <v>1135</v>
      </c>
      <c r="B1399" t="s">
        <v>66</v>
      </c>
      <c r="C1399" t="s">
        <v>14</v>
      </c>
      <c r="D1399" t="s">
        <v>15</v>
      </c>
      <c r="E1399" t="s">
        <v>21</v>
      </c>
      <c r="F1399" t="s">
        <v>21</v>
      </c>
      <c r="G1399">
        <v>916</v>
      </c>
      <c r="H1399" s="1">
        <v>45203</v>
      </c>
      <c r="I1399">
        <v>2023</v>
      </c>
      <c r="J1399">
        <v>10</v>
      </c>
      <c r="K1399" t="s">
        <v>36</v>
      </c>
      <c r="L1399" t="s">
        <v>21</v>
      </c>
      <c r="M1399">
        <v>0</v>
      </c>
    </row>
    <row r="1400" spans="1:13" x14ac:dyDescent="0.25">
      <c r="A1400" t="s">
        <v>245</v>
      </c>
      <c r="B1400" t="s">
        <v>77</v>
      </c>
      <c r="C1400" t="s">
        <v>14</v>
      </c>
      <c r="D1400" t="s">
        <v>15</v>
      </c>
      <c r="E1400" t="s">
        <v>21</v>
      </c>
      <c r="F1400" t="s">
        <v>21</v>
      </c>
      <c r="G1400">
        <v>150</v>
      </c>
      <c r="H1400" s="1">
        <v>45203</v>
      </c>
      <c r="I1400">
        <v>2023</v>
      </c>
      <c r="J1400">
        <v>10</v>
      </c>
      <c r="K1400" t="s">
        <v>36</v>
      </c>
      <c r="L1400" t="s">
        <v>21</v>
      </c>
      <c r="M1400">
        <v>0</v>
      </c>
    </row>
    <row r="1401" spans="1:13" x14ac:dyDescent="0.25">
      <c r="A1401" t="s">
        <v>131</v>
      </c>
      <c r="B1401" t="s">
        <v>18</v>
      </c>
      <c r="C1401" t="s">
        <v>14</v>
      </c>
      <c r="D1401" t="s">
        <v>15</v>
      </c>
      <c r="E1401" t="s">
        <v>21</v>
      </c>
      <c r="F1401" t="s">
        <v>21</v>
      </c>
      <c r="G1401">
        <v>26000</v>
      </c>
      <c r="H1401" s="1">
        <v>45203</v>
      </c>
      <c r="I1401">
        <v>2023</v>
      </c>
      <c r="J1401">
        <v>10</v>
      </c>
      <c r="K1401" t="s">
        <v>26</v>
      </c>
      <c r="L1401" t="s">
        <v>21</v>
      </c>
      <c r="M1401">
        <v>0</v>
      </c>
    </row>
    <row r="1402" spans="1:13" x14ac:dyDescent="0.25">
      <c r="A1402" t="s">
        <v>1136</v>
      </c>
      <c r="B1402" t="s">
        <v>217</v>
      </c>
      <c r="C1402" t="s">
        <v>80</v>
      </c>
      <c r="D1402" t="s">
        <v>22</v>
      </c>
      <c r="E1402" t="s">
        <v>21</v>
      </c>
      <c r="F1402" t="s">
        <v>21</v>
      </c>
      <c r="G1402" t="s">
        <v>21</v>
      </c>
      <c r="H1402" s="1">
        <v>45202</v>
      </c>
      <c r="I1402">
        <v>2023</v>
      </c>
      <c r="J1402">
        <v>10</v>
      </c>
      <c r="K1402" t="s">
        <v>22</v>
      </c>
      <c r="L1402" t="s">
        <v>21</v>
      </c>
      <c r="M1402">
        <v>0</v>
      </c>
    </row>
    <row r="1403" spans="1:13" x14ac:dyDescent="0.25">
      <c r="A1403" t="s">
        <v>1137</v>
      </c>
      <c r="B1403" t="s">
        <v>54</v>
      </c>
      <c r="C1403" t="s">
        <v>14</v>
      </c>
      <c r="D1403" t="s">
        <v>46</v>
      </c>
      <c r="E1403" t="s">
        <v>21</v>
      </c>
      <c r="F1403" t="s">
        <v>21</v>
      </c>
      <c r="G1403">
        <v>152</v>
      </c>
      <c r="H1403" s="1">
        <v>45202</v>
      </c>
      <c r="I1403">
        <v>2023</v>
      </c>
      <c r="J1403">
        <v>10</v>
      </c>
      <c r="K1403" t="s">
        <v>36</v>
      </c>
      <c r="L1403" t="s">
        <v>21</v>
      </c>
      <c r="M1403">
        <v>0</v>
      </c>
    </row>
    <row r="1404" spans="1:13" x14ac:dyDescent="0.25">
      <c r="A1404" t="s">
        <v>974</v>
      </c>
      <c r="B1404" t="s">
        <v>18</v>
      </c>
      <c r="C1404" t="s">
        <v>14</v>
      </c>
      <c r="D1404" t="s">
        <v>20</v>
      </c>
      <c r="E1404" t="s">
        <v>21</v>
      </c>
      <c r="F1404" t="s">
        <v>21</v>
      </c>
      <c r="G1404">
        <v>35</v>
      </c>
      <c r="H1404" s="1">
        <v>45202</v>
      </c>
      <c r="I1404">
        <v>2023</v>
      </c>
      <c r="J1404">
        <v>10</v>
      </c>
      <c r="K1404" t="s">
        <v>30</v>
      </c>
      <c r="L1404" t="s">
        <v>21</v>
      </c>
      <c r="M1404">
        <v>0</v>
      </c>
    </row>
    <row r="1405" spans="1:13" x14ac:dyDescent="0.25">
      <c r="A1405" t="s">
        <v>1138</v>
      </c>
      <c r="B1405" t="s">
        <v>52</v>
      </c>
      <c r="C1405" t="s">
        <v>14</v>
      </c>
      <c r="D1405" t="s">
        <v>43</v>
      </c>
      <c r="E1405">
        <v>150</v>
      </c>
      <c r="F1405">
        <v>0.15</v>
      </c>
      <c r="G1405">
        <v>536</v>
      </c>
      <c r="H1405" s="1">
        <v>45201</v>
      </c>
      <c r="I1405">
        <v>2023</v>
      </c>
      <c r="J1405">
        <v>10</v>
      </c>
      <c r="K1405" t="s">
        <v>36</v>
      </c>
      <c r="L1405">
        <v>0</v>
      </c>
      <c r="M1405">
        <v>1</v>
      </c>
    </row>
    <row r="1406" spans="1:13" x14ac:dyDescent="0.25">
      <c r="A1406" t="s">
        <v>1139</v>
      </c>
      <c r="B1406" t="s">
        <v>77</v>
      </c>
      <c r="C1406" t="s">
        <v>14</v>
      </c>
      <c r="D1406" t="s">
        <v>33</v>
      </c>
      <c r="E1406">
        <v>86</v>
      </c>
      <c r="F1406">
        <v>0.4</v>
      </c>
      <c r="G1406">
        <v>50</v>
      </c>
      <c r="H1406" s="1">
        <v>45201</v>
      </c>
      <c r="I1406">
        <v>2023</v>
      </c>
      <c r="J1406">
        <v>10</v>
      </c>
      <c r="K1406" t="s">
        <v>30</v>
      </c>
      <c r="L1406">
        <v>0</v>
      </c>
      <c r="M1406">
        <v>1</v>
      </c>
    </row>
    <row r="1407" spans="1:13" x14ac:dyDescent="0.25">
      <c r="A1407" t="s">
        <v>1140</v>
      </c>
      <c r="B1407" t="s">
        <v>52</v>
      </c>
      <c r="C1407" t="s">
        <v>14</v>
      </c>
      <c r="D1407" t="s">
        <v>55</v>
      </c>
      <c r="E1407">
        <v>26</v>
      </c>
      <c r="F1407">
        <v>0.37</v>
      </c>
      <c r="G1407">
        <v>70</v>
      </c>
      <c r="H1407" s="1">
        <v>45201</v>
      </c>
      <c r="I1407">
        <v>2023</v>
      </c>
      <c r="J1407">
        <v>10</v>
      </c>
      <c r="K1407" t="s">
        <v>30</v>
      </c>
      <c r="L1407">
        <v>0</v>
      </c>
      <c r="M1407">
        <v>1</v>
      </c>
    </row>
    <row r="1408" spans="1:13" x14ac:dyDescent="0.25">
      <c r="A1408" t="s">
        <v>1141</v>
      </c>
      <c r="B1408" t="s">
        <v>28</v>
      </c>
      <c r="C1408" t="s">
        <v>14</v>
      </c>
      <c r="D1408" t="s">
        <v>15</v>
      </c>
      <c r="E1408" t="s">
        <v>21</v>
      </c>
      <c r="F1408">
        <v>1</v>
      </c>
      <c r="G1408">
        <v>428</v>
      </c>
      <c r="H1408" s="1">
        <v>45201</v>
      </c>
      <c r="I1408">
        <v>2023</v>
      </c>
      <c r="J1408">
        <v>10</v>
      </c>
      <c r="K1408" t="s">
        <v>36</v>
      </c>
      <c r="L1408">
        <v>1</v>
      </c>
      <c r="M1408">
        <v>1</v>
      </c>
    </row>
    <row r="1409" spans="1:13" x14ac:dyDescent="0.25">
      <c r="A1409" t="s">
        <v>1142</v>
      </c>
      <c r="B1409" t="s">
        <v>66</v>
      </c>
      <c r="C1409" t="s">
        <v>83</v>
      </c>
      <c r="D1409" t="s">
        <v>15</v>
      </c>
      <c r="E1409" t="s">
        <v>21</v>
      </c>
      <c r="F1409" t="s">
        <v>21</v>
      </c>
      <c r="G1409">
        <v>127</v>
      </c>
      <c r="H1409" s="1">
        <v>45201</v>
      </c>
      <c r="I1409">
        <v>2023</v>
      </c>
      <c r="J1409">
        <v>10</v>
      </c>
      <c r="K1409" t="s">
        <v>36</v>
      </c>
      <c r="L1409" t="s">
        <v>21</v>
      </c>
      <c r="M1409">
        <v>0</v>
      </c>
    </row>
    <row r="1410" spans="1:13" x14ac:dyDescent="0.25">
      <c r="A1410" t="s">
        <v>1143</v>
      </c>
      <c r="B1410" t="s">
        <v>77</v>
      </c>
      <c r="C1410" t="s">
        <v>14</v>
      </c>
      <c r="D1410" t="s">
        <v>33</v>
      </c>
      <c r="E1410">
        <v>28</v>
      </c>
      <c r="F1410">
        <v>0.12</v>
      </c>
      <c r="G1410">
        <v>123</v>
      </c>
      <c r="H1410" s="1">
        <v>45198</v>
      </c>
      <c r="I1410">
        <v>2023</v>
      </c>
      <c r="J1410">
        <v>9</v>
      </c>
      <c r="K1410" t="s">
        <v>36</v>
      </c>
      <c r="L1410">
        <v>0</v>
      </c>
      <c r="M1410">
        <v>1</v>
      </c>
    </row>
    <row r="1411" spans="1:13" x14ac:dyDescent="0.25">
      <c r="A1411" t="s">
        <v>1144</v>
      </c>
      <c r="B1411" t="s">
        <v>77</v>
      </c>
      <c r="C1411" t="s">
        <v>83</v>
      </c>
      <c r="D1411" t="s">
        <v>111</v>
      </c>
      <c r="E1411">
        <v>14</v>
      </c>
      <c r="F1411" t="s">
        <v>21</v>
      </c>
      <c r="G1411">
        <v>1700</v>
      </c>
      <c r="H1411" s="1">
        <v>45198</v>
      </c>
      <c r="I1411">
        <v>2023</v>
      </c>
      <c r="J1411">
        <v>9</v>
      </c>
      <c r="K1411" t="s">
        <v>26</v>
      </c>
      <c r="L1411" t="s">
        <v>21</v>
      </c>
      <c r="M1411">
        <v>1</v>
      </c>
    </row>
    <row r="1412" spans="1:13" x14ac:dyDescent="0.25">
      <c r="A1412" t="s">
        <v>1145</v>
      </c>
      <c r="B1412" t="s">
        <v>40</v>
      </c>
      <c r="C1412" t="s">
        <v>174</v>
      </c>
      <c r="D1412" t="s">
        <v>68</v>
      </c>
      <c r="E1412">
        <v>9</v>
      </c>
      <c r="F1412" t="s">
        <v>21</v>
      </c>
      <c r="G1412">
        <v>5</v>
      </c>
      <c r="H1412" s="1">
        <v>45198</v>
      </c>
      <c r="I1412">
        <v>2023</v>
      </c>
      <c r="J1412">
        <v>9</v>
      </c>
      <c r="K1412" t="s">
        <v>16</v>
      </c>
      <c r="L1412" t="s">
        <v>21</v>
      </c>
      <c r="M1412">
        <v>1</v>
      </c>
    </row>
    <row r="1413" spans="1:13" x14ac:dyDescent="0.25">
      <c r="A1413" t="s">
        <v>1146</v>
      </c>
      <c r="B1413" t="s">
        <v>54</v>
      </c>
      <c r="C1413" t="s">
        <v>174</v>
      </c>
      <c r="D1413" t="s">
        <v>55</v>
      </c>
      <c r="E1413" t="s">
        <v>21</v>
      </c>
      <c r="F1413" t="s">
        <v>21</v>
      </c>
      <c r="G1413">
        <v>178</v>
      </c>
      <c r="H1413" s="1">
        <v>45198</v>
      </c>
      <c r="I1413">
        <v>2023</v>
      </c>
      <c r="J1413">
        <v>9</v>
      </c>
      <c r="K1413" t="s">
        <v>36</v>
      </c>
      <c r="L1413" t="s">
        <v>21</v>
      </c>
      <c r="M1413">
        <v>0</v>
      </c>
    </row>
    <row r="1414" spans="1:13" x14ac:dyDescent="0.25">
      <c r="A1414" t="s">
        <v>220</v>
      </c>
      <c r="B1414" t="s">
        <v>18</v>
      </c>
      <c r="C1414" t="s">
        <v>14</v>
      </c>
      <c r="D1414" t="s">
        <v>22</v>
      </c>
      <c r="E1414">
        <v>870</v>
      </c>
      <c r="F1414">
        <v>0.16</v>
      </c>
      <c r="G1414">
        <v>6400</v>
      </c>
      <c r="H1414" s="1">
        <v>45197</v>
      </c>
      <c r="I1414">
        <v>2023</v>
      </c>
      <c r="J1414">
        <v>9</v>
      </c>
      <c r="K1414" t="s">
        <v>26</v>
      </c>
      <c r="L1414">
        <v>0</v>
      </c>
      <c r="M1414">
        <v>1</v>
      </c>
    </row>
    <row r="1415" spans="1:13" x14ac:dyDescent="0.25">
      <c r="A1415" t="s">
        <v>1147</v>
      </c>
      <c r="B1415" t="s">
        <v>207</v>
      </c>
      <c r="C1415" t="s">
        <v>14</v>
      </c>
      <c r="D1415" t="s">
        <v>20</v>
      </c>
      <c r="E1415">
        <v>120</v>
      </c>
      <c r="F1415" t="s">
        <v>21</v>
      </c>
      <c r="G1415">
        <v>75</v>
      </c>
      <c r="H1415" s="1">
        <v>45197</v>
      </c>
      <c r="I1415">
        <v>2023</v>
      </c>
      <c r="J1415">
        <v>9</v>
      </c>
      <c r="K1415" t="s">
        <v>30</v>
      </c>
      <c r="L1415" t="s">
        <v>21</v>
      </c>
      <c r="M1415">
        <v>1</v>
      </c>
    </row>
    <row r="1416" spans="1:13" x14ac:dyDescent="0.25">
      <c r="A1416" t="s">
        <v>460</v>
      </c>
      <c r="B1416" t="s">
        <v>106</v>
      </c>
      <c r="C1416" t="s">
        <v>14</v>
      </c>
      <c r="D1416" t="s">
        <v>15</v>
      </c>
      <c r="E1416" t="s">
        <v>21</v>
      </c>
      <c r="F1416" t="s">
        <v>21</v>
      </c>
      <c r="G1416">
        <v>426</v>
      </c>
      <c r="H1416" s="1">
        <v>45197</v>
      </c>
      <c r="I1416">
        <v>2023</v>
      </c>
      <c r="J1416">
        <v>9</v>
      </c>
      <c r="K1416" t="s">
        <v>36</v>
      </c>
      <c r="L1416" t="s">
        <v>21</v>
      </c>
      <c r="M1416">
        <v>0</v>
      </c>
    </row>
    <row r="1417" spans="1:13" x14ac:dyDescent="0.25">
      <c r="A1417" t="s">
        <v>1148</v>
      </c>
      <c r="B1417" t="s">
        <v>24</v>
      </c>
      <c r="D1417" t="s">
        <v>20</v>
      </c>
      <c r="E1417" t="s">
        <v>21</v>
      </c>
      <c r="F1417">
        <v>1</v>
      </c>
      <c r="G1417" t="s">
        <v>21</v>
      </c>
      <c r="H1417" s="1">
        <v>45197</v>
      </c>
      <c r="I1417">
        <v>2023</v>
      </c>
      <c r="J1417">
        <v>9</v>
      </c>
      <c r="K1417" t="s">
        <v>22</v>
      </c>
      <c r="L1417">
        <v>1</v>
      </c>
      <c r="M1417">
        <v>1</v>
      </c>
    </row>
    <row r="1418" spans="1:13" x14ac:dyDescent="0.25">
      <c r="A1418" t="s">
        <v>187</v>
      </c>
      <c r="B1418" t="s">
        <v>18</v>
      </c>
      <c r="C1418" t="s">
        <v>14</v>
      </c>
      <c r="D1418" t="s">
        <v>15</v>
      </c>
      <c r="E1418">
        <v>170</v>
      </c>
      <c r="F1418" t="s">
        <v>21</v>
      </c>
      <c r="G1418">
        <v>4900</v>
      </c>
      <c r="H1418" s="1">
        <v>45196</v>
      </c>
      <c r="I1418">
        <v>2023</v>
      </c>
      <c r="J1418">
        <v>9</v>
      </c>
      <c r="K1418" t="s">
        <v>26</v>
      </c>
      <c r="L1418" t="s">
        <v>21</v>
      </c>
      <c r="M1418">
        <v>1</v>
      </c>
    </row>
    <row r="1419" spans="1:13" x14ac:dyDescent="0.25">
      <c r="A1419" t="s">
        <v>264</v>
      </c>
      <c r="B1419" t="s">
        <v>77</v>
      </c>
      <c r="C1419" t="s">
        <v>48</v>
      </c>
      <c r="D1419" t="s">
        <v>46</v>
      </c>
      <c r="E1419">
        <v>30</v>
      </c>
      <c r="F1419">
        <v>0.1</v>
      </c>
      <c r="G1419">
        <v>137</v>
      </c>
      <c r="H1419" s="1">
        <v>45196</v>
      </c>
      <c r="I1419">
        <v>2023</v>
      </c>
      <c r="J1419">
        <v>9</v>
      </c>
      <c r="K1419" t="s">
        <v>36</v>
      </c>
      <c r="L1419">
        <v>0</v>
      </c>
      <c r="M1419">
        <v>1</v>
      </c>
    </row>
    <row r="1420" spans="1:13" x14ac:dyDescent="0.25">
      <c r="A1420" t="s">
        <v>654</v>
      </c>
      <c r="B1420" t="s">
        <v>95</v>
      </c>
      <c r="C1420" t="s">
        <v>48</v>
      </c>
      <c r="D1420" t="s">
        <v>22</v>
      </c>
      <c r="E1420">
        <v>150</v>
      </c>
      <c r="F1420">
        <v>0.3</v>
      </c>
      <c r="G1420">
        <v>458</v>
      </c>
      <c r="H1420" s="1">
        <v>45195</v>
      </c>
      <c r="I1420">
        <v>2023</v>
      </c>
      <c r="J1420">
        <v>9</v>
      </c>
      <c r="K1420" t="s">
        <v>36</v>
      </c>
      <c r="L1420">
        <v>0</v>
      </c>
      <c r="M1420">
        <v>1</v>
      </c>
    </row>
    <row r="1421" spans="1:13" x14ac:dyDescent="0.25">
      <c r="A1421" t="s">
        <v>985</v>
      </c>
      <c r="B1421" t="s">
        <v>117</v>
      </c>
      <c r="C1421" t="s">
        <v>14</v>
      </c>
      <c r="D1421" t="s">
        <v>55</v>
      </c>
      <c r="E1421">
        <v>131</v>
      </c>
      <c r="F1421">
        <v>0.33</v>
      </c>
      <c r="G1421">
        <v>263</v>
      </c>
      <c r="H1421" s="1">
        <v>45195</v>
      </c>
      <c r="I1421">
        <v>2023</v>
      </c>
      <c r="J1421">
        <v>9</v>
      </c>
      <c r="K1421" t="s">
        <v>36</v>
      </c>
      <c r="L1421">
        <v>0</v>
      </c>
      <c r="M1421">
        <v>1</v>
      </c>
    </row>
    <row r="1422" spans="1:13" x14ac:dyDescent="0.25">
      <c r="A1422" t="s">
        <v>1149</v>
      </c>
      <c r="B1422" t="s">
        <v>89</v>
      </c>
      <c r="C1422" t="s">
        <v>14</v>
      </c>
      <c r="D1422" t="s">
        <v>55</v>
      </c>
      <c r="E1422" t="s">
        <v>21</v>
      </c>
      <c r="F1422" t="s">
        <v>21</v>
      </c>
      <c r="G1422">
        <v>497</v>
      </c>
      <c r="H1422" s="1">
        <v>45195</v>
      </c>
      <c r="I1422">
        <v>2023</v>
      </c>
      <c r="J1422">
        <v>9</v>
      </c>
      <c r="K1422" t="s">
        <v>36</v>
      </c>
      <c r="L1422" t="s">
        <v>21</v>
      </c>
      <c r="M1422">
        <v>0</v>
      </c>
    </row>
    <row r="1423" spans="1:13" x14ac:dyDescent="0.25">
      <c r="A1423" t="s">
        <v>1150</v>
      </c>
      <c r="B1423" t="s">
        <v>13</v>
      </c>
      <c r="C1423" t="s">
        <v>14</v>
      </c>
      <c r="D1423" t="s">
        <v>111</v>
      </c>
      <c r="E1423">
        <v>75</v>
      </c>
      <c r="F1423">
        <v>7.0000000000000007E-2</v>
      </c>
      <c r="G1423">
        <v>170</v>
      </c>
      <c r="H1423" s="1">
        <v>45194</v>
      </c>
      <c r="I1423">
        <v>2023</v>
      </c>
      <c r="J1423">
        <v>9</v>
      </c>
      <c r="K1423" t="s">
        <v>36</v>
      </c>
      <c r="L1423">
        <v>0</v>
      </c>
      <c r="M1423">
        <v>1</v>
      </c>
    </row>
    <row r="1424" spans="1:13" x14ac:dyDescent="0.25">
      <c r="A1424" t="s">
        <v>1151</v>
      </c>
      <c r="B1424" t="s">
        <v>95</v>
      </c>
      <c r="C1424" t="s">
        <v>14</v>
      </c>
      <c r="D1424" t="s">
        <v>22</v>
      </c>
      <c r="E1424">
        <v>40</v>
      </c>
      <c r="F1424" t="s">
        <v>21</v>
      </c>
      <c r="G1424">
        <v>465</v>
      </c>
      <c r="H1424" s="1">
        <v>45191</v>
      </c>
      <c r="I1424">
        <v>2023</v>
      </c>
      <c r="J1424">
        <v>9</v>
      </c>
      <c r="K1424" t="s">
        <v>36</v>
      </c>
      <c r="L1424" t="s">
        <v>21</v>
      </c>
      <c r="M1424">
        <v>1</v>
      </c>
    </row>
    <row r="1425" spans="1:13" x14ac:dyDescent="0.25">
      <c r="A1425" t="s">
        <v>1152</v>
      </c>
      <c r="B1425" t="s">
        <v>22</v>
      </c>
      <c r="C1425" t="s">
        <v>14</v>
      </c>
      <c r="D1425" t="s">
        <v>33</v>
      </c>
      <c r="E1425">
        <v>35</v>
      </c>
      <c r="F1425">
        <v>0.25</v>
      </c>
      <c r="G1425">
        <v>51</v>
      </c>
      <c r="H1425" s="1">
        <v>45191</v>
      </c>
      <c r="I1425">
        <v>2023</v>
      </c>
      <c r="J1425">
        <v>9</v>
      </c>
      <c r="K1425" t="s">
        <v>30</v>
      </c>
      <c r="L1425">
        <v>0</v>
      </c>
      <c r="M1425">
        <v>1</v>
      </c>
    </row>
    <row r="1426" spans="1:13" x14ac:dyDescent="0.25">
      <c r="A1426" t="s">
        <v>1153</v>
      </c>
      <c r="B1426" t="s">
        <v>18</v>
      </c>
      <c r="C1426" t="s">
        <v>14</v>
      </c>
      <c r="D1426" t="s">
        <v>15</v>
      </c>
      <c r="E1426">
        <v>30</v>
      </c>
      <c r="F1426" t="s">
        <v>21</v>
      </c>
      <c r="G1426">
        <v>857</v>
      </c>
      <c r="H1426" s="1">
        <v>45191</v>
      </c>
      <c r="I1426">
        <v>2023</v>
      </c>
      <c r="J1426">
        <v>9</v>
      </c>
      <c r="K1426" t="s">
        <v>36</v>
      </c>
      <c r="L1426" t="s">
        <v>21</v>
      </c>
      <c r="M1426">
        <v>1</v>
      </c>
    </row>
    <row r="1427" spans="1:13" x14ac:dyDescent="0.25">
      <c r="A1427" t="s">
        <v>1154</v>
      </c>
      <c r="B1427" t="s">
        <v>95</v>
      </c>
      <c r="C1427" t="s">
        <v>64</v>
      </c>
      <c r="D1427" t="s">
        <v>20</v>
      </c>
      <c r="E1427" t="s">
        <v>21</v>
      </c>
      <c r="F1427" t="s">
        <v>21</v>
      </c>
      <c r="G1427">
        <v>749</v>
      </c>
      <c r="H1427" s="1">
        <v>45191</v>
      </c>
      <c r="I1427">
        <v>2023</v>
      </c>
      <c r="J1427">
        <v>9</v>
      </c>
      <c r="K1427" t="s">
        <v>36</v>
      </c>
      <c r="L1427" t="s">
        <v>21</v>
      </c>
      <c r="M1427">
        <v>0</v>
      </c>
    </row>
    <row r="1428" spans="1:13" x14ac:dyDescent="0.25">
      <c r="A1428" t="s">
        <v>1155</v>
      </c>
      <c r="B1428" t="s">
        <v>32</v>
      </c>
      <c r="C1428" t="s">
        <v>80</v>
      </c>
      <c r="D1428" t="s">
        <v>68</v>
      </c>
      <c r="E1428" t="s">
        <v>21</v>
      </c>
      <c r="F1428">
        <v>1</v>
      </c>
      <c r="G1428">
        <v>14</v>
      </c>
      <c r="H1428" s="1">
        <v>45191</v>
      </c>
      <c r="I1428">
        <v>2023</v>
      </c>
      <c r="J1428">
        <v>9</v>
      </c>
      <c r="K1428" t="s">
        <v>30</v>
      </c>
      <c r="L1428">
        <v>1</v>
      </c>
      <c r="M1428">
        <v>1</v>
      </c>
    </row>
    <row r="1429" spans="1:13" x14ac:dyDescent="0.25">
      <c r="A1429" t="s">
        <v>1156</v>
      </c>
      <c r="B1429" t="s">
        <v>24</v>
      </c>
      <c r="C1429" t="s">
        <v>48</v>
      </c>
      <c r="D1429" t="s">
        <v>111</v>
      </c>
      <c r="E1429">
        <v>130</v>
      </c>
      <c r="F1429" t="s">
        <v>21</v>
      </c>
      <c r="G1429">
        <v>390</v>
      </c>
      <c r="H1429" s="1">
        <v>45190</v>
      </c>
      <c r="I1429">
        <v>2023</v>
      </c>
      <c r="J1429">
        <v>9</v>
      </c>
      <c r="K1429" t="s">
        <v>36</v>
      </c>
      <c r="L1429" t="s">
        <v>21</v>
      </c>
      <c r="M1429">
        <v>1</v>
      </c>
    </row>
    <row r="1430" spans="1:13" x14ac:dyDescent="0.25">
      <c r="A1430" t="s">
        <v>1157</v>
      </c>
      <c r="B1430" t="s">
        <v>35</v>
      </c>
      <c r="C1430" t="s">
        <v>19</v>
      </c>
      <c r="D1430" t="s">
        <v>20</v>
      </c>
      <c r="E1430">
        <v>100</v>
      </c>
      <c r="F1430" t="s">
        <v>21</v>
      </c>
      <c r="G1430" t="s">
        <v>21</v>
      </c>
      <c r="H1430" s="1">
        <v>45190</v>
      </c>
      <c r="I1430">
        <v>2023</v>
      </c>
      <c r="J1430">
        <v>9</v>
      </c>
      <c r="K1430" t="s">
        <v>22</v>
      </c>
      <c r="L1430" t="s">
        <v>21</v>
      </c>
      <c r="M1430">
        <v>1</v>
      </c>
    </row>
    <row r="1431" spans="1:13" x14ac:dyDescent="0.25">
      <c r="A1431" t="s">
        <v>76</v>
      </c>
      <c r="B1431" t="s">
        <v>77</v>
      </c>
      <c r="C1431" t="s">
        <v>14</v>
      </c>
      <c r="D1431" t="s">
        <v>15</v>
      </c>
      <c r="E1431" t="s">
        <v>21</v>
      </c>
      <c r="F1431" t="s">
        <v>21</v>
      </c>
      <c r="G1431">
        <v>5600</v>
      </c>
      <c r="H1431" s="1">
        <v>45190</v>
      </c>
      <c r="I1431">
        <v>2023</v>
      </c>
      <c r="J1431">
        <v>9</v>
      </c>
      <c r="K1431" t="s">
        <v>26</v>
      </c>
      <c r="L1431" t="s">
        <v>21</v>
      </c>
      <c r="M1431">
        <v>0</v>
      </c>
    </row>
    <row r="1432" spans="1:13" x14ac:dyDescent="0.25">
      <c r="A1432" t="s">
        <v>1158</v>
      </c>
      <c r="B1432" t="s">
        <v>77</v>
      </c>
      <c r="C1432" t="s">
        <v>48</v>
      </c>
      <c r="D1432" t="s">
        <v>49</v>
      </c>
      <c r="E1432" t="s">
        <v>21</v>
      </c>
      <c r="F1432">
        <v>1</v>
      </c>
      <c r="G1432">
        <v>4</v>
      </c>
      <c r="H1432" s="1">
        <v>45189</v>
      </c>
      <c r="I1432">
        <v>2023</v>
      </c>
      <c r="J1432">
        <v>9</v>
      </c>
      <c r="K1432" t="s">
        <v>16</v>
      </c>
      <c r="L1432">
        <v>1</v>
      </c>
      <c r="M1432">
        <v>1</v>
      </c>
    </row>
    <row r="1433" spans="1:13" x14ac:dyDescent="0.25">
      <c r="A1433" t="s">
        <v>586</v>
      </c>
      <c r="B1433" t="s">
        <v>99</v>
      </c>
      <c r="C1433" t="s">
        <v>14</v>
      </c>
      <c r="D1433" t="s">
        <v>194</v>
      </c>
      <c r="E1433" t="s">
        <v>21</v>
      </c>
      <c r="F1433">
        <v>0.12</v>
      </c>
      <c r="G1433">
        <v>489</v>
      </c>
      <c r="H1433" s="1">
        <v>45189</v>
      </c>
      <c r="I1433">
        <v>2023</v>
      </c>
      <c r="J1433">
        <v>9</v>
      </c>
      <c r="K1433" t="s">
        <v>36</v>
      </c>
      <c r="L1433">
        <v>0</v>
      </c>
      <c r="M1433">
        <v>1</v>
      </c>
    </row>
    <row r="1434" spans="1:13" x14ac:dyDescent="0.25">
      <c r="A1434" t="s">
        <v>1159</v>
      </c>
      <c r="B1434" t="s">
        <v>91</v>
      </c>
      <c r="C1434" t="s">
        <v>14</v>
      </c>
      <c r="D1434" t="s">
        <v>22</v>
      </c>
      <c r="E1434" t="s">
        <v>21</v>
      </c>
      <c r="F1434" t="s">
        <v>21</v>
      </c>
      <c r="G1434" t="s">
        <v>21</v>
      </c>
      <c r="H1434" s="1">
        <v>45189</v>
      </c>
      <c r="I1434">
        <v>2023</v>
      </c>
      <c r="J1434">
        <v>9</v>
      </c>
      <c r="K1434" t="s">
        <v>22</v>
      </c>
      <c r="L1434" t="s">
        <v>21</v>
      </c>
      <c r="M1434">
        <v>0</v>
      </c>
    </row>
    <row r="1435" spans="1:13" x14ac:dyDescent="0.25">
      <c r="A1435" t="s">
        <v>1160</v>
      </c>
      <c r="B1435" t="s">
        <v>95</v>
      </c>
      <c r="C1435" t="s">
        <v>14</v>
      </c>
      <c r="D1435" t="s">
        <v>49</v>
      </c>
      <c r="E1435" t="s">
        <v>21</v>
      </c>
      <c r="F1435">
        <v>1</v>
      </c>
      <c r="G1435">
        <v>10</v>
      </c>
      <c r="H1435" s="1">
        <v>45187</v>
      </c>
      <c r="I1435">
        <v>2023</v>
      </c>
      <c r="J1435">
        <v>9</v>
      </c>
      <c r="K1435" t="s">
        <v>30</v>
      </c>
      <c r="L1435">
        <v>1</v>
      </c>
      <c r="M1435">
        <v>1</v>
      </c>
    </row>
    <row r="1436" spans="1:13" x14ac:dyDescent="0.25">
      <c r="A1436" t="s">
        <v>139</v>
      </c>
      <c r="B1436" t="s">
        <v>140</v>
      </c>
      <c r="C1436" t="s">
        <v>14</v>
      </c>
      <c r="D1436" t="s">
        <v>15</v>
      </c>
      <c r="E1436">
        <v>350</v>
      </c>
      <c r="F1436" t="s">
        <v>21</v>
      </c>
      <c r="G1436">
        <v>2</v>
      </c>
      <c r="H1436" s="1">
        <v>45186</v>
      </c>
      <c r="I1436">
        <v>2023</v>
      </c>
      <c r="J1436">
        <v>9</v>
      </c>
      <c r="K1436" t="s">
        <v>16</v>
      </c>
      <c r="L1436" t="s">
        <v>21</v>
      </c>
      <c r="M1436">
        <v>1</v>
      </c>
    </row>
    <row r="1437" spans="1:13" x14ac:dyDescent="0.25">
      <c r="A1437" t="s">
        <v>1161</v>
      </c>
      <c r="B1437" t="s">
        <v>95</v>
      </c>
      <c r="C1437" t="s">
        <v>14</v>
      </c>
      <c r="D1437" t="s">
        <v>49</v>
      </c>
      <c r="E1437" t="s">
        <v>21</v>
      </c>
      <c r="F1437">
        <v>1</v>
      </c>
      <c r="G1437">
        <v>7</v>
      </c>
      <c r="H1437" s="1">
        <v>45186</v>
      </c>
      <c r="I1437">
        <v>2023</v>
      </c>
      <c r="J1437">
        <v>9</v>
      </c>
      <c r="K1437" t="s">
        <v>16</v>
      </c>
      <c r="L1437">
        <v>1</v>
      </c>
      <c r="M1437">
        <v>1</v>
      </c>
    </row>
    <row r="1438" spans="1:13" x14ac:dyDescent="0.25">
      <c r="A1438" t="s">
        <v>1162</v>
      </c>
      <c r="B1438" t="s">
        <v>35</v>
      </c>
      <c r="C1438" t="s">
        <v>14</v>
      </c>
      <c r="D1438" t="s">
        <v>15</v>
      </c>
      <c r="E1438">
        <v>290</v>
      </c>
      <c r="F1438" t="s">
        <v>21</v>
      </c>
      <c r="G1438">
        <v>438</v>
      </c>
      <c r="H1438" s="1">
        <v>45184</v>
      </c>
      <c r="I1438">
        <v>2023</v>
      </c>
      <c r="J1438">
        <v>9</v>
      </c>
      <c r="K1438" t="s">
        <v>36</v>
      </c>
      <c r="L1438" t="s">
        <v>21</v>
      </c>
      <c r="M1438">
        <v>1</v>
      </c>
    </row>
    <row r="1439" spans="1:13" x14ac:dyDescent="0.25">
      <c r="A1439" t="s">
        <v>1163</v>
      </c>
      <c r="B1439" t="s">
        <v>95</v>
      </c>
      <c r="C1439" t="s">
        <v>174</v>
      </c>
      <c r="D1439" t="s">
        <v>46</v>
      </c>
      <c r="E1439">
        <v>30</v>
      </c>
      <c r="F1439">
        <v>7.0000000000000007E-2</v>
      </c>
      <c r="G1439">
        <v>131</v>
      </c>
      <c r="H1439" s="1">
        <v>45184</v>
      </c>
      <c r="I1439">
        <v>2023</v>
      </c>
      <c r="J1439">
        <v>9</v>
      </c>
      <c r="K1439" t="s">
        <v>36</v>
      </c>
      <c r="L1439">
        <v>0</v>
      </c>
      <c r="M1439">
        <v>1</v>
      </c>
    </row>
    <row r="1440" spans="1:13" x14ac:dyDescent="0.25">
      <c r="A1440" t="s">
        <v>1164</v>
      </c>
      <c r="B1440" t="s">
        <v>77</v>
      </c>
      <c r="C1440" t="s">
        <v>48</v>
      </c>
      <c r="D1440" t="s">
        <v>68</v>
      </c>
      <c r="E1440" t="s">
        <v>21</v>
      </c>
      <c r="F1440">
        <v>0.14000000000000001</v>
      </c>
      <c r="G1440">
        <v>30</v>
      </c>
      <c r="H1440" s="1">
        <v>45184</v>
      </c>
      <c r="I1440">
        <v>2023</v>
      </c>
      <c r="J1440">
        <v>9</v>
      </c>
      <c r="K1440" t="s">
        <v>30</v>
      </c>
      <c r="L1440">
        <v>0</v>
      </c>
      <c r="M1440">
        <v>1</v>
      </c>
    </row>
    <row r="1441" spans="1:13" x14ac:dyDescent="0.25">
      <c r="A1441" t="s">
        <v>1165</v>
      </c>
      <c r="B1441" t="s">
        <v>114</v>
      </c>
      <c r="C1441" t="s">
        <v>14</v>
      </c>
      <c r="D1441" t="s">
        <v>43</v>
      </c>
      <c r="E1441">
        <v>237</v>
      </c>
      <c r="F1441">
        <v>0.27</v>
      </c>
      <c r="G1441">
        <v>1400</v>
      </c>
      <c r="H1441" s="1">
        <v>45183</v>
      </c>
      <c r="I1441">
        <v>2023</v>
      </c>
      <c r="J1441">
        <v>9</v>
      </c>
      <c r="K1441" t="s">
        <v>26</v>
      </c>
      <c r="L1441">
        <v>0</v>
      </c>
      <c r="M1441">
        <v>1</v>
      </c>
    </row>
    <row r="1442" spans="1:13" x14ac:dyDescent="0.25">
      <c r="A1442" t="s">
        <v>1166</v>
      </c>
      <c r="B1442" t="s">
        <v>117</v>
      </c>
      <c r="C1442" t="s">
        <v>14</v>
      </c>
      <c r="D1442" t="s">
        <v>22</v>
      </c>
      <c r="E1442">
        <v>116</v>
      </c>
      <c r="F1442" t="s">
        <v>21</v>
      </c>
      <c r="G1442">
        <v>817</v>
      </c>
      <c r="H1442" s="1">
        <v>45183</v>
      </c>
      <c r="I1442">
        <v>2023</v>
      </c>
      <c r="J1442">
        <v>9</v>
      </c>
      <c r="K1442" t="s">
        <v>36</v>
      </c>
      <c r="L1442" t="s">
        <v>21</v>
      </c>
      <c r="M1442">
        <v>1</v>
      </c>
    </row>
    <row r="1443" spans="1:13" x14ac:dyDescent="0.25">
      <c r="A1443" t="s">
        <v>996</v>
      </c>
      <c r="B1443" t="s">
        <v>54</v>
      </c>
      <c r="C1443" t="s">
        <v>14</v>
      </c>
      <c r="D1443" t="s">
        <v>43</v>
      </c>
      <c r="E1443">
        <v>40</v>
      </c>
      <c r="F1443">
        <v>0.1</v>
      </c>
      <c r="G1443">
        <v>456</v>
      </c>
      <c r="H1443" s="1">
        <v>45183</v>
      </c>
      <c r="I1443">
        <v>2023</v>
      </c>
      <c r="J1443">
        <v>9</v>
      </c>
      <c r="K1443" t="s">
        <v>36</v>
      </c>
      <c r="L1443">
        <v>0</v>
      </c>
      <c r="M1443">
        <v>1</v>
      </c>
    </row>
    <row r="1444" spans="1:13" x14ac:dyDescent="0.25">
      <c r="A1444" t="s">
        <v>1167</v>
      </c>
      <c r="B1444" t="s">
        <v>52</v>
      </c>
      <c r="C1444" t="s">
        <v>14</v>
      </c>
      <c r="D1444" t="s">
        <v>68</v>
      </c>
      <c r="E1444" t="s">
        <v>21</v>
      </c>
      <c r="F1444">
        <v>0.2</v>
      </c>
      <c r="G1444">
        <v>112</v>
      </c>
      <c r="H1444" s="1">
        <v>45183</v>
      </c>
      <c r="I1444">
        <v>2023</v>
      </c>
      <c r="J1444">
        <v>9</v>
      </c>
      <c r="K1444" t="s">
        <v>36</v>
      </c>
      <c r="L1444">
        <v>0</v>
      </c>
      <c r="M1444">
        <v>1</v>
      </c>
    </row>
    <row r="1445" spans="1:13" x14ac:dyDescent="0.25">
      <c r="A1445" t="s">
        <v>108</v>
      </c>
      <c r="B1445" t="s">
        <v>18</v>
      </c>
      <c r="C1445" t="s">
        <v>14</v>
      </c>
      <c r="D1445" t="s">
        <v>15</v>
      </c>
      <c r="E1445">
        <v>75</v>
      </c>
      <c r="F1445" t="s">
        <v>21</v>
      </c>
      <c r="G1445">
        <v>26</v>
      </c>
      <c r="H1445" s="1">
        <v>45182</v>
      </c>
      <c r="I1445">
        <v>2023</v>
      </c>
      <c r="J1445">
        <v>9</v>
      </c>
      <c r="K1445" t="s">
        <v>30</v>
      </c>
      <c r="L1445" t="s">
        <v>21</v>
      </c>
      <c r="M1445">
        <v>1</v>
      </c>
    </row>
    <row r="1446" spans="1:13" x14ac:dyDescent="0.25">
      <c r="A1446" t="s">
        <v>1168</v>
      </c>
      <c r="B1446" t="s">
        <v>35</v>
      </c>
      <c r="C1446" t="s">
        <v>14</v>
      </c>
      <c r="D1446" t="s">
        <v>15</v>
      </c>
      <c r="E1446" t="s">
        <v>21</v>
      </c>
      <c r="F1446">
        <v>0.4</v>
      </c>
      <c r="G1446">
        <v>301</v>
      </c>
      <c r="H1446" s="1">
        <v>45182</v>
      </c>
      <c r="I1446">
        <v>2023</v>
      </c>
      <c r="J1446">
        <v>9</v>
      </c>
      <c r="K1446" t="s">
        <v>36</v>
      </c>
      <c r="L1446">
        <v>0</v>
      </c>
      <c r="M1446">
        <v>1</v>
      </c>
    </row>
    <row r="1447" spans="1:13" x14ac:dyDescent="0.25">
      <c r="A1447" t="s">
        <v>1169</v>
      </c>
      <c r="B1447" t="s">
        <v>73</v>
      </c>
      <c r="C1447" t="s">
        <v>14</v>
      </c>
      <c r="D1447" t="s">
        <v>43</v>
      </c>
      <c r="E1447">
        <v>175</v>
      </c>
      <c r="F1447">
        <v>0.2</v>
      </c>
      <c r="G1447">
        <v>224</v>
      </c>
      <c r="H1447" s="1">
        <v>45181</v>
      </c>
      <c r="I1447">
        <v>2023</v>
      </c>
      <c r="J1447">
        <v>9</v>
      </c>
      <c r="K1447" t="s">
        <v>36</v>
      </c>
      <c r="L1447">
        <v>0</v>
      </c>
      <c r="M1447">
        <v>1</v>
      </c>
    </row>
    <row r="1448" spans="1:13" x14ac:dyDescent="0.25">
      <c r="A1448" t="s">
        <v>1170</v>
      </c>
      <c r="B1448" t="s">
        <v>52</v>
      </c>
      <c r="C1448" t="s">
        <v>14</v>
      </c>
      <c r="D1448" t="s">
        <v>97</v>
      </c>
      <c r="E1448">
        <v>100</v>
      </c>
      <c r="F1448">
        <v>0.33</v>
      </c>
      <c r="G1448" t="s">
        <v>21</v>
      </c>
      <c r="H1448" s="1">
        <v>45181</v>
      </c>
      <c r="I1448">
        <v>2023</v>
      </c>
      <c r="J1448">
        <v>9</v>
      </c>
      <c r="K1448" t="s">
        <v>22</v>
      </c>
      <c r="L1448">
        <v>0</v>
      </c>
      <c r="M1448">
        <v>1</v>
      </c>
    </row>
    <row r="1449" spans="1:13" x14ac:dyDescent="0.25">
      <c r="A1449" t="s">
        <v>667</v>
      </c>
      <c r="B1449" t="s">
        <v>106</v>
      </c>
      <c r="C1449" t="s">
        <v>174</v>
      </c>
      <c r="D1449" t="s">
        <v>55</v>
      </c>
      <c r="E1449">
        <v>87</v>
      </c>
      <c r="F1449">
        <v>0.03</v>
      </c>
      <c r="G1449">
        <v>389</v>
      </c>
      <c r="H1449" s="1">
        <v>45181</v>
      </c>
      <c r="I1449">
        <v>2023</v>
      </c>
      <c r="J1449">
        <v>9</v>
      </c>
      <c r="K1449" t="s">
        <v>36</v>
      </c>
      <c r="L1449">
        <v>0</v>
      </c>
      <c r="M1449">
        <v>1</v>
      </c>
    </row>
    <row r="1450" spans="1:13" x14ac:dyDescent="0.25">
      <c r="A1450" t="s">
        <v>1171</v>
      </c>
      <c r="B1450" t="s">
        <v>91</v>
      </c>
      <c r="C1450" t="s">
        <v>83</v>
      </c>
      <c r="D1450" t="s">
        <v>22</v>
      </c>
      <c r="E1450">
        <v>40</v>
      </c>
      <c r="F1450">
        <v>0.2</v>
      </c>
      <c r="G1450">
        <v>71</v>
      </c>
      <c r="H1450" s="1">
        <v>45181</v>
      </c>
      <c r="I1450">
        <v>2023</v>
      </c>
      <c r="J1450">
        <v>9</v>
      </c>
      <c r="K1450" t="s">
        <v>30</v>
      </c>
      <c r="L1450">
        <v>0</v>
      </c>
      <c r="M1450">
        <v>1</v>
      </c>
    </row>
    <row r="1451" spans="1:13" x14ac:dyDescent="0.25">
      <c r="A1451" t="s">
        <v>241</v>
      </c>
      <c r="B1451" t="s">
        <v>28</v>
      </c>
      <c r="C1451" t="s">
        <v>14</v>
      </c>
      <c r="D1451" t="s">
        <v>22</v>
      </c>
      <c r="E1451">
        <v>27</v>
      </c>
      <c r="F1451">
        <v>0.09</v>
      </c>
      <c r="G1451">
        <v>296</v>
      </c>
      <c r="H1451" s="1">
        <v>45181</v>
      </c>
      <c r="I1451">
        <v>2023</v>
      </c>
      <c r="J1451">
        <v>9</v>
      </c>
      <c r="K1451" t="s">
        <v>36</v>
      </c>
      <c r="L1451">
        <v>0</v>
      </c>
      <c r="M1451">
        <v>1</v>
      </c>
    </row>
    <row r="1452" spans="1:13" x14ac:dyDescent="0.25">
      <c r="A1452" t="s">
        <v>1172</v>
      </c>
      <c r="B1452" t="s">
        <v>13</v>
      </c>
      <c r="C1452" t="s">
        <v>356</v>
      </c>
      <c r="D1452" t="s">
        <v>68</v>
      </c>
      <c r="E1452">
        <v>111</v>
      </c>
      <c r="F1452" t="s">
        <v>21</v>
      </c>
      <c r="G1452">
        <v>42</v>
      </c>
      <c r="H1452" s="1">
        <v>45180</v>
      </c>
      <c r="I1452">
        <v>2023</v>
      </c>
      <c r="J1452">
        <v>9</v>
      </c>
      <c r="K1452" t="s">
        <v>30</v>
      </c>
      <c r="L1452" t="s">
        <v>21</v>
      </c>
      <c r="M1452">
        <v>1</v>
      </c>
    </row>
    <row r="1453" spans="1:13" x14ac:dyDescent="0.25">
      <c r="A1453" t="s">
        <v>1173</v>
      </c>
      <c r="B1453" t="s">
        <v>77</v>
      </c>
      <c r="C1453" t="s">
        <v>14</v>
      </c>
      <c r="D1453" t="s">
        <v>347</v>
      </c>
      <c r="E1453">
        <v>100</v>
      </c>
      <c r="F1453">
        <v>0.1</v>
      </c>
      <c r="G1453">
        <v>468</v>
      </c>
      <c r="H1453" s="1">
        <v>45180</v>
      </c>
      <c r="I1453">
        <v>2023</v>
      </c>
      <c r="J1453">
        <v>9</v>
      </c>
      <c r="K1453" t="s">
        <v>36</v>
      </c>
      <c r="L1453">
        <v>0</v>
      </c>
      <c r="M1453">
        <v>1</v>
      </c>
    </row>
    <row r="1454" spans="1:13" x14ac:dyDescent="0.25">
      <c r="A1454" t="s">
        <v>1174</v>
      </c>
      <c r="B1454" t="s">
        <v>91</v>
      </c>
      <c r="C1454" t="s">
        <v>14</v>
      </c>
      <c r="D1454" t="s">
        <v>33</v>
      </c>
      <c r="E1454">
        <v>94</v>
      </c>
      <c r="F1454" t="s">
        <v>21</v>
      </c>
      <c r="G1454">
        <v>180</v>
      </c>
      <c r="H1454" s="1">
        <v>45180</v>
      </c>
      <c r="I1454">
        <v>2023</v>
      </c>
      <c r="J1454">
        <v>9</v>
      </c>
      <c r="K1454" t="s">
        <v>36</v>
      </c>
      <c r="L1454" t="s">
        <v>21</v>
      </c>
      <c r="M1454">
        <v>1</v>
      </c>
    </row>
    <row r="1455" spans="1:13" x14ac:dyDescent="0.25">
      <c r="A1455" t="s">
        <v>615</v>
      </c>
      <c r="B1455" t="s">
        <v>95</v>
      </c>
      <c r="C1455" t="s">
        <v>14</v>
      </c>
      <c r="D1455" t="s">
        <v>22</v>
      </c>
      <c r="E1455">
        <v>34</v>
      </c>
      <c r="F1455">
        <v>0.4</v>
      </c>
      <c r="G1455">
        <v>94</v>
      </c>
      <c r="H1455" s="1">
        <v>45180</v>
      </c>
      <c r="I1455">
        <v>2023</v>
      </c>
      <c r="J1455">
        <v>9</v>
      </c>
      <c r="K1455" t="s">
        <v>30</v>
      </c>
      <c r="L1455">
        <v>0</v>
      </c>
      <c r="M1455">
        <v>1</v>
      </c>
    </row>
    <row r="1456" spans="1:13" x14ac:dyDescent="0.25">
      <c r="A1456" t="s">
        <v>1175</v>
      </c>
      <c r="B1456" t="s">
        <v>13</v>
      </c>
      <c r="C1456" t="s">
        <v>14</v>
      </c>
      <c r="D1456" t="s">
        <v>22</v>
      </c>
      <c r="E1456" t="s">
        <v>21</v>
      </c>
      <c r="F1456" t="s">
        <v>21</v>
      </c>
      <c r="G1456" t="s">
        <v>21</v>
      </c>
      <c r="H1456" s="1">
        <v>45180</v>
      </c>
      <c r="I1456">
        <v>2023</v>
      </c>
      <c r="J1456">
        <v>9</v>
      </c>
      <c r="K1456" t="s">
        <v>22</v>
      </c>
      <c r="L1456" t="s">
        <v>21</v>
      </c>
      <c r="M1456">
        <v>0</v>
      </c>
    </row>
    <row r="1457" spans="1:13" x14ac:dyDescent="0.25">
      <c r="A1457" t="s">
        <v>1176</v>
      </c>
      <c r="B1457" t="s">
        <v>77</v>
      </c>
      <c r="C1457" t="s">
        <v>74</v>
      </c>
      <c r="D1457" t="s">
        <v>46</v>
      </c>
      <c r="E1457" t="s">
        <v>21</v>
      </c>
      <c r="F1457" t="s">
        <v>21</v>
      </c>
      <c r="G1457">
        <v>928</v>
      </c>
      <c r="H1457" s="1">
        <v>45180</v>
      </c>
      <c r="I1457">
        <v>2023</v>
      </c>
      <c r="J1457">
        <v>9</v>
      </c>
      <c r="K1457" t="s">
        <v>36</v>
      </c>
      <c r="L1457" t="s">
        <v>21</v>
      </c>
      <c r="M1457">
        <v>0</v>
      </c>
    </row>
    <row r="1458" spans="1:13" x14ac:dyDescent="0.25">
      <c r="A1458" t="s">
        <v>1177</v>
      </c>
      <c r="B1458" t="s">
        <v>40</v>
      </c>
      <c r="C1458" t="s">
        <v>14</v>
      </c>
      <c r="D1458" t="s">
        <v>46</v>
      </c>
      <c r="E1458" t="s">
        <v>21</v>
      </c>
      <c r="F1458" t="s">
        <v>21</v>
      </c>
      <c r="G1458">
        <v>224</v>
      </c>
      <c r="H1458" s="1">
        <v>45180</v>
      </c>
      <c r="I1458">
        <v>2023</v>
      </c>
      <c r="J1458">
        <v>9</v>
      </c>
      <c r="K1458" t="s">
        <v>36</v>
      </c>
      <c r="L1458" t="s">
        <v>21</v>
      </c>
      <c r="M1458">
        <v>0</v>
      </c>
    </row>
    <row r="1459" spans="1:13" x14ac:dyDescent="0.25">
      <c r="A1459" t="s">
        <v>649</v>
      </c>
      <c r="B1459" t="s">
        <v>102</v>
      </c>
      <c r="C1459" t="s">
        <v>14</v>
      </c>
      <c r="D1459" t="s">
        <v>22</v>
      </c>
      <c r="E1459" t="s">
        <v>21</v>
      </c>
      <c r="F1459">
        <v>0.1</v>
      </c>
      <c r="G1459">
        <v>1400</v>
      </c>
      <c r="H1459" s="1">
        <v>45177</v>
      </c>
      <c r="I1459">
        <v>2023</v>
      </c>
      <c r="J1459">
        <v>9</v>
      </c>
      <c r="K1459" t="s">
        <v>26</v>
      </c>
      <c r="L1459">
        <v>0</v>
      </c>
      <c r="M1459">
        <v>1</v>
      </c>
    </row>
    <row r="1460" spans="1:13" x14ac:dyDescent="0.25">
      <c r="A1460" t="s">
        <v>1178</v>
      </c>
      <c r="B1460" t="s">
        <v>54</v>
      </c>
      <c r="C1460" t="s">
        <v>14</v>
      </c>
      <c r="D1460" t="s">
        <v>81</v>
      </c>
      <c r="E1460" t="s">
        <v>21</v>
      </c>
      <c r="F1460" t="s">
        <v>21</v>
      </c>
      <c r="G1460">
        <v>46</v>
      </c>
      <c r="H1460" s="1">
        <v>45177</v>
      </c>
      <c r="I1460">
        <v>2023</v>
      </c>
      <c r="J1460">
        <v>9</v>
      </c>
      <c r="K1460" t="s">
        <v>30</v>
      </c>
      <c r="L1460" t="s">
        <v>21</v>
      </c>
      <c r="M1460">
        <v>0</v>
      </c>
    </row>
    <row r="1461" spans="1:13" x14ac:dyDescent="0.25">
      <c r="A1461" t="s">
        <v>1179</v>
      </c>
      <c r="B1461" t="s">
        <v>54</v>
      </c>
      <c r="C1461" t="s">
        <v>14</v>
      </c>
      <c r="D1461" t="s">
        <v>20</v>
      </c>
      <c r="E1461">
        <v>100</v>
      </c>
      <c r="F1461">
        <v>0.25</v>
      </c>
      <c r="G1461">
        <v>107</v>
      </c>
      <c r="H1461" s="1">
        <v>45176</v>
      </c>
      <c r="I1461">
        <v>2023</v>
      </c>
      <c r="J1461">
        <v>9</v>
      </c>
      <c r="K1461" t="s">
        <v>36</v>
      </c>
      <c r="L1461">
        <v>0</v>
      </c>
      <c r="M1461">
        <v>1</v>
      </c>
    </row>
    <row r="1462" spans="1:13" x14ac:dyDescent="0.25">
      <c r="A1462" t="s">
        <v>1180</v>
      </c>
      <c r="B1462" t="s">
        <v>77</v>
      </c>
      <c r="C1462" t="s">
        <v>25</v>
      </c>
      <c r="D1462" t="s">
        <v>22</v>
      </c>
      <c r="E1462" t="s">
        <v>21</v>
      </c>
      <c r="F1462" t="s">
        <v>21</v>
      </c>
      <c r="G1462">
        <v>67</v>
      </c>
      <c r="H1462" s="1">
        <v>45176</v>
      </c>
      <c r="I1462">
        <v>2023</v>
      </c>
      <c r="J1462">
        <v>9</v>
      </c>
      <c r="K1462" t="s">
        <v>30</v>
      </c>
      <c r="L1462" t="s">
        <v>21</v>
      </c>
      <c r="M1462">
        <v>0</v>
      </c>
    </row>
    <row r="1463" spans="1:13" x14ac:dyDescent="0.25">
      <c r="A1463" t="s">
        <v>1181</v>
      </c>
      <c r="B1463" t="s">
        <v>32</v>
      </c>
      <c r="C1463" t="s">
        <v>14</v>
      </c>
      <c r="D1463" t="s">
        <v>15</v>
      </c>
      <c r="E1463">
        <v>360</v>
      </c>
      <c r="F1463">
        <v>0.1</v>
      </c>
      <c r="G1463">
        <v>208</v>
      </c>
      <c r="H1463" s="1">
        <v>45175</v>
      </c>
      <c r="I1463">
        <v>2023</v>
      </c>
      <c r="J1463">
        <v>9</v>
      </c>
      <c r="K1463" t="s">
        <v>36</v>
      </c>
      <c r="L1463">
        <v>0</v>
      </c>
      <c r="M1463">
        <v>1</v>
      </c>
    </row>
    <row r="1464" spans="1:13" x14ac:dyDescent="0.25">
      <c r="A1464" t="s">
        <v>1182</v>
      </c>
      <c r="B1464" t="s">
        <v>28</v>
      </c>
      <c r="C1464" t="s">
        <v>29</v>
      </c>
      <c r="D1464" t="s">
        <v>20</v>
      </c>
      <c r="E1464">
        <v>40</v>
      </c>
      <c r="F1464" t="s">
        <v>21</v>
      </c>
      <c r="G1464">
        <v>125</v>
      </c>
      <c r="H1464" s="1">
        <v>45175</v>
      </c>
      <c r="I1464">
        <v>2023</v>
      </c>
      <c r="J1464">
        <v>9</v>
      </c>
      <c r="K1464" t="s">
        <v>36</v>
      </c>
      <c r="L1464" t="s">
        <v>21</v>
      </c>
      <c r="M1464">
        <v>1</v>
      </c>
    </row>
    <row r="1465" spans="1:13" x14ac:dyDescent="0.25">
      <c r="A1465" t="s">
        <v>1183</v>
      </c>
      <c r="B1465" t="s">
        <v>91</v>
      </c>
      <c r="C1465" t="s">
        <v>14</v>
      </c>
      <c r="D1465" t="s">
        <v>22</v>
      </c>
      <c r="E1465" t="s">
        <v>21</v>
      </c>
      <c r="F1465" t="s">
        <v>21</v>
      </c>
      <c r="G1465">
        <v>905</v>
      </c>
      <c r="H1465" s="1">
        <v>45175</v>
      </c>
      <c r="I1465">
        <v>2023</v>
      </c>
      <c r="J1465">
        <v>9</v>
      </c>
      <c r="K1465" t="s">
        <v>36</v>
      </c>
      <c r="L1465" t="s">
        <v>21</v>
      </c>
      <c r="M1465">
        <v>0</v>
      </c>
    </row>
    <row r="1466" spans="1:13" x14ac:dyDescent="0.25">
      <c r="A1466" t="s">
        <v>491</v>
      </c>
      <c r="B1466" t="s">
        <v>490</v>
      </c>
      <c r="C1466" t="s">
        <v>14</v>
      </c>
      <c r="D1466" t="s">
        <v>22</v>
      </c>
      <c r="E1466" t="s">
        <v>21</v>
      </c>
      <c r="F1466" t="s">
        <v>21</v>
      </c>
      <c r="G1466">
        <v>167</v>
      </c>
      <c r="H1466" s="1">
        <v>45175</v>
      </c>
      <c r="I1466">
        <v>2023</v>
      </c>
      <c r="J1466">
        <v>9</v>
      </c>
      <c r="K1466" t="s">
        <v>36</v>
      </c>
      <c r="L1466" t="s">
        <v>21</v>
      </c>
      <c r="M1466">
        <v>0</v>
      </c>
    </row>
    <row r="1467" spans="1:13" x14ac:dyDescent="0.25">
      <c r="A1467" t="s">
        <v>1184</v>
      </c>
      <c r="B1467" t="s">
        <v>35</v>
      </c>
      <c r="C1467" t="s">
        <v>14</v>
      </c>
      <c r="D1467" t="s">
        <v>15</v>
      </c>
      <c r="E1467" t="s">
        <v>21</v>
      </c>
      <c r="F1467">
        <v>0.2</v>
      </c>
      <c r="G1467">
        <v>31</v>
      </c>
      <c r="H1467" s="1">
        <v>45175</v>
      </c>
      <c r="I1467">
        <v>2023</v>
      </c>
      <c r="J1467">
        <v>9</v>
      </c>
      <c r="K1467" t="s">
        <v>30</v>
      </c>
      <c r="L1467">
        <v>0</v>
      </c>
      <c r="M1467">
        <v>1</v>
      </c>
    </row>
    <row r="1468" spans="1:13" x14ac:dyDescent="0.25">
      <c r="A1468" t="s">
        <v>1185</v>
      </c>
      <c r="B1468" t="s">
        <v>73</v>
      </c>
      <c r="C1468" t="s">
        <v>230</v>
      </c>
      <c r="D1468" t="s">
        <v>22</v>
      </c>
      <c r="E1468">
        <v>82</v>
      </c>
      <c r="F1468">
        <v>0.18</v>
      </c>
      <c r="G1468" t="s">
        <v>21</v>
      </c>
      <c r="H1468" s="1">
        <v>45174</v>
      </c>
      <c r="I1468">
        <v>2023</v>
      </c>
      <c r="J1468">
        <v>9</v>
      </c>
      <c r="K1468" t="s">
        <v>22</v>
      </c>
      <c r="L1468">
        <v>0</v>
      </c>
      <c r="M1468">
        <v>1</v>
      </c>
    </row>
    <row r="1469" spans="1:13" x14ac:dyDescent="0.25">
      <c r="A1469" t="s">
        <v>1186</v>
      </c>
      <c r="B1469" t="s">
        <v>35</v>
      </c>
      <c r="C1469" t="s">
        <v>14</v>
      </c>
      <c r="D1469" t="s">
        <v>15</v>
      </c>
      <c r="E1469">
        <v>30</v>
      </c>
      <c r="F1469">
        <v>0.15</v>
      </c>
      <c r="G1469">
        <v>238</v>
      </c>
      <c r="H1469" s="1">
        <v>45174</v>
      </c>
      <c r="I1469">
        <v>2023</v>
      </c>
      <c r="J1469">
        <v>9</v>
      </c>
      <c r="K1469" t="s">
        <v>36</v>
      </c>
      <c r="L1469">
        <v>0</v>
      </c>
      <c r="M1469">
        <v>1</v>
      </c>
    </row>
    <row r="1470" spans="1:13" x14ac:dyDescent="0.25">
      <c r="A1470" t="s">
        <v>1187</v>
      </c>
      <c r="B1470" t="s">
        <v>24</v>
      </c>
      <c r="C1470" t="s">
        <v>14</v>
      </c>
      <c r="D1470" t="s">
        <v>49</v>
      </c>
      <c r="E1470">
        <v>24</v>
      </c>
      <c r="F1470">
        <v>0.2</v>
      </c>
      <c r="G1470">
        <v>40</v>
      </c>
      <c r="H1470" s="1">
        <v>45174</v>
      </c>
      <c r="I1470">
        <v>2023</v>
      </c>
      <c r="J1470">
        <v>9</v>
      </c>
      <c r="K1470" t="s">
        <v>30</v>
      </c>
      <c r="L1470">
        <v>0</v>
      </c>
      <c r="M1470">
        <v>1</v>
      </c>
    </row>
    <row r="1471" spans="1:13" x14ac:dyDescent="0.25">
      <c r="A1471" t="s">
        <v>1188</v>
      </c>
      <c r="B1471" t="s">
        <v>45</v>
      </c>
      <c r="C1471" t="s">
        <v>174</v>
      </c>
      <c r="D1471" t="s">
        <v>33</v>
      </c>
      <c r="E1471" t="s">
        <v>21</v>
      </c>
      <c r="F1471" t="s">
        <v>21</v>
      </c>
      <c r="G1471">
        <v>150</v>
      </c>
      <c r="H1471" s="1">
        <v>45174</v>
      </c>
      <c r="I1471">
        <v>2023</v>
      </c>
      <c r="J1471">
        <v>9</v>
      </c>
      <c r="K1471" t="s">
        <v>36</v>
      </c>
      <c r="L1471" t="s">
        <v>21</v>
      </c>
      <c r="M1471">
        <v>0</v>
      </c>
    </row>
    <row r="1472" spans="1:13" x14ac:dyDescent="0.25">
      <c r="A1472" t="s">
        <v>1189</v>
      </c>
      <c r="B1472" t="s">
        <v>35</v>
      </c>
      <c r="C1472" t="s">
        <v>1190</v>
      </c>
      <c r="D1472" t="s">
        <v>55</v>
      </c>
      <c r="E1472">
        <v>150</v>
      </c>
      <c r="F1472" t="s">
        <v>21</v>
      </c>
      <c r="G1472">
        <v>90</v>
      </c>
      <c r="H1472" s="1">
        <v>45173</v>
      </c>
      <c r="I1472">
        <v>2023</v>
      </c>
      <c r="J1472">
        <v>9</v>
      </c>
      <c r="K1472" t="s">
        <v>30</v>
      </c>
      <c r="L1472" t="s">
        <v>21</v>
      </c>
      <c r="M1472">
        <v>1</v>
      </c>
    </row>
    <row r="1473" spans="1:13" x14ac:dyDescent="0.25">
      <c r="A1473" t="s">
        <v>1191</v>
      </c>
      <c r="B1473" t="s">
        <v>77</v>
      </c>
      <c r="C1473" t="s">
        <v>356</v>
      </c>
      <c r="D1473" t="s">
        <v>68</v>
      </c>
      <c r="E1473">
        <v>24</v>
      </c>
      <c r="F1473" t="s">
        <v>21</v>
      </c>
      <c r="G1473">
        <v>11</v>
      </c>
      <c r="H1473" s="1">
        <v>45173</v>
      </c>
      <c r="I1473">
        <v>2023</v>
      </c>
      <c r="J1473">
        <v>9</v>
      </c>
      <c r="K1473" t="s">
        <v>30</v>
      </c>
      <c r="L1473" t="s">
        <v>21</v>
      </c>
      <c r="M1473">
        <v>1</v>
      </c>
    </row>
    <row r="1474" spans="1:13" x14ac:dyDescent="0.25">
      <c r="A1474" t="s">
        <v>1192</v>
      </c>
      <c r="B1474" t="s">
        <v>66</v>
      </c>
      <c r="C1474" t="s">
        <v>14</v>
      </c>
      <c r="D1474" t="s">
        <v>55</v>
      </c>
      <c r="E1474">
        <v>17</v>
      </c>
      <c r="F1474">
        <v>0.14000000000000001</v>
      </c>
      <c r="G1474">
        <v>149</v>
      </c>
      <c r="H1474" s="1">
        <v>45173</v>
      </c>
      <c r="I1474">
        <v>2023</v>
      </c>
      <c r="J1474">
        <v>9</v>
      </c>
      <c r="K1474" t="s">
        <v>36</v>
      </c>
      <c r="L1474">
        <v>0</v>
      </c>
      <c r="M1474">
        <v>1</v>
      </c>
    </row>
    <row r="1475" spans="1:13" x14ac:dyDescent="0.25">
      <c r="A1475" t="s">
        <v>1193</v>
      </c>
      <c r="B1475" t="s">
        <v>77</v>
      </c>
      <c r="C1475" t="s">
        <v>48</v>
      </c>
      <c r="D1475" t="s">
        <v>46</v>
      </c>
      <c r="E1475">
        <v>42</v>
      </c>
      <c r="F1475" t="s">
        <v>21</v>
      </c>
      <c r="G1475">
        <v>187</v>
      </c>
      <c r="H1475" s="1">
        <v>45170</v>
      </c>
      <c r="I1475">
        <v>2023</v>
      </c>
      <c r="J1475">
        <v>9</v>
      </c>
      <c r="K1475" t="s">
        <v>36</v>
      </c>
      <c r="L1475" t="s">
        <v>21</v>
      </c>
      <c r="M1475">
        <v>1</v>
      </c>
    </row>
    <row r="1476" spans="1:13" x14ac:dyDescent="0.25">
      <c r="A1476" t="s">
        <v>1194</v>
      </c>
      <c r="B1476" t="s">
        <v>77</v>
      </c>
      <c r="C1476" t="s">
        <v>14</v>
      </c>
      <c r="D1476" t="s">
        <v>55</v>
      </c>
      <c r="E1476" t="s">
        <v>21</v>
      </c>
      <c r="F1476">
        <v>0.28000000000000003</v>
      </c>
      <c r="G1476">
        <v>304</v>
      </c>
      <c r="H1476" s="1">
        <v>45170</v>
      </c>
      <c r="I1476">
        <v>2023</v>
      </c>
      <c r="J1476">
        <v>9</v>
      </c>
      <c r="K1476" t="s">
        <v>36</v>
      </c>
      <c r="L1476">
        <v>0</v>
      </c>
      <c r="M1476">
        <v>1</v>
      </c>
    </row>
    <row r="1477" spans="1:13" x14ac:dyDescent="0.25">
      <c r="A1477" t="s">
        <v>1195</v>
      </c>
      <c r="B1477" t="s">
        <v>13</v>
      </c>
      <c r="C1477" t="s">
        <v>14</v>
      </c>
      <c r="D1477" t="s">
        <v>49</v>
      </c>
      <c r="E1477" t="s">
        <v>21</v>
      </c>
      <c r="F1477">
        <v>1</v>
      </c>
      <c r="G1477">
        <v>3</v>
      </c>
      <c r="H1477" s="1">
        <v>45170</v>
      </c>
      <c r="I1477">
        <v>2023</v>
      </c>
      <c r="J1477">
        <v>9</v>
      </c>
      <c r="K1477" t="s">
        <v>16</v>
      </c>
      <c r="L1477">
        <v>1</v>
      </c>
      <c r="M1477">
        <v>1</v>
      </c>
    </row>
    <row r="1478" spans="1:13" x14ac:dyDescent="0.25">
      <c r="A1478" t="s">
        <v>1196</v>
      </c>
      <c r="B1478" t="s">
        <v>95</v>
      </c>
      <c r="C1478" t="s">
        <v>274</v>
      </c>
      <c r="D1478" t="s">
        <v>20</v>
      </c>
      <c r="E1478" t="s">
        <v>21</v>
      </c>
      <c r="F1478">
        <v>1</v>
      </c>
      <c r="G1478" t="s">
        <v>21</v>
      </c>
      <c r="H1478" s="1">
        <v>45170</v>
      </c>
      <c r="I1478">
        <v>2023</v>
      </c>
      <c r="J1478">
        <v>9</v>
      </c>
      <c r="K1478" t="s">
        <v>22</v>
      </c>
      <c r="L1478">
        <v>1</v>
      </c>
      <c r="M1478">
        <v>1</v>
      </c>
    </row>
    <row r="1479" spans="1:13" x14ac:dyDescent="0.25">
      <c r="A1479" t="s">
        <v>1197</v>
      </c>
      <c r="B1479" t="s">
        <v>40</v>
      </c>
      <c r="C1479" t="s">
        <v>14</v>
      </c>
      <c r="D1479" t="s">
        <v>15</v>
      </c>
      <c r="E1479">
        <v>240</v>
      </c>
      <c r="F1479">
        <v>0.04</v>
      </c>
      <c r="G1479" t="s">
        <v>21</v>
      </c>
      <c r="H1479" s="1">
        <v>45169</v>
      </c>
      <c r="I1479">
        <v>2023</v>
      </c>
      <c r="J1479">
        <v>8</v>
      </c>
      <c r="K1479" t="s">
        <v>22</v>
      </c>
      <c r="L1479">
        <v>0</v>
      </c>
      <c r="M1479">
        <v>1</v>
      </c>
    </row>
    <row r="1480" spans="1:13" x14ac:dyDescent="0.25">
      <c r="A1480" t="s">
        <v>1198</v>
      </c>
      <c r="B1480" t="s">
        <v>35</v>
      </c>
      <c r="C1480" t="s">
        <v>14</v>
      </c>
      <c r="D1480" t="s">
        <v>55</v>
      </c>
      <c r="E1480">
        <v>120</v>
      </c>
      <c r="F1480" t="s">
        <v>21</v>
      </c>
      <c r="G1480">
        <v>464</v>
      </c>
      <c r="H1480" s="1">
        <v>45169</v>
      </c>
      <c r="I1480">
        <v>2023</v>
      </c>
      <c r="J1480">
        <v>8</v>
      </c>
      <c r="K1480" t="s">
        <v>36</v>
      </c>
      <c r="L1480" t="s">
        <v>21</v>
      </c>
      <c r="M1480">
        <v>1</v>
      </c>
    </row>
    <row r="1481" spans="1:13" x14ac:dyDescent="0.25">
      <c r="A1481" t="s">
        <v>1199</v>
      </c>
      <c r="B1481" t="s">
        <v>28</v>
      </c>
      <c r="C1481" t="s">
        <v>14</v>
      </c>
      <c r="D1481" t="s">
        <v>33</v>
      </c>
      <c r="E1481">
        <v>100</v>
      </c>
      <c r="F1481" t="s">
        <v>21</v>
      </c>
      <c r="G1481">
        <v>80</v>
      </c>
      <c r="H1481" s="1">
        <v>45169</v>
      </c>
      <c r="I1481">
        <v>2023</v>
      </c>
      <c r="J1481">
        <v>8</v>
      </c>
      <c r="K1481" t="s">
        <v>30</v>
      </c>
      <c r="L1481" t="s">
        <v>21</v>
      </c>
      <c r="M1481">
        <v>1</v>
      </c>
    </row>
    <row r="1482" spans="1:13" x14ac:dyDescent="0.25">
      <c r="A1482" t="s">
        <v>270</v>
      </c>
      <c r="B1482" t="s">
        <v>73</v>
      </c>
      <c r="C1482" t="s">
        <v>14</v>
      </c>
      <c r="D1482" t="s">
        <v>15</v>
      </c>
      <c r="E1482" t="s">
        <v>21</v>
      </c>
      <c r="F1482" t="s">
        <v>21</v>
      </c>
      <c r="G1482">
        <v>3300</v>
      </c>
      <c r="H1482" s="1">
        <v>45169</v>
      </c>
      <c r="I1482">
        <v>2023</v>
      </c>
      <c r="J1482">
        <v>8</v>
      </c>
      <c r="K1482" t="s">
        <v>26</v>
      </c>
      <c r="L1482" t="s">
        <v>21</v>
      </c>
      <c r="M1482">
        <v>0</v>
      </c>
    </row>
    <row r="1483" spans="1:13" x14ac:dyDescent="0.25">
      <c r="A1483" t="s">
        <v>192</v>
      </c>
      <c r="B1483" t="s">
        <v>114</v>
      </c>
      <c r="C1483" t="s">
        <v>14</v>
      </c>
      <c r="D1483" t="s">
        <v>55</v>
      </c>
      <c r="E1483" t="s">
        <v>21</v>
      </c>
      <c r="F1483">
        <v>0.1</v>
      </c>
      <c r="G1483" t="s">
        <v>21</v>
      </c>
      <c r="H1483" s="1">
        <v>45169</v>
      </c>
      <c r="I1483">
        <v>2023</v>
      </c>
      <c r="J1483">
        <v>8</v>
      </c>
      <c r="K1483" t="s">
        <v>22</v>
      </c>
      <c r="L1483">
        <v>0</v>
      </c>
      <c r="M1483">
        <v>1</v>
      </c>
    </row>
    <row r="1484" spans="1:13" x14ac:dyDescent="0.25">
      <c r="A1484" t="s">
        <v>1200</v>
      </c>
      <c r="B1484" t="s">
        <v>13</v>
      </c>
      <c r="C1484" t="s">
        <v>14</v>
      </c>
      <c r="D1484" t="s">
        <v>22</v>
      </c>
      <c r="E1484">
        <v>140</v>
      </c>
      <c r="F1484" t="s">
        <v>21</v>
      </c>
      <c r="G1484">
        <v>198</v>
      </c>
      <c r="H1484" s="1">
        <v>45168</v>
      </c>
      <c r="I1484">
        <v>2023</v>
      </c>
      <c r="J1484">
        <v>8</v>
      </c>
      <c r="K1484" t="s">
        <v>36</v>
      </c>
      <c r="L1484" t="s">
        <v>21</v>
      </c>
      <c r="M1484">
        <v>1</v>
      </c>
    </row>
    <row r="1485" spans="1:13" x14ac:dyDescent="0.25">
      <c r="A1485" t="s">
        <v>1201</v>
      </c>
      <c r="B1485" t="s">
        <v>24</v>
      </c>
      <c r="C1485" t="s">
        <v>48</v>
      </c>
      <c r="D1485" t="s">
        <v>20</v>
      </c>
      <c r="E1485">
        <v>60</v>
      </c>
      <c r="F1485">
        <v>0.35</v>
      </c>
      <c r="G1485">
        <v>10</v>
      </c>
      <c r="H1485" s="1">
        <v>45168</v>
      </c>
      <c r="I1485">
        <v>2023</v>
      </c>
      <c r="J1485">
        <v>8</v>
      </c>
      <c r="K1485" t="s">
        <v>30</v>
      </c>
      <c r="L1485">
        <v>0</v>
      </c>
      <c r="M1485">
        <v>1</v>
      </c>
    </row>
    <row r="1486" spans="1:13" x14ac:dyDescent="0.25">
      <c r="A1486" t="s">
        <v>660</v>
      </c>
      <c r="B1486" t="s">
        <v>35</v>
      </c>
      <c r="C1486" t="s">
        <v>48</v>
      </c>
      <c r="D1486" t="s">
        <v>68</v>
      </c>
      <c r="E1486">
        <v>50</v>
      </c>
      <c r="F1486">
        <v>0.2</v>
      </c>
      <c r="G1486">
        <v>14</v>
      </c>
      <c r="H1486" s="1">
        <v>45168</v>
      </c>
      <c r="I1486">
        <v>2023</v>
      </c>
      <c r="J1486">
        <v>8</v>
      </c>
      <c r="K1486" t="s">
        <v>30</v>
      </c>
      <c r="L1486">
        <v>0</v>
      </c>
      <c r="M1486">
        <v>1</v>
      </c>
    </row>
    <row r="1487" spans="1:13" x14ac:dyDescent="0.25">
      <c r="A1487" t="s">
        <v>1202</v>
      </c>
      <c r="B1487" t="s">
        <v>35</v>
      </c>
      <c r="C1487" t="s">
        <v>80</v>
      </c>
      <c r="D1487" t="s">
        <v>22</v>
      </c>
      <c r="E1487">
        <v>45</v>
      </c>
      <c r="F1487">
        <v>0.1</v>
      </c>
      <c r="G1487">
        <v>217</v>
      </c>
      <c r="H1487" s="1">
        <v>45168</v>
      </c>
      <c r="I1487">
        <v>2023</v>
      </c>
      <c r="J1487">
        <v>8</v>
      </c>
      <c r="K1487" t="s">
        <v>36</v>
      </c>
      <c r="L1487">
        <v>0</v>
      </c>
      <c r="M1487">
        <v>1</v>
      </c>
    </row>
    <row r="1488" spans="1:13" x14ac:dyDescent="0.25">
      <c r="A1488" t="s">
        <v>1203</v>
      </c>
      <c r="B1488" t="s">
        <v>114</v>
      </c>
      <c r="C1488" t="s">
        <v>14</v>
      </c>
      <c r="D1488" t="s">
        <v>49</v>
      </c>
      <c r="E1488">
        <v>37</v>
      </c>
      <c r="F1488">
        <v>0.35</v>
      </c>
      <c r="G1488">
        <v>1</v>
      </c>
      <c r="H1488" s="1">
        <v>45168</v>
      </c>
      <c r="I1488">
        <v>2023</v>
      </c>
      <c r="J1488">
        <v>8</v>
      </c>
      <c r="K1488" t="s">
        <v>16</v>
      </c>
      <c r="L1488">
        <v>0</v>
      </c>
      <c r="M1488">
        <v>1</v>
      </c>
    </row>
    <row r="1489" spans="1:13" x14ac:dyDescent="0.25">
      <c r="A1489" t="s">
        <v>660</v>
      </c>
      <c r="B1489" t="s">
        <v>35</v>
      </c>
      <c r="C1489" t="s">
        <v>48</v>
      </c>
      <c r="D1489" t="s">
        <v>22</v>
      </c>
      <c r="E1489">
        <v>50</v>
      </c>
      <c r="F1489">
        <v>0.2</v>
      </c>
      <c r="G1489">
        <v>14</v>
      </c>
      <c r="H1489" s="1">
        <v>45167</v>
      </c>
      <c r="I1489">
        <v>2023</v>
      </c>
      <c r="J1489">
        <v>8</v>
      </c>
      <c r="K1489" t="s">
        <v>30</v>
      </c>
      <c r="L1489">
        <v>0</v>
      </c>
      <c r="M1489">
        <v>1</v>
      </c>
    </row>
    <row r="1490" spans="1:13" x14ac:dyDescent="0.25">
      <c r="A1490" t="s">
        <v>1204</v>
      </c>
      <c r="B1490" t="s">
        <v>73</v>
      </c>
      <c r="C1490" t="s">
        <v>230</v>
      </c>
      <c r="D1490" t="s">
        <v>22</v>
      </c>
      <c r="E1490" t="s">
        <v>21</v>
      </c>
      <c r="F1490" t="s">
        <v>21</v>
      </c>
      <c r="G1490" t="s">
        <v>21</v>
      </c>
      <c r="H1490" s="1">
        <v>45167</v>
      </c>
      <c r="I1490">
        <v>2023</v>
      </c>
      <c r="J1490">
        <v>8</v>
      </c>
      <c r="K1490" t="s">
        <v>22</v>
      </c>
      <c r="L1490" t="s">
        <v>21</v>
      </c>
      <c r="M1490">
        <v>0</v>
      </c>
    </row>
    <row r="1491" spans="1:13" x14ac:dyDescent="0.25">
      <c r="A1491" t="s">
        <v>304</v>
      </c>
      <c r="B1491" t="s">
        <v>102</v>
      </c>
      <c r="C1491" t="s">
        <v>14</v>
      </c>
      <c r="D1491" t="s">
        <v>15</v>
      </c>
      <c r="E1491">
        <v>700</v>
      </c>
      <c r="F1491">
        <v>7.0000000000000007E-2</v>
      </c>
      <c r="G1491">
        <v>2000</v>
      </c>
      <c r="H1491" s="1">
        <v>45166</v>
      </c>
      <c r="I1491">
        <v>2023</v>
      </c>
      <c r="J1491">
        <v>8</v>
      </c>
      <c r="K1491" t="s">
        <v>26</v>
      </c>
      <c r="L1491">
        <v>0</v>
      </c>
      <c r="M1491">
        <v>1</v>
      </c>
    </row>
    <row r="1492" spans="1:13" x14ac:dyDescent="0.25">
      <c r="A1492" t="s">
        <v>1205</v>
      </c>
      <c r="B1492" t="s">
        <v>52</v>
      </c>
      <c r="C1492" t="s">
        <v>48</v>
      </c>
      <c r="D1492" t="s">
        <v>46</v>
      </c>
      <c r="E1492">
        <v>44</v>
      </c>
      <c r="F1492" t="s">
        <v>21</v>
      </c>
      <c r="G1492">
        <v>301</v>
      </c>
      <c r="H1492" s="1">
        <v>45166</v>
      </c>
      <c r="I1492">
        <v>2023</v>
      </c>
      <c r="J1492">
        <v>8</v>
      </c>
      <c r="K1492" t="s">
        <v>36</v>
      </c>
      <c r="L1492" t="s">
        <v>21</v>
      </c>
      <c r="M1492">
        <v>1</v>
      </c>
    </row>
    <row r="1493" spans="1:13" x14ac:dyDescent="0.25">
      <c r="A1493" t="s">
        <v>1206</v>
      </c>
      <c r="B1493" t="s">
        <v>52</v>
      </c>
      <c r="C1493" t="s">
        <v>14</v>
      </c>
      <c r="D1493" t="s">
        <v>49</v>
      </c>
      <c r="E1493" t="s">
        <v>21</v>
      </c>
      <c r="F1493">
        <v>1</v>
      </c>
      <c r="G1493">
        <v>4</v>
      </c>
      <c r="H1493" s="1">
        <v>45166</v>
      </c>
      <c r="I1493">
        <v>2023</v>
      </c>
      <c r="J1493">
        <v>8</v>
      </c>
      <c r="K1493" t="s">
        <v>16</v>
      </c>
      <c r="L1493">
        <v>1</v>
      </c>
      <c r="M1493">
        <v>1</v>
      </c>
    </row>
    <row r="1494" spans="1:13" x14ac:dyDescent="0.25">
      <c r="A1494" t="s">
        <v>1207</v>
      </c>
      <c r="B1494" t="s">
        <v>93</v>
      </c>
      <c r="C1494" t="s">
        <v>1208</v>
      </c>
      <c r="D1494" t="s">
        <v>15</v>
      </c>
      <c r="E1494" t="s">
        <v>21</v>
      </c>
      <c r="F1494" t="s">
        <v>21</v>
      </c>
      <c r="G1494">
        <v>2600</v>
      </c>
      <c r="H1494" s="1">
        <v>45166</v>
      </c>
      <c r="I1494">
        <v>2023</v>
      </c>
      <c r="J1494">
        <v>8</v>
      </c>
      <c r="K1494" t="s">
        <v>26</v>
      </c>
      <c r="L1494" t="s">
        <v>21</v>
      </c>
      <c r="M1494">
        <v>0</v>
      </c>
    </row>
    <row r="1495" spans="1:13" x14ac:dyDescent="0.25">
      <c r="A1495" t="s">
        <v>1209</v>
      </c>
      <c r="B1495" t="s">
        <v>45</v>
      </c>
      <c r="C1495" t="s">
        <v>14</v>
      </c>
      <c r="D1495" t="s">
        <v>55</v>
      </c>
      <c r="E1495">
        <v>53</v>
      </c>
      <c r="F1495" t="s">
        <v>21</v>
      </c>
      <c r="G1495">
        <v>103</v>
      </c>
      <c r="H1495" s="1">
        <v>45165</v>
      </c>
      <c r="I1495">
        <v>2023</v>
      </c>
      <c r="J1495">
        <v>8</v>
      </c>
      <c r="K1495" t="s">
        <v>36</v>
      </c>
      <c r="L1495" t="s">
        <v>21</v>
      </c>
      <c r="M1495">
        <v>1</v>
      </c>
    </row>
    <row r="1496" spans="1:13" x14ac:dyDescent="0.25">
      <c r="A1496" t="s">
        <v>1210</v>
      </c>
      <c r="B1496" t="s">
        <v>106</v>
      </c>
      <c r="C1496" t="s">
        <v>48</v>
      </c>
      <c r="D1496" t="s">
        <v>22</v>
      </c>
      <c r="E1496">
        <v>100</v>
      </c>
      <c r="F1496" t="s">
        <v>21</v>
      </c>
      <c r="G1496">
        <v>121</v>
      </c>
      <c r="H1496" s="1">
        <v>45164</v>
      </c>
      <c r="I1496">
        <v>2023</v>
      </c>
      <c r="J1496">
        <v>8</v>
      </c>
      <c r="K1496" t="s">
        <v>36</v>
      </c>
      <c r="L1496" t="s">
        <v>21</v>
      </c>
      <c r="M1496">
        <v>1</v>
      </c>
    </row>
    <row r="1497" spans="1:13" x14ac:dyDescent="0.25">
      <c r="A1497" t="s">
        <v>1211</v>
      </c>
      <c r="B1497" t="s">
        <v>28</v>
      </c>
      <c r="C1497" t="s">
        <v>14</v>
      </c>
      <c r="D1497" t="s">
        <v>15</v>
      </c>
      <c r="E1497" t="s">
        <v>21</v>
      </c>
      <c r="F1497" t="s">
        <v>21</v>
      </c>
      <c r="G1497">
        <v>89</v>
      </c>
      <c r="H1497" s="1">
        <v>45163</v>
      </c>
      <c r="I1497">
        <v>2023</v>
      </c>
      <c r="J1497">
        <v>8</v>
      </c>
      <c r="K1497" t="s">
        <v>30</v>
      </c>
      <c r="L1497" t="s">
        <v>21</v>
      </c>
      <c r="M1497">
        <v>0</v>
      </c>
    </row>
    <row r="1498" spans="1:13" x14ac:dyDescent="0.25">
      <c r="A1498" t="s">
        <v>1212</v>
      </c>
      <c r="B1498" t="s">
        <v>54</v>
      </c>
      <c r="C1498" t="s">
        <v>14</v>
      </c>
      <c r="D1498" t="s">
        <v>22</v>
      </c>
      <c r="E1498">
        <v>8</v>
      </c>
      <c r="F1498">
        <v>0.03</v>
      </c>
      <c r="G1498">
        <v>4</v>
      </c>
      <c r="H1498" s="1">
        <v>45162</v>
      </c>
      <c r="I1498">
        <v>2023</v>
      </c>
      <c r="J1498">
        <v>8</v>
      </c>
      <c r="K1498" t="s">
        <v>16</v>
      </c>
      <c r="L1498">
        <v>0</v>
      </c>
      <c r="M1498">
        <v>1</v>
      </c>
    </row>
    <row r="1499" spans="1:13" x14ac:dyDescent="0.25">
      <c r="A1499" t="s">
        <v>1213</v>
      </c>
      <c r="B1499" t="s">
        <v>32</v>
      </c>
      <c r="C1499" t="s">
        <v>48</v>
      </c>
      <c r="D1499" t="s">
        <v>22</v>
      </c>
      <c r="E1499" t="s">
        <v>21</v>
      </c>
      <c r="F1499">
        <v>0.5</v>
      </c>
      <c r="G1499">
        <v>88</v>
      </c>
      <c r="H1499" s="1">
        <v>45162</v>
      </c>
      <c r="I1499">
        <v>2023</v>
      </c>
      <c r="J1499">
        <v>8</v>
      </c>
      <c r="K1499" t="s">
        <v>30</v>
      </c>
      <c r="L1499">
        <v>0</v>
      </c>
      <c r="M1499">
        <v>1</v>
      </c>
    </row>
    <row r="1500" spans="1:13" x14ac:dyDescent="0.25">
      <c r="A1500" t="s">
        <v>1214</v>
      </c>
      <c r="B1500" t="s">
        <v>40</v>
      </c>
      <c r="C1500" t="s">
        <v>14</v>
      </c>
      <c r="D1500" t="s">
        <v>33</v>
      </c>
      <c r="E1500">
        <v>150</v>
      </c>
      <c r="F1500">
        <v>0.3</v>
      </c>
      <c r="G1500">
        <v>220</v>
      </c>
      <c r="H1500" s="1">
        <v>45161</v>
      </c>
      <c r="I1500">
        <v>2023</v>
      </c>
      <c r="J1500">
        <v>8</v>
      </c>
      <c r="K1500" t="s">
        <v>36</v>
      </c>
      <c r="L1500">
        <v>0</v>
      </c>
      <c r="M1500">
        <v>1</v>
      </c>
    </row>
    <row r="1501" spans="1:13" x14ac:dyDescent="0.25">
      <c r="A1501" t="s">
        <v>1215</v>
      </c>
      <c r="B1501" t="s">
        <v>28</v>
      </c>
      <c r="C1501" t="s">
        <v>356</v>
      </c>
      <c r="D1501" t="s">
        <v>46</v>
      </c>
      <c r="E1501">
        <v>101</v>
      </c>
      <c r="F1501">
        <v>0.21</v>
      </c>
      <c r="G1501">
        <v>192</v>
      </c>
      <c r="H1501" s="1">
        <v>45161</v>
      </c>
      <c r="I1501">
        <v>2023</v>
      </c>
      <c r="J1501">
        <v>8</v>
      </c>
      <c r="K1501" t="s">
        <v>36</v>
      </c>
      <c r="L1501">
        <v>0</v>
      </c>
      <c r="M1501">
        <v>1</v>
      </c>
    </row>
    <row r="1502" spans="1:13" x14ac:dyDescent="0.25">
      <c r="A1502" t="s">
        <v>1216</v>
      </c>
      <c r="B1502" t="s">
        <v>77</v>
      </c>
      <c r="C1502" t="s">
        <v>14</v>
      </c>
      <c r="D1502" t="s">
        <v>15</v>
      </c>
      <c r="E1502">
        <v>95</v>
      </c>
      <c r="F1502">
        <v>0.05</v>
      </c>
      <c r="G1502">
        <v>220</v>
      </c>
      <c r="H1502" s="1">
        <v>45161</v>
      </c>
      <c r="I1502">
        <v>2023</v>
      </c>
      <c r="J1502">
        <v>8</v>
      </c>
      <c r="K1502" t="s">
        <v>36</v>
      </c>
      <c r="L1502">
        <v>0</v>
      </c>
      <c r="M1502">
        <v>1</v>
      </c>
    </row>
    <row r="1503" spans="1:13" x14ac:dyDescent="0.25">
      <c r="A1503" t="s">
        <v>1217</v>
      </c>
      <c r="B1503" t="s">
        <v>70</v>
      </c>
      <c r="C1503" t="s">
        <v>14</v>
      </c>
      <c r="D1503" t="s">
        <v>22</v>
      </c>
      <c r="E1503">
        <v>24</v>
      </c>
      <c r="F1503">
        <v>0.06</v>
      </c>
      <c r="G1503" t="s">
        <v>21</v>
      </c>
      <c r="H1503" s="1">
        <v>45161</v>
      </c>
      <c r="I1503">
        <v>2023</v>
      </c>
      <c r="J1503">
        <v>8</v>
      </c>
      <c r="K1503" t="s">
        <v>22</v>
      </c>
      <c r="L1503">
        <v>0</v>
      </c>
      <c r="M1503">
        <v>1</v>
      </c>
    </row>
    <row r="1504" spans="1:13" x14ac:dyDescent="0.25">
      <c r="A1504" t="s">
        <v>1218</v>
      </c>
      <c r="B1504" t="s">
        <v>77</v>
      </c>
      <c r="C1504" t="s">
        <v>184</v>
      </c>
      <c r="D1504" t="s">
        <v>46</v>
      </c>
      <c r="E1504" t="s">
        <v>21</v>
      </c>
      <c r="F1504">
        <v>0.2</v>
      </c>
      <c r="G1504">
        <v>54</v>
      </c>
      <c r="H1504" s="1">
        <v>45161</v>
      </c>
      <c r="I1504">
        <v>2023</v>
      </c>
      <c r="J1504">
        <v>8</v>
      </c>
      <c r="K1504" t="s">
        <v>30</v>
      </c>
      <c r="L1504">
        <v>0</v>
      </c>
      <c r="M1504">
        <v>1</v>
      </c>
    </row>
    <row r="1505" spans="1:13" x14ac:dyDescent="0.25">
      <c r="A1505" t="s">
        <v>1219</v>
      </c>
      <c r="B1505" t="s">
        <v>45</v>
      </c>
      <c r="C1505" t="s">
        <v>83</v>
      </c>
      <c r="D1505" t="s">
        <v>22</v>
      </c>
      <c r="E1505" t="s">
        <v>21</v>
      </c>
      <c r="F1505" t="s">
        <v>21</v>
      </c>
      <c r="G1505" t="s">
        <v>21</v>
      </c>
      <c r="H1505" s="1">
        <v>45161</v>
      </c>
      <c r="I1505">
        <v>2023</v>
      </c>
      <c r="J1505">
        <v>8</v>
      </c>
      <c r="K1505" t="s">
        <v>22</v>
      </c>
      <c r="L1505" t="s">
        <v>21</v>
      </c>
      <c r="M1505">
        <v>0</v>
      </c>
    </row>
    <row r="1506" spans="1:13" x14ac:dyDescent="0.25">
      <c r="A1506" t="s">
        <v>789</v>
      </c>
      <c r="B1506" t="s">
        <v>95</v>
      </c>
      <c r="C1506" t="s">
        <v>80</v>
      </c>
      <c r="D1506" t="s">
        <v>111</v>
      </c>
      <c r="E1506">
        <v>2500</v>
      </c>
      <c r="F1506">
        <v>0.11</v>
      </c>
      <c r="G1506">
        <v>1800</v>
      </c>
      <c r="H1506" s="1">
        <v>45160</v>
      </c>
      <c r="I1506">
        <v>2023</v>
      </c>
      <c r="J1506">
        <v>8</v>
      </c>
      <c r="K1506" t="s">
        <v>26</v>
      </c>
      <c r="L1506">
        <v>0</v>
      </c>
      <c r="M1506">
        <v>1</v>
      </c>
    </row>
    <row r="1507" spans="1:13" x14ac:dyDescent="0.25">
      <c r="A1507" t="s">
        <v>1220</v>
      </c>
      <c r="B1507" t="s">
        <v>52</v>
      </c>
      <c r="C1507" t="s">
        <v>48</v>
      </c>
      <c r="D1507" t="s">
        <v>55</v>
      </c>
      <c r="E1507" t="s">
        <v>21</v>
      </c>
      <c r="F1507">
        <v>0.12</v>
      </c>
      <c r="G1507">
        <v>247</v>
      </c>
      <c r="H1507" s="1">
        <v>45160</v>
      </c>
      <c r="I1507">
        <v>2023</v>
      </c>
      <c r="J1507">
        <v>8</v>
      </c>
      <c r="K1507" t="s">
        <v>36</v>
      </c>
      <c r="L1507">
        <v>0</v>
      </c>
      <c r="M1507">
        <v>1</v>
      </c>
    </row>
    <row r="1508" spans="1:13" x14ac:dyDescent="0.25">
      <c r="A1508" t="s">
        <v>1221</v>
      </c>
      <c r="B1508" t="s">
        <v>93</v>
      </c>
      <c r="C1508" t="s">
        <v>29</v>
      </c>
      <c r="D1508" t="s">
        <v>33</v>
      </c>
      <c r="E1508" t="s">
        <v>21</v>
      </c>
      <c r="F1508" t="s">
        <v>21</v>
      </c>
      <c r="G1508">
        <v>72</v>
      </c>
      <c r="H1508" s="1">
        <v>45160</v>
      </c>
      <c r="I1508">
        <v>2023</v>
      </c>
      <c r="J1508">
        <v>8</v>
      </c>
      <c r="K1508" t="s">
        <v>30</v>
      </c>
      <c r="L1508" t="s">
        <v>21</v>
      </c>
      <c r="M1508">
        <v>0</v>
      </c>
    </row>
    <row r="1509" spans="1:13" x14ac:dyDescent="0.25">
      <c r="A1509" t="s">
        <v>1222</v>
      </c>
      <c r="B1509" t="s">
        <v>24</v>
      </c>
      <c r="C1509" t="s">
        <v>25</v>
      </c>
      <c r="D1509" t="s">
        <v>68</v>
      </c>
      <c r="E1509" t="s">
        <v>21</v>
      </c>
      <c r="F1509">
        <v>0.3</v>
      </c>
      <c r="G1509">
        <v>33</v>
      </c>
      <c r="H1509" s="1">
        <v>45160</v>
      </c>
      <c r="I1509">
        <v>2023</v>
      </c>
      <c r="J1509">
        <v>8</v>
      </c>
      <c r="K1509" t="s">
        <v>30</v>
      </c>
      <c r="L1509">
        <v>0</v>
      </c>
      <c r="M1509">
        <v>1</v>
      </c>
    </row>
    <row r="1510" spans="1:13" x14ac:dyDescent="0.25">
      <c r="A1510" t="s">
        <v>1223</v>
      </c>
      <c r="B1510" t="s">
        <v>13</v>
      </c>
      <c r="C1510" t="s">
        <v>14</v>
      </c>
      <c r="D1510" t="s">
        <v>15</v>
      </c>
      <c r="E1510" t="s">
        <v>21</v>
      </c>
      <c r="F1510" t="s">
        <v>21</v>
      </c>
      <c r="G1510">
        <v>154</v>
      </c>
      <c r="H1510" s="1">
        <v>45160</v>
      </c>
      <c r="I1510">
        <v>2023</v>
      </c>
      <c r="J1510">
        <v>8</v>
      </c>
      <c r="K1510" t="s">
        <v>36</v>
      </c>
      <c r="L1510" t="s">
        <v>21</v>
      </c>
      <c r="M1510">
        <v>0</v>
      </c>
    </row>
    <row r="1511" spans="1:13" x14ac:dyDescent="0.25">
      <c r="A1511" t="s">
        <v>1224</v>
      </c>
      <c r="B1511" t="s">
        <v>52</v>
      </c>
      <c r="C1511" t="s">
        <v>14</v>
      </c>
      <c r="D1511" t="s">
        <v>68</v>
      </c>
      <c r="E1511" t="s">
        <v>21</v>
      </c>
      <c r="F1511" t="s">
        <v>21</v>
      </c>
      <c r="G1511">
        <v>55</v>
      </c>
      <c r="H1511" s="1">
        <v>45159</v>
      </c>
      <c r="I1511">
        <v>2023</v>
      </c>
      <c r="J1511">
        <v>8</v>
      </c>
      <c r="K1511" t="s">
        <v>30</v>
      </c>
      <c r="L1511" t="s">
        <v>21</v>
      </c>
      <c r="M1511">
        <v>0</v>
      </c>
    </row>
    <row r="1512" spans="1:13" x14ac:dyDescent="0.25">
      <c r="A1512" t="s">
        <v>1225</v>
      </c>
      <c r="B1512" t="s">
        <v>35</v>
      </c>
      <c r="C1512" t="s">
        <v>14</v>
      </c>
      <c r="D1512" t="s">
        <v>46</v>
      </c>
      <c r="E1512" t="s">
        <v>21</v>
      </c>
      <c r="F1512" t="s">
        <v>21</v>
      </c>
      <c r="G1512">
        <v>196</v>
      </c>
      <c r="H1512" s="1">
        <v>45159</v>
      </c>
      <c r="I1512">
        <v>2023</v>
      </c>
      <c r="J1512">
        <v>8</v>
      </c>
      <c r="K1512" t="s">
        <v>36</v>
      </c>
      <c r="L1512" t="s">
        <v>21</v>
      </c>
      <c r="M1512">
        <v>0</v>
      </c>
    </row>
    <row r="1513" spans="1:13" x14ac:dyDescent="0.25">
      <c r="A1513" t="s">
        <v>1226</v>
      </c>
      <c r="B1513" t="s">
        <v>95</v>
      </c>
      <c r="C1513" t="s">
        <v>184</v>
      </c>
      <c r="D1513" t="s">
        <v>46</v>
      </c>
      <c r="E1513">
        <v>283</v>
      </c>
      <c r="F1513">
        <v>0.33</v>
      </c>
      <c r="G1513">
        <v>157</v>
      </c>
      <c r="H1513" s="1">
        <v>45158</v>
      </c>
      <c r="I1513">
        <v>2023</v>
      </c>
      <c r="J1513">
        <v>8</v>
      </c>
      <c r="K1513" t="s">
        <v>36</v>
      </c>
      <c r="L1513">
        <v>0</v>
      </c>
      <c r="M1513">
        <v>1</v>
      </c>
    </row>
    <row r="1514" spans="1:13" x14ac:dyDescent="0.25">
      <c r="A1514" t="s">
        <v>1227</v>
      </c>
      <c r="B1514" t="s">
        <v>18</v>
      </c>
      <c r="C1514" t="s">
        <v>48</v>
      </c>
      <c r="D1514" t="s">
        <v>22</v>
      </c>
      <c r="E1514">
        <v>125</v>
      </c>
      <c r="F1514">
        <v>0.4</v>
      </c>
      <c r="G1514" t="s">
        <v>21</v>
      </c>
      <c r="H1514" s="1">
        <v>45157</v>
      </c>
      <c r="I1514">
        <v>2023</v>
      </c>
      <c r="J1514">
        <v>8</v>
      </c>
      <c r="K1514" t="s">
        <v>22</v>
      </c>
      <c r="L1514">
        <v>0</v>
      </c>
      <c r="M1514">
        <v>1</v>
      </c>
    </row>
    <row r="1515" spans="1:13" x14ac:dyDescent="0.25">
      <c r="A1515" t="s">
        <v>1228</v>
      </c>
      <c r="B1515" t="s">
        <v>32</v>
      </c>
      <c r="C1515" t="s">
        <v>48</v>
      </c>
      <c r="D1515" t="s">
        <v>97</v>
      </c>
      <c r="E1515">
        <v>100</v>
      </c>
      <c r="F1515">
        <v>0.05</v>
      </c>
      <c r="G1515" t="s">
        <v>21</v>
      </c>
      <c r="H1515" s="1">
        <v>45156</v>
      </c>
      <c r="I1515">
        <v>2023</v>
      </c>
      <c r="J1515">
        <v>8</v>
      </c>
      <c r="K1515" t="s">
        <v>22</v>
      </c>
      <c r="L1515">
        <v>0</v>
      </c>
      <c r="M1515">
        <v>1</v>
      </c>
    </row>
    <row r="1516" spans="1:13" x14ac:dyDescent="0.25">
      <c r="A1516" t="s">
        <v>1229</v>
      </c>
      <c r="B1516" t="s">
        <v>28</v>
      </c>
      <c r="C1516" t="s">
        <v>161</v>
      </c>
      <c r="D1516" t="s">
        <v>22</v>
      </c>
      <c r="E1516">
        <v>30</v>
      </c>
      <c r="F1516" t="s">
        <v>21</v>
      </c>
      <c r="G1516">
        <v>42</v>
      </c>
      <c r="H1516" s="1">
        <v>45156</v>
      </c>
      <c r="I1516">
        <v>2023</v>
      </c>
      <c r="J1516">
        <v>8</v>
      </c>
      <c r="K1516" t="s">
        <v>30</v>
      </c>
      <c r="L1516" t="s">
        <v>21</v>
      </c>
      <c r="M1516">
        <v>1</v>
      </c>
    </row>
    <row r="1517" spans="1:13" x14ac:dyDescent="0.25">
      <c r="A1517" t="s">
        <v>1230</v>
      </c>
      <c r="B1517" t="s">
        <v>114</v>
      </c>
      <c r="C1517" t="s">
        <v>14</v>
      </c>
      <c r="D1517" t="s">
        <v>22</v>
      </c>
      <c r="E1517" t="s">
        <v>21</v>
      </c>
      <c r="F1517" t="s">
        <v>21</v>
      </c>
      <c r="G1517">
        <v>77</v>
      </c>
      <c r="H1517" s="1">
        <v>45156</v>
      </c>
      <c r="I1517">
        <v>2023</v>
      </c>
      <c r="J1517">
        <v>8</v>
      </c>
      <c r="K1517" t="s">
        <v>30</v>
      </c>
      <c r="L1517" t="s">
        <v>21</v>
      </c>
      <c r="M1517">
        <v>0</v>
      </c>
    </row>
    <row r="1518" spans="1:13" x14ac:dyDescent="0.25">
      <c r="A1518" t="s">
        <v>1231</v>
      </c>
      <c r="B1518" t="s">
        <v>13</v>
      </c>
      <c r="C1518" t="s">
        <v>14</v>
      </c>
      <c r="D1518" t="s">
        <v>46</v>
      </c>
      <c r="E1518" t="s">
        <v>21</v>
      </c>
      <c r="F1518">
        <v>0.1</v>
      </c>
      <c r="G1518">
        <v>72</v>
      </c>
      <c r="H1518" s="1">
        <v>45156</v>
      </c>
      <c r="I1518">
        <v>2023</v>
      </c>
      <c r="J1518">
        <v>8</v>
      </c>
      <c r="K1518" t="s">
        <v>30</v>
      </c>
      <c r="L1518">
        <v>0</v>
      </c>
      <c r="M1518">
        <v>1</v>
      </c>
    </row>
    <row r="1519" spans="1:13" x14ac:dyDescent="0.25">
      <c r="A1519" t="s">
        <v>917</v>
      </c>
      <c r="B1519" t="s">
        <v>35</v>
      </c>
      <c r="C1519" t="s">
        <v>14</v>
      </c>
      <c r="D1519" t="s">
        <v>15</v>
      </c>
      <c r="E1519">
        <v>151</v>
      </c>
      <c r="F1519" t="s">
        <v>21</v>
      </c>
      <c r="G1519">
        <v>28</v>
      </c>
      <c r="H1519" s="1">
        <v>45155</v>
      </c>
      <c r="I1519">
        <v>2023</v>
      </c>
      <c r="J1519">
        <v>8</v>
      </c>
      <c r="K1519" t="s">
        <v>30</v>
      </c>
      <c r="L1519" t="s">
        <v>21</v>
      </c>
      <c r="M1519">
        <v>1</v>
      </c>
    </row>
    <row r="1520" spans="1:13" x14ac:dyDescent="0.25">
      <c r="A1520" t="s">
        <v>1232</v>
      </c>
      <c r="B1520" t="s">
        <v>91</v>
      </c>
      <c r="C1520" t="s">
        <v>14</v>
      </c>
      <c r="D1520" t="s">
        <v>15</v>
      </c>
      <c r="E1520">
        <v>149</v>
      </c>
      <c r="F1520">
        <v>0.09</v>
      </c>
      <c r="G1520">
        <v>30</v>
      </c>
      <c r="H1520" s="1">
        <v>45155</v>
      </c>
      <c r="I1520">
        <v>2023</v>
      </c>
      <c r="J1520">
        <v>8</v>
      </c>
      <c r="K1520" t="s">
        <v>30</v>
      </c>
      <c r="L1520">
        <v>0</v>
      </c>
      <c r="M1520">
        <v>1</v>
      </c>
    </row>
    <row r="1521" spans="1:13" x14ac:dyDescent="0.25">
      <c r="A1521" t="s">
        <v>402</v>
      </c>
      <c r="B1521" t="s">
        <v>70</v>
      </c>
      <c r="C1521" t="s">
        <v>14</v>
      </c>
      <c r="D1521" t="s">
        <v>15</v>
      </c>
      <c r="E1521">
        <v>140</v>
      </c>
      <c r="F1521" t="s">
        <v>21</v>
      </c>
      <c r="G1521">
        <v>12</v>
      </c>
      <c r="H1521" s="1">
        <v>45155</v>
      </c>
      <c r="I1521">
        <v>2023</v>
      </c>
      <c r="J1521">
        <v>8</v>
      </c>
      <c r="K1521" t="s">
        <v>30</v>
      </c>
      <c r="L1521" t="s">
        <v>21</v>
      </c>
      <c r="M1521">
        <v>1</v>
      </c>
    </row>
    <row r="1522" spans="1:13" x14ac:dyDescent="0.25">
      <c r="A1522" t="s">
        <v>1233</v>
      </c>
      <c r="B1522" t="s">
        <v>32</v>
      </c>
      <c r="C1522" t="s">
        <v>29</v>
      </c>
      <c r="D1522" t="s">
        <v>33</v>
      </c>
      <c r="E1522">
        <v>60</v>
      </c>
      <c r="F1522">
        <v>0.35</v>
      </c>
      <c r="G1522">
        <v>111</v>
      </c>
      <c r="H1522" s="1">
        <v>45155</v>
      </c>
      <c r="I1522">
        <v>2023</v>
      </c>
      <c r="J1522">
        <v>8</v>
      </c>
      <c r="K1522" t="s">
        <v>36</v>
      </c>
      <c r="L1522">
        <v>0</v>
      </c>
      <c r="M1522">
        <v>1</v>
      </c>
    </row>
    <row r="1523" spans="1:13" x14ac:dyDescent="0.25">
      <c r="A1523" t="s">
        <v>921</v>
      </c>
      <c r="B1523" t="s">
        <v>114</v>
      </c>
      <c r="C1523" t="s">
        <v>14</v>
      </c>
      <c r="D1523" t="s">
        <v>43</v>
      </c>
      <c r="E1523" t="s">
        <v>21</v>
      </c>
      <c r="F1523" t="s">
        <v>21</v>
      </c>
      <c r="G1523">
        <v>315</v>
      </c>
      <c r="H1523" s="1">
        <v>45155</v>
      </c>
      <c r="I1523">
        <v>2023</v>
      </c>
      <c r="J1523">
        <v>8</v>
      </c>
      <c r="K1523" t="s">
        <v>36</v>
      </c>
      <c r="L1523" t="s">
        <v>21</v>
      </c>
      <c r="M1523">
        <v>0</v>
      </c>
    </row>
    <row r="1524" spans="1:13" x14ac:dyDescent="0.25">
      <c r="A1524" t="s">
        <v>1234</v>
      </c>
      <c r="B1524" t="s">
        <v>66</v>
      </c>
      <c r="C1524" t="s">
        <v>14</v>
      </c>
      <c r="D1524" t="s">
        <v>22</v>
      </c>
      <c r="E1524">
        <v>20</v>
      </c>
      <c r="F1524" t="s">
        <v>21</v>
      </c>
      <c r="G1524">
        <v>297</v>
      </c>
      <c r="H1524" s="1">
        <v>45154</v>
      </c>
      <c r="I1524">
        <v>2023</v>
      </c>
      <c r="J1524">
        <v>8</v>
      </c>
      <c r="K1524" t="s">
        <v>36</v>
      </c>
      <c r="L1524" t="s">
        <v>21</v>
      </c>
      <c r="M1524">
        <v>1</v>
      </c>
    </row>
    <row r="1525" spans="1:13" x14ac:dyDescent="0.25">
      <c r="A1525" t="s">
        <v>946</v>
      </c>
      <c r="B1525" t="s">
        <v>77</v>
      </c>
      <c r="C1525" t="s">
        <v>25</v>
      </c>
      <c r="D1525" t="s">
        <v>55</v>
      </c>
      <c r="E1525" t="s">
        <v>21</v>
      </c>
      <c r="F1525" t="s">
        <v>21</v>
      </c>
      <c r="G1525">
        <v>534</v>
      </c>
      <c r="H1525" s="1">
        <v>45154</v>
      </c>
      <c r="I1525">
        <v>2023</v>
      </c>
      <c r="J1525">
        <v>8</v>
      </c>
      <c r="K1525" t="s">
        <v>36</v>
      </c>
      <c r="L1525" t="s">
        <v>21</v>
      </c>
      <c r="M1525">
        <v>0</v>
      </c>
    </row>
    <row r="1526" spans="1:13" x14ac:dyDescent="0.25">
      <c r="A1526" t="s">
        <v>1235</v>
      </c>
      <c r="B1526" t="s">
        <v>18</v>
      </c>
      <c r="C1526" t="s">
        <v>901</v>
      </c>
      <c r="D1526" t="s">
        <v>49</v>
      </c>
      <c r="E1526" t="s">
        <v>21</v>
      </c>
      <c r="F1526" t="s">
        <v>21</v>
      </c>
      <c r="G1526">
        <v>5</v>
      </c>
      <c r="H1526" s="1">
        <v>45153</v>
      </c>
      <c r="I1526">
        <v>2023</v>
      </c>
      <c r="J1526">
        <v>8</v>
      </c>
      <c r="K1526" t="s">
        <v>16</v>
      </c>
      <c r="L1526" t="s">
        <v>21</v>
      </c>
      <c r="M1526">
        <v>0</v>
      </c>
    </row>
    <row r="1527" spans="1:13" x14ac:dyDescent="0.25">
      <c r="A1527" t="s">
        <v>1236</v>
      </c>
      <c r="B1527" t="s">
        <v>28</v>
      </c>
      <c r="C1527" t="s">
        <v>14</v>
      </c>
      <c r="D1527" t="s">
        <v>15</v>
      </c>
      <c r="E1527">
        <v>300</v>
      </c>
      <c r="F1527">
        <v>0.15</v>
      </c>
      <c r="G1527">
        <v>83</v>
      </c>
      <c r="H1527" s="1">
        <v>45152</v>
      </c>
      <c r="I1527">
        <v>2023</v>
      </c>
      <c r="J1527">
        <v>8</v>
      </c>
      <c r="K1527" t="s">
        <v>30</v>
      </c>
      <c r="L1527">
        <v>0</v>
      </c>
      <c r="M1527">
        <v>1</v>
      </c>
    </row>
    <row r="1528" spans="1:13" x14ac:dyDescent="0.25">
      <c r="A1528" t="s">
        <v>1237</v>
      </c>
      <c r="B1528" t="s">
        <v>217</v>
      </c>
      <c r="C1528" t="s">
        <v>137</v>
      </c>
      <c r="D1528" t="s">
        <v>22</v>
      </c>
      <c r="E1528">
        <v>200</v>
      </c>
      <c r="F1528">
        <v>0.56999999999999995</v>
      </c>
      <c r="G1528" t="s">
        <v>21</v>
      </c>
      <c r="H1528" s="1">
        <v>45152</v>
      </c>
      <c r="I1528">
        <v>2023</v>
      </c>
      <c r="J1528">
        <v>8</v>
      </c>
      <c r="K1528" t="s">
        <v>22</v>
      </c>
      <c r="L1528">
        <v>0</v>
      </c>
      <c r="M1528">
        <v>1</v>
      </c>
    </row>
    <row r="1529" spans="1:13" x14ac:dyDescent="0.25">
      <c r="A1529" t="s">
        <v>1238</v>
      </c>
      <c r="B1529" t="s">
        <v>52</v>
      </c>
      <c r="C1529" t="s">
        <v>14</v>
      </c>
      <c r="D1529" t="s">
        <v>20</v>
      </c>
      <c r="E1529" t="s">
        <v>21</v>
      </c>
      <c r="F1529" t="s">
        <v>21</v>
      </c>
      <c r="G1529" t="s">
        <v>21</v>
      </c>
      <c r="H1529" s="1">
        <v>45152</v>
      </c>
      <c r="I1529">
        <v>2023</v>
      </c>
      <c r="J1529">
        <v>8</v>
      </c>
      <c r="K1529" t="s">
        <v>22</v>
      </c>
      <c r="L1529" t="s">
        <v>21</v>
      </c>
      <c r="M1529">
        <v>0</v>
      </c>
    </row>
    <row r="1530" spans="1:13" x14ac:dyDescent="0.25">
      <c r="A1530" t="s">
        <v>1239</v>
      </c>
      <c r="B1530" t="s">
        <v>13</v>
      </c>
      <c r="C1530" t="s">
        <v>657</v>
      </c>
      <c r="D1530" t="s">
        <v>46</v>
      </c>
      <c r="E1530" t="s">
        <v>21</v>
      </c>
      <c r="F1530" t="s">
        <v>21</v>
      </c>
      <c r="G1530" t="s">
        <v>21</v>
      </c>
      <c r="H1530" s="1">
        <v>45152</v>
      </c>
      <c r="I1530">
        <v>2023</v>
      </c>
      <c r="J1530">
        <v>8</v>
      </c>
      <c r="K1530" t="s">
        <v>22</v>
      </c>
      <c r="L1530" t="s">
        <v>21</v>
      </c>
      <c r="M1530">
        <v>0</v>
      </c>
    </row>
    <row r="1531" spans="1:13" x14ac:dyDescent="0.25">
      <c r="A1531" t="s">
        <v>1240</v>
      </c>
      <c r="B1531" t="s">
        <v>106</v>
      </c>
      <c r="C1531" t="s">
        <v>64</v>
      </c>
      <c r="D1531" t="s">
        <v>46</v>
      </c>
      <c r="E1531" t="s">
        <v>21</v>
      </c>
      <c r="F1531" t="s">
        <v>21</v>
      </c>
      <c r="G1531">
        <v>180</v>
      </c>
      <c r="H1531" s="1">
        <v>45149</v>
      </c>
      <c r="I1531">
        <v>2023</v>
      </c>
      <c r="J1531">
        <v>8</v>
      </c>
      <c r="K1531" t="s">
        <v>36</v>
      </c>
      <c r="L1531" t="s">
        <v>21</v>
      </c>
      <c r="M1531">
        <v>0</v>
      </c>
    </row>
    <row r="1532" spans="1:13" x14ac:dyDescent="0.25">
      <c r="A1532" t="s">
        <v>185</v>
      </c>
      <c r="B1532" t="s">
        <v>102</v>
      </c>
      <c r="C1532" t="s">
        <v>14</v>
      </c>
      <c r="D1532" t="s">
        <v>15</v>
      </c>
      <c r="E1532">
        <v>246</v>
      </c>
      <c r="F1532" t="s">
        <v>21</v>
      </c>
      <c r="G1532">
        <v>50</v>
      </c>
      <c r="H1532" s="1">
        <v>45148</v>
      </c>
      <c r="I1532">
        <v>2023</v>
      </c>
      <c r="J1532">
        <v>8</v>
      </c>
      <c r="K1532" t="s">
        <v>30</v>
      </c>
      <c r="L1532" t="s">
        <v>21</v>
      </c>
      <c r="M1532">
        <v>1</v>
      </c>
    </row>
    <row r="1533" spans="1:13" x14ac:dyDescent="0.25">
      <c r="A1533" t="s">
        <v>1241</v>
      </c>
      <c r="B1533" t="s">
        <v>13</v>
      </c>
      <c r="C1533" t="s">
        <v>14</v>
      </c>
      <c r="D1533" t="s">
        <v>46</v>
      </c>
      <c r="E1533">
        <v>59</v>
      </c>
      <c r="F1533" t="s">
        <v>21</v>
      </c>
      <c r="G1533">
        <v>672</v>
      </c>
      <c r="H1533" s="1">
        <v>45148</v>
      </c>
      <c r="I1533">
        <v>2023</v>
      </c>
      <c r="J1533">
        <v>8</v>
      </c>
      <c r="K1533" t="s">
        <v>36</v>
      </c>
      <c r="L1533" t="s">
        <v>21</v>
      </c>
      <c r="M1533">
        <v>1</v>
      </c>
    </row>
    <row r="1534" spans="1:13" x14ac:dyDescent="0.25">
      <c r="A1534" t="s">
        <v>360</v>
      </c>
      <c r="B1534" t="s">
        <v>18</v>
      </c>
      <c r="C1534" t="s">
        <v>48</v>
      </c>
      <c r="D1534" t="s">
        <v>22</v>
      </c>
      <c r="E1534">
        <v>55</v>
      </c>
      <c r="F1534" t="s">
        <v>21</v>
      </c>
      <c r="G1534">
        <v>261</v>
      </c>
      <c r="H1534" s="1">
        <v>45148</v>
      </c>
      <c r="I1534">
        <v>2023</v>
      </c>
      <c r="J1534">
        <v>8</v>
      </c>
      <c r="K1534" t="s">
        <v>36</v>
      </c>
      <c r="L1534" t="s">
        <v>21</v>
      </c>
      <c r="M1534">
        <v>1</v>
      </c>
    </row>
    <row r="1535" spans="1:13" x14ac:dyDescent="0.25">
      <c r="A1535" t="s">
        <v>1242</v>
      </c>
      <c r="B1535" t="s">
        <v>28</v>
      </c>
      <c r="C1535" t="s">
        <v>80</v>
      </c>
      <c r="D1535" t="s">
        <v>15</v>
      </c>
      <c r="E1535" t="s">
        <v>21</v>
      </c>
      <c r="F1535" t="s">
        <v>21</v>
      </c>
      <c r="G1535" t="s">
        <v>21</v>
      </c>
      <c r="H1535" s="1">
        <v>45148</v>
      </c>
      <c r="I1535">
        <v>2023</v>
      </c>
      <c r="J1535">
        <v>8</v>
      </c>
      <c r="K1535" t="s">
        <v>22</v>
      </c>
      <c r="L1535" t="s">
        <v>21</v>
      </c>
      <c r="M1535">
        <v>0</v>
      </c>
    </row>
    <row r="1536" spans="1:13" x14ac:dyDescent="0.25">
      <c r="A1536" t="s">
        <v>1243</v>
      </c>
      <c r="B1536" t="s">
        <v>77</v>
      </c>
      <c r="C1536" t="s">
        <v>14</v>
      </c>
      <c r="D1536" t="s">
        <v>15</v>
      </c>
      <c r="E1536">
        <v>150</v>
      </c>
      <c r="F1536">
        <v>0.19</v>
      </c>
      <c r="G1536">
        <v>665</v>
      </c>
      <c r="H1536" s="1">
        <v>45147</v>
      </c>
      <c r="I1536">
        <v>2023</v>
      </c>
      <c r="J1536">
        <v>8</v>
      </c>
      <c r="K1536" t="s">
        <v>36</v>
      </c>
      <c r="L1536">
        <v>0</v>
      </c>
      <c r="M1536">
        <v>1</v>
      </c>
    </row>
    <row r="1537" spans="1:13" x14ac:dyDescent="0.25">
      <c r="A1537" t="s">
        <v>462</v>
      </c>
      <c r="B1537" t="s">
        <v>13</v>
      </c>
      <c r="C1537" t="s">
        <v>14</v>
      </c>
      <c r="D1537" t="s">
        <v>55</v>
      </c>
      <c r="E1537">
        <v>100</v>
      </c>
      <c r="F1537" t="s">
        <v>21</v>
      </c>
      <c r="G1537">
        <v>770</v>
      </c>
      <c r="H1537" s="1">
        <v>45147</v>
      </c>
      <c r="I1537">
        <v>2023</v>
      </c>
      <c r="J1537">
        <v>8</v>
      </c>
      <c r="K1537" t="s">
        <v>36</v>
      </c>
      <c r="L1537" t="s">
        <v>21</v>
      </c>
      <c r="M1537">
        <v>1</v>
      </c>
    </row>
    <row r="1538" spans="1:13" x14ac:dyDescent="0.25">
      <c r="A1538" t="s">
        <v>1244</v>
      </c>
      <c r="B1538" t="s">
        <v>35</v>
      </c>
      <c r="C1538" t="s">
        <v>80</v>
      </c>
      <c r="D1538" t="s">
        <v>15</v>
      </c>
      <c r="E1538">
        <v>94</v>
      </c>
      <c r="F1538" t="s">
        <v>21</v>
      </c>
      <c r="G1538">
        <v>1200</v>
      </c>
      <c r="H1538" s="1">
        <v>45147</v>
      </c>
      <c r="I1538">
        <v>2023</v>
      </c>
      <c r="J1538">
        <v>8</v>
      </c>
      <c r="K1538" t="s">
        <v>26</v>
      </c>
      <c r="L1538" t="s">
        <v>21</v>
      </c>
      <c r="M1538">
        <v>1</v>
      </c>
    </row>
    <row r="1539" spans="1:13" x14ac:dyDescent="0.25">
      <c r="A1539" t="s">
        <v>1245</v>
      </c>
      <c r="B1539" t="s">
        <v>99</v>
      </c>
      <c r="C1539" t="s">
        <v>29</v>
      </c>
      <c r="D1539" t="s">
        <v>20</v>
      </c>
      <c r="E1539">
        <v>70</v>
      </c>
      <c r="F1539">
        <v>1</v>
      </c>
      <c r="G1539">
        <v>2</v>
      </c>
      <c r="H1539" s="1">
        <v>45147</v>
      </c>
      <c r="I1539">
        <v>2023</v>
      </c>
      <c r="J1539">
        <v>8</v>
      </c>
      <c r="K1539" t="s">
        <v>16</v>
      </c>
      <c r="L1539">
        <v>1</v>
      </c>
      <c r="M1539">
        <v>1</v>
      </c>
    </row>
    <row r="1540" spans="1:13" x14ac:dyDescent="0.25">
      <c r="A1540" t="s">
        <v>1246</v>
      </c>
      <c r="B1540" t="s">
        <v>24</v>
      </c>
      <c r="C1540" t="s">
        <v>25</v>
      </c>
      <c r="D1540" t="s">
        <v>15</v>
      </c>
      <c r="E1540" t="s">
        <v>21</v>
      </c>
      <c r="F1540" t="s">
        <v>21</v>
      </c>
      <c r="G1540">
        <v>925</v>
      </c>
      <c r="H1540" s="1">
        <v>45147</v>
      </c>
      <c r="I1540">
        <v>2023</v>
      </c>
      <c r="J1540">
        <v>8</v>
      </c>
      <c r="K1540" t="s">
        <v>36</v>
      </c>
      <c r="L1540" t="s">
        <v>21</v>
      </c>
      <c r="M1540">
        <v>0</v>
      </c>
    </row>
    <row r="1541" spans="1:13" x14ac:dyDescent="0.25">
      <c r="A1541" t="s">
        <v>1247</v>
      </c>
      <c r="B1541" t="s">
        <v>89</v>
      </c>
      <c r="C1541" t="s">
        <v>14</v>
      </c>
      <c r="D1541" t="s">
        <v>55</v>
      </c>
      <c r="E1541" t="s">
        <v>21</v>
      </c>
      <c r="F1541" t="s">
        <v>21</v>
      </c>
      <c r="G1541">
        <v>419</v>
      </c>
      <c r="H1541" s="1">
        <v>45147</v>
      </c>
      <c r="I1541">
        <v>2023</v>
      </c>
      <c r="J1541">
        <v>8</v>
      </c>
      <c r="K1541" t="s">
        <v>36</v>
      </c>
      <c r="L1541" t="s">
        <v>21</v>
      </c>
      <c r="M1541">
        <v>0</v>
      </c>
    </row>
    <row r="1542" spans="1:13" x14ac:dyDescent="0.25">
      <c r="A1542" t="s">
        <v>1248</v>
      </c>
      <c r="B1542" t="s">
        <v>18</v>
      </c>
      <c r="C1542" t="s">
        <v>48</v>
      </c>
      <c r="D1542" t="s">
        <v>49</v>
      </c>
      <c r="E1542" t="s">
        <v>21</v>
      </c>
      <c r="F1542">
        <v>1</v>
      </c>
      <c r="G1542" t="s">
        <v>21</v>
      </c>
      <c r="H1542" s="1">
        <v>45147</v>
      </c>
      <c r="I1542">
        <v>2023</v>
      </c>
      <c r="J1542">
        <v>8</v>
      </c>
      <c r="K1542" t="s">
        <v>22</v>
      </c>
      <c r="L1542">
        <v>1</v>
      </c>
      <c r="M1542">
        <v>1</v>
      </c>
    </row>
    <row r="1543" spans="1:13" x14ac:dyDescent="0.25">
      <c r="A1543" t="s">
        <v>1249</v>
      </c>
      <c r="B1543" t="s">
        <v>18</v>
      </c>
      <c r="C1543" t="s">
        <v>14</v>
      </c>
      <c r="D1543" t="s">
        <v>46</v>
      </c>
      <c r="E1543" t="s">
        <v>21</v>
      </c>
      <c r="F1543">
        <v>0.17</v>
      </c>
      <c r="G1543">
        <v>40</v>
      </c>
      <c r="H1543" s="1">
        <v>45147</v>
      </c>
      <c r="I1543">
        <v>2023</v>
      </c>
      <c r="J1543">
        <v>8</v>
      </c>
      <c r="K1543" t="s">
        <v>30</v>
      </c>
      <c r="L1543">
        <v>0</v>
      </c>
      <c r="M1543">
        <v>1</v>
      </c>
    </row>
    <row r="1544" spans="1:13" x14ac:dyDescent="0.25">
      <c r="A1544" t="s">
        <v>1250</v>
      </c>
      <c r="B1544" t="s">
        <v>13</v>
      </c>
      <c r="C1544" t="s">
        <v>14</v>
      </c>
      <c r="D1544" t="s">
        <v>15</v>
      </c>
      <c r="E1544">
        <v>579</v>
      </c>
      <c r="F1544">
        <v>0.05</v>
      </c>
      <c r="G1544">
        <v>748</v>
      </c>
      <c r="H1544" s="1">
        <v>45146</v>
      </c>
      <c r="I1544">
        <v>2023</v>
      </c>
      <c r="J1544">
        <v>8</v>
      </c>
      <c r="K1544" t="s">
        <v>36</v>
      </c>
      <c r="L1544">
        <v>0</v>
      </c>
      <c r="M1544">
        <v>1</v>
      </c>
    </row>
    <row r="1545" spans="1:13" x14ac:dyDescent="0.25">
      <c r="A1545" t="s">
        <v>1251</v>
      </c>
      <c r="B1545" t="s">
        <v>28</v>
      </c>
      <c r="C1545" t="s">
        <v>14</v>
      </c>
      <c r="D1545" t="s">
        <v>15</v>
      </c>
      <c r="E1545">
        <v>470</v>
      </c>
      <c r="F1545">
        <v>0.18</v>
      </c>
      <c r="G1545">
        <v>89</v>
      </c>
      <c r="H1545" s="1">
        <v>45146</v>
      </c>
      <c r="I1545">
        <v>2023</v>
      </c>
      <c r="J1545">
        <v>8</v>
      </c>
      <c r="K1545" t="s">
        <v>30</v>
      </c>
      <c r="L1545">
        <v>0</v>
      </c>
      <c r="M1545">
        <v>1</v>
      </c>
    </row>
    <row r="1546" spans="1:13" x14ac:dyDescent="0.25">
      <c r="A1546" t="s">
        <v>1252</v>
      </c>
      <c r="B1546" t="s">
        <v>18</v>
      </c>
      <c r="C1546" t="s">
        <v>48</v>
      </c>
      <c r="D1546" t="s">
        <v>22</v>
      </c>
      <c r="E1546">
        <v>350</v>
      </c>
      <c r="F1546" t="s">
        <v>21</v>
      </c>
      <c r="G1546">
        <v>375</v>
      </c>
      <c r="H1546" s="1">
        <v>45146</v>
      </c>
      <c r="I1546">
        <v>2023</v>
      </c>
      <c r="J1546">
        <v>8</v>
      </c>
      <c r="K1546" t="s">
        <v>36</v>
      </c>
      <c r="L1546" t="s">
        <v>21</v>
      </c>
      <c r="M1546">
        <v>1</v>
      </c>
    </row>
    <row r="1547" spans="1:13" x14ac:dyDescent="0.25">
      <c r="A1547" t="s">
        <v>1253</v>
      </c>
      <c r="B1547" t="s">
        <v>35</v>
      </c>
      <c r="C1547" t="s">
        <v>14</v>
      </c>
      <c r="D1547" t="s">
        <v>15</v>
      </c>
      <c r="E1547">
        <v>100</v>
      </c>
      <c r="F1547">
        <v>0.1</v>
      </c>
      <c r="G1547">
        <v>82</v>
      </c>
      <c r="H1547" s="1">
        <v>45146</v>
      </c>
      <c r="I1547">
        <v>2023</v>
      </c>
      <c r="J1547">
        <v>8</v>
      </c>
      <c r="K1547" t="s">
        <v>30</v>
      </c>
      <c r="L1547">
        <v>0</v>
      </c>
      <c r="M1547">
        <v>1</v>
      </c>
    </row>
    <row r="1548" spans="1:13" x14ac:dyDescent="0.25">
      <c r="A1548" t="s">
        <v>578</v>
      </c>
      <c r="B1548" t="s">
        <v>35</v>
      </c>
      <c r="C1548" t="s">
        <v>14</v>
      </c>
      <c r="D1548" t="s">
        <v>15</v>
      </c>
      <c r="E1548">
        <v>71</v>
      </c>
      <c r="F1548">
        <v>0.11</v>
      </c>
      <c r="G1548">
        <v>1100</v>
      </c>
      <c r="H1548" s="1">
        <v>45146</v>
      </c>
      <c r="I1548">
        <v>2023</v>
      </c>
      <c r="J1548">
        <v>8</v>
      </c>
      <c r="K1548" t="s">
        <v>26</v>
      </c>
      <c r="L1548">
        <v>0</v>
      </c>
      <c r="M1548">
        <v>1</v>
      </c>
    </row>
    <row r="1549" spans="1:13" x14ac:dyDescent="0.25">
      <c r="A1549" t="s">
        <v>1254</v>
      </c>
      <c r="B1549" t="s">
        <v>24</v>
      </c>
      <c r="C1549" t="s">
        <v>14</v>
      </c>
      <c r="D1549" t="s">
        <v>33</v>
      </c>
      <c r="E1549">
        <v>54</v>
      </c>
      <c r="F1549" t="s">
        <v>21</v>
      </c>
      <c r="G1549">
        <v>75</v>
      </c>
      <c r="H1549" s="1">
        <v>45146</v>
      </c>
      <c r="I1549">
        <v>2023</v>
      </c>
      <c r="J1549">
        <v>8</v>
      </c>
      <c r="K1549" t="s">
        <v>30</v>
      </c>
      <c r="L1549" t="s">
        <v>21</v>
      </c>
      <c r="M1549">
        <v>1</v>
      </c>
    </row>
    <row r="1550" spans="1:13" x14ac:dyDescent="0.25">
      <c r="A1550" t="s">
        <v>1255</v>
      </c>
      <c r="B1550" t="s">
        <v>117</v>
      </c>
      <c r="C1550" t="s">
        <v>184</v>
      </c>
      <c r="D1550" t="s">
        <v>33</v>
      </c>
      <c r="E1550" t="s">
        <v>21</v>
      </c>
      <c r="F1550">
        <v>1</v>
      </c>
      <c r="G1550">
        <v>26</v>
      </c>
      <c r="H1550" s="1">
        <v>45146</v>
      </c>
      <c r="I1550">
        <v>2023</v>
      </c>
      <c r="J1550">
        <v>8</v>
      </c>
      <c r="K1550" t="s">
        <v>30</v>
      </c>
      <c r="L1550">
        <v>1</v>
      </c>
      <c r="M1550">
        <v>1</v>
      </c>
    </row>
    <row r="1551" spans="1:13" x14ac:dyDescent="0.25">
      <c r="A1551" t="s">
        <v>228</v>
      </c>
      <c r="B1551" t="s">
        <v>70</v>
      </c>
      <c r="C1551" t="s">
        <v>14</v>
      </c>
      <c r="D1551" t="s">
        <v>15</v>
      </c>
      <c r="E1551" t="s">
        <v>21</v>
      </c>
      <c r="F1551" t="s">
        <v>21</v>
      </c>
      <c r="G1551" t="s">
        <v>21</v>
      </c>
      <c r="H1551" s="1">
        <v>45145</v>
      </c>
      <c r="I1551">
        <v>2023</v>
      </c>
      <c r="J1551">
        <v>8</v>
      </c>
      <c r="K1551" t="s">
        <v>22</v>
      </c>
      <c r="L1551" t="s">
        <v>21</v>
      </c>
      <c r="M1551">
        <v>0</v>
      </c>
    </row>
    <row r="1552" spans="1:13" x14ac:dyDescent="0.25">
      <c r="A1552" t="s">
        <v>1256</v>
      </c>
      <c r="B1552" t="s">
        <v>77</v>
      </c>
      <c r="C1552" t="s">
        <v>757</v>
      </c>
      <c r="D1552" t="s">
        <v>20</v>
      </c>
      <c r="E1552" t="s">
        <v>21</v>
      </c>
      <c r="F1552">
        <v>1</v>
      </c>
      <c r="G1552">
        <v>38</v>
      </c>
      <c r="H1552" s="1">
        <v>45145</v>
      </c>
      <c r="I1552">
        <v>2023</v>
      </c>
      <c r="J1552">
        <v>8</v>
      </c>
      <c r="K1552" t="s">
        <v>30</v>
      </c>
      <c r="L1552">
        <v>1</v>
      </c>
      <c r="M1552">
        <v>1</v>
      </c>
    </row>
    <row r="1553" spans="1:13" x14ac:dyDescent="0.25">
      <c r="A1553" t="s">
        <v>1257</v>
      </c>
      <c r="B1553" t="s">
        <v>93</v>
      </c>
      <c r="C1553" t="s">
        <v>14</v>
      </c>
      <c r="D1553" t="s">
        <v>68</v>
      </c>
      <c r="E1553">
        <v>60</v>
      </c>
      <c r="F1553" t="s">
        <v>21</v>
      </c>
      <c r="G1553">
        <v>107</v>
      </c>
      <c r="H1553" s="1">
        <v>45142</v>
      </c>
      <c r="I1553">
        <v>2023</v>
      </c>
      <c r="J1553">
        <v>8</v>
      </c>
      <c r="K1553" t="s">
        <v>36</v>
      </c>
      <c r="L1553" t="s">
        <v>21</v>
      </c>
      <c r="M1553">
        <v>1</v>
      </c>
    </row>
    <row r="1554" spans="1:13" x14ac:dyDescent="0.25">
      <c r="A1554" t="s">
        <v>1258</v>
      </c>
      <c r="B1554" t="s">
        <v>106</v>
      </c>
      <c r="C1554" t="s">
        <v>80</v>
      </c>
      <c r="D1554" t="s">
        <v>49</v>
      </c>
      <c r="E1554">
        <v>57</v>
      </c>
      <c r="F1554">
        <v>1</v>
      </c>
      <c r="G1554" t="s">
        <v>21</v>
      </c>
      <c r="H1554" s="1">
        <v>45142</v>
      </c>
      <c r="I1554">
        <v>2023</v>
      </c>
      <c r="J1554">
        <v>8</v>
      </c>
      <c r="K1554" t="s">
        <v>22</v>
      </c>
      <c r="L1554">
        <v>1</v>
      </c>
      <c r="M1554">
        <v>1</v>
      </c>
    </row>
    <row r="1555" spans="1:13" x14ac:dyDescent="0.25">
      <c r="A1555" t="s">
        <v>912</v>
      </c>
      <c r="B1555" t="s">
        <v>106</v>
      </c>
      <c r="C1555" t="s">
        <v>174</v>
      </c>
      <c r="D1555" t="s">
        <v>111</v>
      </c>
      <c r="E1555">
        <v>42</v>
      </c>
      <c r="F1555">
        <v>7.0000000000000007E-2</v>
      </c>
      <c r="G1555">
        <v>234</v>
      </c>
      <c r="H1555" s="1">
        <v>45142</v>
      </c>
      <c r="I1555">
        <v>2023</v>
      </c>
      <c r="J1555">
        <v>8</v>
      </c>
      <c r="K1555" t="s">
        <v>36</v>
      </c>
      <c r="L1555">
        <v>0</v>
      </c>
      <c r="M1555">
        <v>1</v>
      </c>
    </row>
    <row r="1556" spans="1:13" x14ac:dyDescent="0.25">
      <c r="A1556" t="s">
        <v>388</v>
      </c>
      <c r="B1556" t="s">
        <v>490</v>
      </c>
      <c r="C1556" t="s">
        <v>14</v>
      </c>
      <c r="D1556" t="s">
        <v>15</v>
      </c>
      <c r="E1556" t="s">
        <v>21</v>
      </c>
      <c r="F1556">
        <v>0.25</v>
      </c>
      <c r="G1556">
        <v>300</v>
      </c>
      <c r="H1556" s="1">
        <v>45142</v>
      </c>
      <c r="I1556">
        <v>2023</v>
      </c>
      <c r="J1556">
        <v>8</v>
      </c>
      <c r="K1556" t="s">
        <v>36</v>
      </c>
      <c r="L1556">
        <v>0</v>
      </c>
      <c r="M1556">
        <v>1</v>
      </c>
    </row>
    <row r="1557" spans="1:13" x14ac:dyDescent="0.25">
      <c r="A1557" t="s">
        <v>1259</v>
      </c>
      <c r="B1557" t="s">
        <v>32</v>
      </c>
      <c r="C1557" t="s">
        <v>143</v>
      </c>
      <c r="D1557" t="s">
        <v>49</v>
      </c>
      <c r="E1557" t="s">
        <v>21</v>
      </c>
      <c r="F1557">
        <v>0.19</v>
      </c>
      <c r="G1557">
        <v>3</v>
      </c>
      <c r="H1557" s="1">
        <v>45142</v>
      </c>
      <c r="I1557">
        <v>2023</v>
      </c>
      <c r="J1557">
        <v>8</v>
      </c>
      <c r="K1557" t="s">
        <v>16</v>
      </c>
      <c r="L1557">
        <v>0</v>
      </c>
      <c r="M1557">
        <v>1</v>
      </c>
    </row>
    <row r="1558" spans="1:13" x14ac:dyDescent="0.25">
      <c r="A1558" t="s">
        <v>962</v>
      </c>
      <c r="B1558" t="s">
        <v>18</v>
      </c>
      <c r="C1558" t="s">
        <v>14</v>
      </c>
      <c r="D1558" t="s">
        <v>347</v>
      </c>
      <c r="E1558">
        <v>37</v>
      </c>
      <c r="F1558">
        <v>0.04</v>
      </c>
      <c r="G1558">
        <v>995</v>
      </c>
      <c r="H1558" s="1">
        <v>45141</v>
      </c>
      <c r="I1558">
        <v>2023</v>
      </c>
      <c r="J1558">
        <v>8</v>
      </c>
      <c r="K1558" t="s">
        <v>36</v>
      </c>
      <c r="L1558">
        <v>0</v>
      </c>
      <c r="M1558">
        <v>1</v>
      </c>
    </row>
    <row r="1559" spans="1:13" x14ac:dyDescent="0.25">
      <c r="A1559" t="s">
        <v>1260</v>
      </c>
      <c r="B1559" t="s">
        <v>95</v>
      </c>
      <c r="C1559" t="s">
        <v>42</v>
      </c>
      <c r="D1559" t="s">
        <v>49</v>
      </c>
      <c r="E1559">
        <v>30</v>
      </c>
      <c r="F1559" t="s">
        <v>21</v>
      </c>
      <c r="G1559">
        <v>5</v>
      </c>
      <c r="H1559" s="1">
        <v>45141</v>
      </c>
      <c r="I1559">
        <v>2023</v>
      </c>
      <c r="J1559">
        <v>8</v>
      </c>
      <c r="K1559" t="s">
        <v>16</v>
      </c>
      <c r="L1559" t="s">
        <v>21</v>
      </c>
      <c r="M1559">
        <v>1</v>
      </c>
    </row>
    <row r="1560" spans="1:13" x14ac:dyDescent="0.25">
      <c r="A1560" t="s">
        <v>1261</v>
      </c>
      <c r="B1560" t="s">
        <v>28</v>
      </c>
      <c r="C1560" t="s">
        <v>14</v>
      </c>
      <c r="D1560" t="s">
        <v>46</v>
      </c>
      <c r="E1560" t="s">
        <v>21</v>
      </c>
      <c r="F1560" t="s">
        <v>21</v>
      </c>
      <c r="G1560">
        <v>88</v>
      </c>
      <c r="H1560" s="1">
        <v>45141</v>
      </c>
      <c r="I1560">
        <v>2023</v>
      </c>
      <c r="J1560">
        <v>8</v>
      </c>
      <c r="K1560" t="s">
        <v>30</v>
      </c>
      <c r="L1560" t="s">
        <v>21</v>
      </c>
      <c r="M1560">
        <v>0</v>
      </c>
    </row>
    <row r="1561" spans="1:13" x14ac:dyDescent="0.25">
      <c r="A1561" t="s">
        <v>1262</v>
      </c>
      <c r="B1561" t="s">
        <v>77</v>
      </c>
      <c r="C1561" t="s">
        <v>25</v>
      </c>
      <c r="D1561" t="s">
        <v>33</v>
      </c>
      <c r="E1561" t="s">
        <v>21</v>
      </c>
      <c r="F1561">
        <v>0.1</v>
      </c>
      <c r="G1561">
        <v>43</v>
      </c>
      <c r="H1561" s="1">
        <v>45141</v>
      </c>
      <c r="I1561">
        <v>2023</v>
      </c>
      <c r="J1561">
        <v>8</v>
      </c>
      <c r="K1561" t="s">
        <v>30</v>
      </c>
      <c r="L1561">
        <v>0</v>
      </c>
      <c r="M1561">
        <v>1</v>
      </c>
    </row>
    <row r="1562" spans="1:13" x14ac:dyDescent="0.25">
      <c r="A1562" t="s">
        <v>1263</v>
      </c>
      <c r="B1562" t="s">
        <v>77</v>
      </c>
      <c r="C1562" t="s">
        <v>29</v>
      </c>
      <c r="D1562" t="s">
        <v>22</v>
      </c>
      <c r="E1562" t="s">
        <v>21</v>
      </c>
      <c r="F1562" t="s">
        <v>21</v>
      </c>
      <c r="G1562" t="s">
        <v>21</v>
      </c>
      <c r="H1562" s="1">
        <v>45141</v>
      </c>
      <c r="I1562">
        <v>2023</v>
      </c>
      <c r="J1562">
        <v>8</v>
      </c>
      <c r="K1562" t="s">
        <v>22</v>
      </c>
      <c r="L1562" t="s">
        <v>21</v>
      </c>
      <c r="M1562">
        <v>0</v>
      </c>
    </row>
    <row r="1563" spans="1:13" x14ac:dyDescent="0.25">
      <c r="A1563" t="s">
        <v>1264</v>
      </c>
      <c r="B1563" t="s">
        <v>66</v>
      </c>
      <c r="C1563" t="s">
        <v>48</v>
      </c>
      <c r="D1563" t="s">
        <v>111</v>
      </c>
      <c r="E1563">
        <v>300</v>
      </c>
      <c r="F1563">
        <v>0.05</v>
      </c>
      <c r="G1563">
        <v>513</v>
      </c>
      <c r="H1563" s="1">
        <v>45140</v>
      </c>
      <c r="I1563">
        <v>2023</v>
      </c>
      <c r="J1563">
        <v>8</v>
      </c>
      <c r="K1563" t="s">
        <v>36</v>
      </c>
      <c r="L1563">
        <v>0</v>
      </c>
      <c r="M1563">
        <v>1</v>
      </c>
    </row>
    <row r="1564" spans="1:13" x14ac:dyDescent="0.25">
      <c r="A1564" t="s">
        <v>1265</v>
      </c>
      <c r="B1564" t="s">
        <v>13</v>
      </c>
      <c r="C1564" t="s">
        <v>48</v>
      </c>
      <c r="D1564" t="s">
        <v>55</v>
      </c>
      <c r="E1564">
        <v>300</v>
      </c>
      <c r="F1564">
        <v>0.1</v>
      </c>
      <c r="G1564">
        <v>435</v>
      </c>
      <c r="H1564" s="1">
        <v>45140</v>
      </c>
      <c r="I1564">
        <v>2023</v>
      </c>
      <c r="J1564">
        <v>8</v>
      </c>
      <c r="K1564" t="s">
        <v>36</v>
      </c>
      <c r="L1564">
        <v>0</v>
      </c>
      <c r="M1564">
        <v>1</v>
      </c>
    </row>
    <row r="1565" spans="1:13" x14ac:dyDescent="0.25">
      <c r="A1565" t="s">
        <v>1266</v>
      </c>
      <c r="B1565" t="s">
        <v>40</v>
      </c>
      <c r="C1565" t="s">
        <v>14</v>
      </c>
      <c r="D1565" t="s">
        <v>111</v>
      </c>
      <c r="E1565">
        <v>100</v>
      </c>
      <c r="F1565">
        <v>0.16</v>
      </c>
      <c r="G1565">
        <v>567</v>
      </c>
      <c r="H1565" s="1">
        <v>45140</v>
      </c>
      <c r="I1565">
        <v>2023</v>
      </c>
      <c r="J1565">
        <v>8</v>
      </c>
      <c r="K1565" t="s">
        <v>36</v>
      </c>
      <c r="L1565">
        <v>0</v>
      </c>
      <c r="M1565">
        <v>1</v>
      </c>
    </row>
    <row r="1566" spans="1:13" x14ac:dyDescent="0.25">
      <c r="A1566" t="s">
        <v>405</v>
      </c>
      <c r="B1566" t="s">
        <v>102</v>
      </c>
      <c r="C1566" t="s">
        <v>14</v>
      </c>
      <c r="D1566" t="s">
        <v>111</v>
      </c>
      <c r="E1566">
        <v>70</v>
      </c>
      <c r="F1566">
        <v>0.18</v>
      </c>
      <c r="G1566">
        <v>274</v>
      </c>
      <c r="H1566" s="1">
        <v>45140</v>
      </c>
      <c r="I1566">
        <v>2023</v>
      </c>
      <c r="J1566">
        <v>8</v>
      </c>
      <c r="K1566" t="s">
        <v>36</v>
      </c>
      <c r="L1566">
        <v>0</v>
      </c>
      <c r="M1566">
        <v>1</v>
      </c>
    </row>
    <row r="1567" spans="1:13" x14ac:dyDescent="0.25">
      <c r="A1567" t="s">
        <v>1267</v>
      </c>
      <c r="B1567" t="s">
        <v>45</v>
      </c>
      <c r="C1567" t="s">
        <v>14</v>
      </c>
      <c r="D1567" t="s">
        <v>46</v>
      </c>
      <c r="E1567">
        <v>70</v>
      </c>
      <c r="F1567" t="s">
        <v>21</v>
      </c>
      <c r="G1567">
        <v>148</v>
      </c>
      <c r="H1567" s="1">
        <v>45140</v>
      </c>
      <c r="I1567">
        <v>2023</v>
      </c>
      <c r="J1567">
        <v>8</v>
      </c>
      <c r="K1567" t="s">
        <v>36</v>
      </c>
      <c r="L1567" t="s">
        <v>21</v>
      </c>
      <c r="M1567">
        <v>1</v>
      </c>
    </row>
    <row r="1568" spans="1:13" x14ac:dyDescent="0.25">
      <c r="A1568" t="s">
        <v>1268</v>
      </c>
      <c r="B1568" t="s">
        <v>40</v>
      </c>
      <c r="C1568" t="s">
        <v>230</v>
      </c>
      <c r="D1568" t="s">
        <v>33</v>
      </c>
      <c r="E1568">
        <v>58</v>
      </c>
      <c r="F1568">
        <v>0.08</v>
      </c>
      <c r="G1568">
        <v>105</v>
      </c>
      <c r="H1568" s="1">
        <v>45140</v>
      </c>
      <c r="I1568">
        <v>2023</v>
      </c>
      <c r="J1568">
        <v>8</v>
      </c>
      <c r="K1568" t="s">
        <v>36</v>
      </c>
      <c r="L1568">
        <v>0</v>
      </c>
      <c r="M1568">
        <v>1</v>
      </c>
    </row>
    <row r="1569" spans="1:13" x14ac:dyDescent="0.25">
      <c r="A1569" t="s">
        <v>98</v>
      </c>
      <c r="B1569" t="s">
        <v>99</v>
      </c>
      <c r="C1569" t="s">
        <v>19</v>
      </c>
      <c r="D1569" t="s">
        <v>15</v>
      </c>
      <c r="E1569">
        <v>50</v>
      </c>
      <c r="F1569" t="s">
        <v>21</v>
      </c>
      <c r="G1569">
        <v>65</v>
      </c>
      <c r="H1569" s="1">
        <v>45140</v>
      </c>
      <c r="I1569">
        <v>2023</v>
      </c>
      <c r="J1569">
        <v>8</v>
      </c>
      <c r="K1569" t="s">
        <v>30</v>
      </c>
      <c r="L1569" t="s">
        <v>21</v>
      </c>
      <c r="M1569">
        <v>1</v>
      </c>
    </row>
    <row r="1570" spans="1:13" x14ac:dyDescent="0.25">
      <c r="A1570" t="s">
        <v>1269</v>
      </c>
      <c r="B1570" t="s">
        <v>77</v>
      </c>
      <c r="C1570" t="s">
        <v>48</v>
      </c>
      <c r="D1570" t="s">
        <v>68</v>
      </c>
      <c r="E1570">
        <v>18</v>
      </c>
      <c r="F1570" t="s">
        <v>21</v>
      </c>
      <c r="G1570">
        <v>42</v>
      </c>
      <c r="H1570" s="1">
        <v>45140</v>
      </c>
      <c r="I1570">
        <v>2023</v>
      </c>
      <c r="J1570">
        <v>8</v>
      </c>
      <c r="K1570" t="s">
        <v>30</v>
      </c>
      <c r="L1570" t="s">
        <v>21</v>
      </c>
      <c r="M1570">
        <v>1</v>
      </c>
    </row>
    <row r="1571" spans="1:13" x14ac:dyDescent="0.25">
      <c r="A1571" t="s">
        <v>1270</v>
      </c>
      <c r="B1571" t="s">
        <v>77</v>
      </c>
      <c r="C1571" t="s">
        <v>48</v>
      </c>
      <c r="D1571" t="s">
        <v>49</v>
      </c>
      <c r="E1571" t="s">
        <v>21</v>
      </c>
      <c r="F1571">
        <v>0.6</v>
      </c>
      <c r="G1571">
        <v>12</v>
      </c>
      <c r="H1571" s="1">
        <v>45140</v>
      </c>
      <c r="I1571">
        <v>2023</v>
      </c>
      <c r="J1571">
        <v>8</v>
      </c>
      <c r="K1571" t="s">
        <v>30</v>
      </c>
      <c r="L1571">
        <v>0</v>
      </c>
      <c r="M1571">
        <v>1</v>
      </c>
    </row>
    <row r="1572" spans="1:13" x14ac:dyDescent="0.25">
      <c r="A1572" t="s">
        <v>1271</v>
      </c>
      <c r="B1572" t="s">
        <v>35</v>
      </c>
      <c r="C1572" t="s">
        <v>48</v>
      </c>
      <c r="D1572" t="s">
        <v>49</v>
      </c>
      <c r="E1572" t="s">
        <v>21</v>
      </c>
      <c r="F1572">
        <v>1</v>
      </c>
      <c r="G1572">
        <v>2</v>
      </c>
      <c r="H1572" s="1">
        <v>45140</v>
      </c>
      <c r="I1572">
        <v>2023</v>
      </c>
      <c r="J1572">
        <v>8</v>
      </c>
      <c r="K1572" t="s">
        <v>16</v>
      </c>
      <c r="L1572">
        <v>1</v>
      </c>
      <c r="M1572">
        <v>1</v>
      </c>
    </row>
    <row r="1573" spans="1:13" x14ac:dyDescent="0.25">
      <c r="A1573" t="s">
        <v>1272</v>
      </c>
      <c r="B1573" t="s">
        <v>18</v>
      </c>
      <c r="C1573" t="s">
        <v>80</v>
      </c>
      <c r="D1573" t="s">
        <v>46</v>
      </c>
      <c r="E1573" t="s">
        <v>21</v>
      </c>
      <c r="F1573" t="s">
        <v>21</v>
      </c>
      <c r="G1573">
        <v>135</v>
      </c>
      <c r="H1573" s="1">
        <v>45140</v>
      </c>
      <c r="I1573">
        <v>2023</v>
      </c>
      <c r="J1573">
        <v>8</v>
      </c>
      <c r="K1573" t="s">
        <v>36</v>
      </c>
      <c r="L1573" t="s">
        <v>21</v>
      </c>
      <c r="M1573">
        <v>0</v>
      </c>
    </row>
    <row r="1574" spans="1:13" x14ac:dyDescent="0.25">
      <c r="A1574" t="s">
        <v>1273</v>
      </c>
      <c r="B1574" t="s">
        <v>28</v>
      </c>
      <c r="C1574" t="s">
        <v>14</v>
      </c>
      <c r="D1574" t="s">
        <v>111</v>
      </c>
      <c r="E1574" t="s">
        <v>21</v>
      </c>
      <c r="F1574">
        <v>0.12</v>
      </c>
      <c r="G1574">
        <v>159</v>
      </c>
      <c r="H1574" s="1">
        <v>45140</v>
      </c>
      <c r="I1574">
        <v>2023</v>
      </c>
      <c r="J1574">
        <v>8</v>
      </c>
      <c r="K1574" t="s">
        <v>36</v>
      </c>
      <c r="L1574">
        <v>0</v>
      </c>
      <c r="M1574">
        <v>1</v>
      </c>
    </row>
    <row r="1575" spans="1:13" x14ac:dyDescent="0.25">
      <c r="A1575" t="s">
        <v>1274</v>
      </c>
      <c r="B1575" t="s">
        <v>207</v>
      </c>
      <c r="C1575" t="s">
        <v>174</v>
      </c>
      <c r="D1575" t="s">
        <v>68</v>
      </c>
      <c r="E1575" t="s">
        <v>21</v>
      </c>
      <c r="F1575">
        <v>1</v>
      </c>
      <c r="G1575">
        <v>19</v>
      </c>
      <c r="H1575" s="1">
        <v>45140</v>
      </c>
      <c r="I1575">
        <v>2023</v>
      </c>
      <c r="J1575">
        <v>8</v>
      </c>
      <c r="K1575" t="s">
        <v>30</v>
      </c>
      <c r="L1575">
        <v>1</v>
      </c>
      <c r="M1575">
        <v>1</v>
      </c>
    </row>
    <row r="1576" spans="1:13" x14ac:dyDescent="0.25">
      <c r="A1576" t="s">
        <v>335</v>
      </c>
      <c r="B1576" t="s">
        <v>73</v>
      </c>
      <c r="C1576" t="s">
        <v>14</v>
      </c>
      <c r="D1576" t="s">
        <v>15</v>
      </c>
      <c r="E1576" t="s">
        <v>21</v>
      </c>
      <c r="F1576" t="s">
        <v>21</v>
      </c>
      <c r="G1576">
        <v>3</v>
      </c>
      <c r="H1576" s="1">
        <v>45140</v>
      </c>
      <c r="I1576">
        <v>2023</v>
      </c>
      <c r="J1576">
        <v>8</v>
      </c>
      <c r="K1576" t="s">
        <v>16</v>
      </c>
      <c r="L1576" t="s">
        <v>21</v>
      </c>
      <c r="M1576">
        <v>0</v>
      </c>
    </row>
    <row r="1577" spans="1:13" x14ac:dyDescent="0.25">
      <c r="A1577" t="s">
        <v>1275</v>
      </c>
      <c r="B1577" t="s">
        <v>77</v>
      </c>
      <c r="C1577" t="s">
        <v>29</v>
      </c>
      <c r="D1577" t="s">
        <v>46</v>
      </c>
      <c r="E1577">
        <v>150</v>
      </c>
      <c r="F1577">
        <v>0.75</v>
      </c>
      <c r="G1577">
        <v>110</v>
      </c>
      <c r="H1577" s="1">
        <v>45139</v>
      </c>
      <c r="I1577">
        <v>2023</v>
      </c>
      <c r="J1577">
        <v>8</v>
      </c>
      <c r="K1577" t="s">
        <v>36</v>
      </c>
      <c r="L1577">
        <v>0</v>
      </c>
      <c r="M1577">
        <v>1</v>
      </c>
    </row>
    <row r="1578" spans="1:13" x14ac:dyDescent="0.25">
      <c r="A1578" t="s">
        <v>720</v>
      </c>
      <c r="B1578" t="s">
        <v>490</v>
      </c>
      <c r="C1578" t="s">
        <v>14</v>
      </c>
      <c r="D1578" t="s">
        <v>15</v>
      </c>
      <c r="E1578">
        <v>117</v>
      </c>
      <c r="F1578">
        <v>0.1</v>
      </c>
      <c r="G1578">
        <v>574</v>
      </c>
      <c r="H1578" s="1">
        <v>45139</v>
      </c>
      <c r="I1578">
        <v>2023</v>
      </c>
      <c r="J1578">
        <v>8</v>
      </c>
      <c r="K1578" t="s">
        <v>36</v>
      </c>
      <c r="L1578">
        <v>0</v>
      </c>
      <c r="M1578">
        <v>1</v>
      </c>
    </row>
    <row r="1579" spans="1:13" x14ac:dyDescent="0.25">
      <c r="A1579" t="s">
        <v>667</v>
      </c>
      <c r="B1579" t="s">
        <v>106</v>
      </c>
      <c r="C1579" t="s">
        <v>174</v>
      </c>
      <c r="D1579" t="s">
        <v>55</v>
      </c>
      <c r="E1579">
        <v>106</v>
      </c>
      <c r="F1579">
        <v>0.04</v>
      </c>
      <c r="G1579">
        <v>389</v>
      </c>
      <c r="H1579" s="1">
        <v>45139</v>
      </c>
      <c r="I1579">
        <v>2023</v>
      </c>
      <c r="J1579">
        <v>8</v>
      </c>
      <c r="K1579" t="s">
        <v>36</v>
      </c>
      <c r="L1579">
        <v>0</v>
      </c>
      <c r="M1579">
        <v>1</v>
      </c>
    </row>
    <row r="1580" spans="1:13" x14ac:dyDescent="0.25">
      <c r="A1580" t="s">
        <v>1276</v>
      </c>
      <c r="B1580" t="s">
        <v>91</v>
      </c>
      <c r="C1580" t="s">
        <v>14</v>
      </c>
      <c r="D1580" t="s">
        <v>33</v>
      </c>
      <c r="E1580">
        <v>40</v>
      </c>
      <c r="F1580">
        <v>0.3</v>
      </c>
      <c r="G1580">
        <v>57</v>
      </c>
      <c r="H1580" s="1">
        <v>45139</v>
      </c>
      <c r="I1580">
        <v>2023</v>
      </c>
      <c r="J1580">
        <v>8</v>
      </c>
      <c r="K1580" t="s">
        <v>30</v>
      </c>
      <c r="L1580">
        <v>0</v>
      </c>
      <c r="M1580">
        <v>1</v>
      </c>
    </row>
    <row r="1581" spans="1:13" x14ac:dyDescent="0.25">
      <c r="A1581" t="s">
        <v>1277</v>
      </c>
      <c r="B1581" t="s">
        <v>24</v>
      </c>
      <c r="C1581" t="s">
        <v>48</v>
      </c>
      <c r="D1581" t="s">
        <v>33</v>
      </c>
      <c r="E1581" t="s">
        <v>21</v>
      </c>
      <c r="F1581">
        <v>0.2</v>
      </c>
      <c r="G1581">
        <v>17</v>
      </c>
      <c r="H1581" s="1">
        <v>45139</v>
      </c>
      <c r="I1581">
        <v>2023</v>
      </c>
      <c r="J1581">
        <v>8</v>
      </c>
      <c r="K1581" t="s">
        <v>30</v>
      </c>
      <c r="L1581">
        <v>0</v>
      </c>
      <c r="M1581">
        <v>1</v>
      </c>
    </row>
    <row r="1582" spans="1:13" x14ac:dyDescent="0.25">
      <c r="A1582" t="s">
        <v>918</v>
      </c>
      <c r="B1582" t="s">
        <v>13</v>
      </c>
      <c r="C1582" t="s">
        <v>14</v>
      </c>
      <c r="D1582" t="s">
        <v>43</v>
      </c>
      <c r="E1582" t="s">
        <v>21</v>
      </c>
      <c r="F1582" t="s">
        <v>21</v>
      </c>
      <c r="G1582">
        <v>1200</v>
      </c>
      <c r="H1582" s="1">
        <v>45139</v>
      </c>
      <c r="I1582">
        <v>2023</v>
      </c>
      <c r="J1582">
        <v>8</v>
      </c>
      <c r="K1582" t="s">
        <v>26</v>
      </c>
      <c r="L1582" t="s">
        <v>21</v>
      </c>
      <c r="M1582">
        <v>0</v>
      </c>
    </row>
    <row r="1583" spans="1:13" x14ac:dyDescent="0.25">
      <c r="A1583" t="s">
        <v>1278</v>
      </c>
      <c r="B1583" t="s">
        <v>66</v>
      </c>
      <c r="C1583" t="s">
        <v>14</v>
      </c>
      <c r="D1583" t="s">
        <v>22</v>
      </c>
      <c r="E1583" t="s">
        <v>21</v>
      </c>
      <c r="F1583">
        <v>0.1</v>
      </c>
      <c r="G1583">
        <v>387</v>
      </c>
      <c r="H1583" s="1">
        <v>45139</v>
      </c>
      <c r="I1583">
        <v>2023</v>
      </c>
      <c r="J1583">
        <v>8</v>
      </c>
      <c r="K1583" t="s">
        <v>36</v>
      </c>
      <c r="L1583">
        <v>0</v>
      </c>
      <c r="M1583">
        <v>1</v>
      </c>
    </row>
    <row r="1584" spans="1:13" x14ac:dyDescent="0.25">
      <c r="A1584" t="s">
        <v>586</v>
      </c>
      <c r="B1584" t="s">
        <v>99</v>
      </c>
      <c r="C1584" t="s">
        <v>14</v>
      </c>
      <c r="D1584" t="s">
        <v>194</v>
      </c>
      <c r="E1584" t="s">
        <v>21</v>
      </c>
      <c r="F1584">
        <v>0.05</v>
      </c>
      <c r="G1584">
        <v>489</v>
      </c>
      <c r="H1584" s="1">
        <v>45139</v>
      </c>
      <c r="I1584">
        <v>2023</v>
      </c>
      <c r="J1584">
        <v>8</v>
      </c>
      <c r="K1584" t="s">
        <v>36</v>
      </c>
      <c r="L1584">
        <v>0</v>
      </c>
      <c r="M1584">
        <v>1</v>
      </c>
    </row>
    <row r="1585" spans="1:13" x14ac:dyDescent="0.25">
      <c r="A1585" t="s">
        <v>1279</v>
      </c>
      <c r="B1585" t="s">
        <v>77</v>
      </c>
      <c r="C1585" t="s">
        <v>25</v>
      </c>
      <c r="D1585" t="s">
        <v>33</v>
      </c>
      <c r="E1585">
        <v>80</v>
      </c>
      <c r="F1585" t="s">
        <v>21</v>
      </c>
      <c r="G1585">
        <v>89</v>
      </c>
      <c r="H1585" s="1">
        <v>45138</v>
      </c>
      <c r="I1585">
        <v>2023</v>
      </c>
      <c r="J1585">
        <v>7</v>
      </c>
      <c r="K1585" t="s">
        <v>30</v>
      </c>
      <c r="L1585" t="s">
        <v>21</v>
      </c>
      <c r="M1585">
        <v>1</v>
      </c>
    </row>
    <row r="1586" spans="1:13" x14ac:dyDescent="0.25">
      <c r="A1586" t="s">
        <v>608</v>
      </c>
      <c r="B1586" t="s">
        <v>13</v>
      </c>
      <c r="C1586" t="s">
        <v>174</v>
      </c>
      <c r="D1586" t="s">
        <v>68</v>
      </c>
      <c r="E1586">
        <v>13</v>
      </c>
      <c r="F1586">
        <v>0.09</v>
      </c>
      <c r="G1586">
        <v>12</v>
      </c>
      <c r="H1586" s="1">
        <v>45138</v>
      </c>
      <c r="I1586">
        <v>2023</v>
      </c>
      <c r="J1586">
        <v>7</v>
      </c>
      <c r="K1586" t="s">
        <v>30</v>
      </c>
      <c r="L1586">
        <v>0</v>
      </c>
      <c r="M1586">
        <v>1</v>
      </c>
    </row>
    <row r="1587" spans="1:13" x14ac:dyDescent="0.25">
      <c r="A1587" t="s">
        <v>1192</v>
      </c>
      <c r="B1587" t="s">
        <v>66</v>
      </c>
      <c r="C1587" t="s">
        <v>14</v>
      </c>
      <c r="D1587" t="s">
        <v>55</v>
      </c>
      <c r="E1587">
        <v>12</v>
      </c>
      <c r="F1587" t="s">
        <v>21</v>
      </c>
      <c r="G1587">
        <v>149</v>
      </c>
      <c r="H1587" s="1">
        <v>45138</v>
      </c>
      <c r="I1587">
        <v>2023</v>
      </c>
      <c r="J1587">
        <v>7</v>
      </c>
      <c r="K1587" t="s">
        <v>36</v>
      </c>
      <c r="L1587" t="s">
        <v>21</v>
      </c>
      <c r="M1587">
        <v>1</v>
      </c>
    </row>
    <row r="1588" spans="1:13" x14ac:dyDescent="0.25">
      <c r="A1588" t="s">
        <v>1280</v>
      </c>
      <c r="B1588" t="s">
        <v>70</v>
      </c>
      <c r="C1588" t="s">
        <v>657</v>
      </c>
      <c r="D1588" t="s">
        <v>33</v>
      </c>
      <c r="E1588" t="s">
        <v>21</v>
      </c>
      <c r="F1588" t="s">
        <v>21</v>
      </c>
      <c r="G1588">
        <v>200</v>
      </c>
      <c r="H1588" s="1">
        <v>45138</v>
      </c>
      <c r="I1588">
        <v>2023</v>
      </c>
      <c r="J1588">
        <v>7</v>
      </c>
      <c r="K1588" t="s">
        <v>36</v>
      </c>
      <c r="L1588" t="s">
        <v>21</v>
      </c>
      <c r="M1588">
        <v>0</v>
      </c>
    </row>
    <row r="1589" spans="1:13" x14ac:dyDescent="0.25">
      <c r="A1589" t="s">
        <v>1281</v>
      </c>
      <c r="B1589" t="s">
        <v>28</v>
      </c>
      <c r="C1589" t="s">
        <v>80</v>
      </c>
      <c r="D1589" t="s">
        <v>15</v>
      </c>
      <c r="E1589">
        <v>200</v>
      </c>
      <c r="F1589">
        <v>0.3</v>
      </c>
      <c r="G1589">
        <v>188</v>
      </c>
      <c r="H1589" s="1">
        <v>45137</v>
      </c>
      <c r="I1589">
        <v>2023</v>
      </c>
      <c r="J1589">
        <v>7</v>
      </c>
      <c r="K1589" t="s">
        <v>36</v>
      </c>
      <c r="L1589">
        <v>0</v>
      </c>
      <c r="M1589">
        <v>1</v>
      </c>
    </row>
    <row r="1590" spans="1:13" x14ac:dyDescent="0.25">
      <c r="A1590" t="s">
        <v>1282</v>
      </c>
      <c r="B1590" t="s">
        <v>66</v>
      </c>
      <c r="C1590" t="s">
        <v>256</v>
      </c>
      <c r="D1590" t="s">
        <v>22</v>
      </c>
      <c r="E1590">
        <v>200</v>
      </c>
      <c r="F1590">
        <v>0.31</v>
      </c>
      <c r="G1590">
        <v>46</v>
      </c>
      <c r="H1590" s="1">
        <v>45135</v>
      </c>
      <c r="I1590">
        <v>2023</v>
      </c>
      <c r="J1590">
        <v>7</v>
      </c>
      <c r="K1590" t="s">
        <v>30</v>
      </c>
      <c r="L1590">
        <v>0</v>
      </c>
      <c r="M1590">
        <v>1</v>
      </c>
    </row>
    <row r="1591" spans="1:13" x14ac:dyDescent="0.25">
      <c r="A1591" t="s">
        <v>1283</v>
      </c>
      <c r="B1591" t="s">
        <v>28</v>
      </c>
      <c r="C1591" t="s">
        <v>80</v>
      </c>
      <c r="D1591" t="s">
        <v>15</v>
      </c>
      <c r="E1591">
        <v>180</v>
      </c>
      <c r="F1591" t="s">
        <v>21</v>
      </c>
      <c r="G1591">
        <v>188</v>
      </c>
      <c r="H1591" s="1">
        <v>45135</v>
      </c>
      <c r="I1591">
        <v>2023</v>
      </c>
      <c r="J1591">
        <v>7</v>
      </c>
      <c r="K1591" t="s">
        <v>36</v>
      </c>
      <c r="L1591" t="s">
        <v>21</v>
      </c>
      <c r="M1591">
        <v>1</v>
      </c>
    </row>
    <row r="1592" spans="1:13" x14ac:dyDescent="0.25">
      <c r="A1592" t="s">
        <v>1284</v>
      </c>
      <c r="B1592" t="s">
        <v>35</v>
      </c>
      <c r="C1592" t="s">
        <v>14</v>
      </c>
      <c r="D1592" t="s">
        <v>15</v>
      </c>
      <c r="E1592" t="s">
        <v>21</v>
      </c>
      <c r="F1592" t="s">
        <v>21</v>
      </c>
      <c r="G1592">
        <v>187</v>
      </c>
      <c r="H1592" s="1">
        <v>45135</v>
      </c>
      <c r="I1592">
        <v>2023</v>
      </c>
      <c r="J1592">
        <v>7</v>
      </c>
      <c r="K1592" t="s">
        <v>36</v>
      </c>
      <c r="L1592" t="s">
        <v>21</v>
      </c>
      <c r="M1592">
        <v>0</v>
      </c>
    </row>
    <row r="1593" spans="1:13" x14ac:dyDescent="0.25">
      <c r="A1593" t="s">
        <v>1285</v>
      </c>
      <c r="B1593" t="s">
        <v>95</v>
      </c>
      <c r="C1593" t="s">
        <v>48</v>
      </c>
      <c r="D1593" t="s">
        <v>20</v>
      </c>
      <c r="E1593">
        <v>400</v>
      </c>
      <c r="F1593">
        <v>0.67</v>
      </c>
      <c r="G1593">
        <v>39</v>
      </c>
      <c r="H1593" s="1">
        <v>45134</v>
      </c>
      <c r="I1593">
        <v>2023</v>
      </c>
      <c r="J1593">
        <v>7</v>
      </c>
      <c r="K1593" t="s">
        <v>30</v>
      </c>
      <c r="L1593">
        <v>0</v>
      </c>
      <c r="M1593">
        <v>1</v>
      </c>
    </row>
    <row r="1594" spans="1:13" x14ac:dyDescent="0.25">
      <c r="A1594" t="s">
        <v>1286</v>
      </c>
      <c r="B1594" t="s">
        <v>24</v>
      </c>
      <c r="C1594" t="s">
        <v>14</v>
      </c>
      <c r="D1594" t="s">
        <v>15</v>
      </c>
      <c r="E1594">
        <v>255</v>
      </c>
      <c r="F1594">
        <v>0.34</v>
      </c>
      <c r="G1594">
        <v>1600</v>
      </c>
      <c r="H1594" s="1">
        <v>45134</v>
      </c>
      <c r="I1594">
        <v>2023</v>
      </c>
      <c r="J1594">
        <v>7</v>
      </c>
      <c r="K1594" t="s">
        <v>26</v>
      </c>
      <c r="L1594">
        <v>0</v>
      </c>
      <c r="M1594">
        <v>1</v>
      </c>
    </row>
    <row r="1595" spans="1:13" x14ac:dyDescent="0.25">
      <c r="A1595" t="s">
        <v>1287</v>
      </c>
      <c r="B1595" t="s">
        <v>91</v>
      </c>
      <c r="C1595" t="s">
        <v>14</v>
      </c>
      <c r="D1595" t="s">
        <v>46</v>
      </c>
      <c r="E1595">
        <v>61</v>
      </c>
      <c r="F1595">
        <v>0.28000000000000003</v>
      </c>
      <c r="G1595">
        <v>149</v>
      </c>
      <c r="H1595" s="1">
        <v>45134</v>
      </c>
      <c r="I1595">
        <v>2023</v>
      </c>
      <c r="J1595">
        <v>7</v>
      </c>
      <c r="K1595" t="s">
        <v>36</v>
      </c>
      <c r="L1595">
        <v>0</v>
      </c>
      <c r="M1595">
        <v>1</v>
      </c>
    </row>
    <row r="1596" spans="1:13" x14ac:dyDescent="0.25">
      <c r="A1596" t="s">
        <v>1288</v>
      </c>
      <c r="B1596" t="s">
        <v>77</v>
      </c>
      <c r="C1596" t="s">
        <v>25</v>
      </c>
      <c r="D1596" t="s">
        <v>68</v>
      </c>
      <c r="E1596">
        <v>60</v>
      </c>
      <c r="F1596" t="s">
        <v>21</v>
      </c>
      <c r="G1596">
        <v>9</v>
      </c>
      <c r="H1596" s="1">
        <v>45134</v>
      </c>
      <c r="I1596">
        <v>2023</v>
      </c>
      <c r="J1596">
        <v>7</v>
      </c>
      <c r="K1596" t="s">
        <v>16</v>
      </c>
      <c r="L1596" t="s">
        <v>21</v>
      </c>
      <c r="M1596">
        <v>1</v>
      </c>
    </row>
    <row r="1597" spans="1:13" x14ac:dyDescent="0.25">
      <c r="A1597" t="s">
        <v>362</v>
      </c>
      <c r="B1597" t="s">
        <v>38</v>
      </c>
      <c r="C1597" t="s">
        <v>14</v>
      </c>
      <c r="D1597" t="s">
        <v>111</v>
      </c>
      <c r="E1597">
        <v>60</v>
      </c>
      <c r="F1597">
        <v>0.06</v>
      </c>
      <c r="G1597">
        <v>569</v>
      </c>
      <c r="H1597" s="1">
        <v>45134</v>
      </c>
      <c r="I1597">
        <v>2023</v>
      </c>
      <c r="J1597">
        <v>7</v>
      </c>
      <c r="K1597" t="s">
        <v>36</v>
      </c>
      <c r="L1597">
        <v>0</v>
      </c>
      <c r="M1597">
        <v>1</v>
      </c>
    </row>
    <row r="1598" spans="1:13" x14ac:dyDescent="0.25">
      <c r="A1598" t="s">
        <v>1289</v>
      </c>
      <c r="B1598" t="s">
        <v>13</v>
      </c>
      <c r="C1598" t="s">
        <v>14</v>
      </c>
      <c r="D1598" t="s">
        <v>49</v>
      </c>
      <c r="E1598" t="s">
        <v>21</v>
      </c>
      <c r="F1598">
        <v>1</v>
      </c>
      <c r="G1598">
        <v>11</v>
      </c>
      <c r="H1598" s="1">
        <v>45134</v>
      </c>
      <c r="I1598">
        <v>2023</v>
      </c>
      <c r="J1598">
        <v>7</v>
      </c>
      <c r="K1598" t="s">
        <v>30</v>
      </c>
      <c r="L1598">
        <v>1</v>
      </c>
      <c r="M1598">
        <v>1</v>
      </c>
    </row>
    <row r="1599" spans="1:13" x14ac:dyDescent="0.25">
      <c r="A1599" t="s">
        <v>1290</v>
      </c>
      <c r="B1599" t="s">
        <v>106</v>
      </c>
      <c r="C1599" t="s">
        <v>14</v>
      </c>
      <c r="D1599" t="s">
        <v>22</v>
      </c>
      <c r="E1599" t="s">
        <v>21</v>
      </c>
      <c r="F1599" t="s">
        <v>21</v>
      </c>
      <c r="G1599">
        <v>463</v>
      </c>
      <c r="H1599" s="1">
        <v>45134</v>
      </c>
      <c r="I1599">
        <v>2023</v>
      </c>
      <c r="J1599">
        <v>7</v>
      </c>
      <c r="K1599" t="s">
        <v>36</v>
      </c>
      <c r="L1599" t="s">
        <v>21</v>
      </c>
      <c r="M1599">
        <v>0</v>
      </c>
    </row>
    <row r="1600" spans="1:13" x14ac:dyDescent="0.25">
      <c r="A1600" t="s">
        <v>743</v>
      </c>
      <c r="B1600" t="s">
        <v>24</v>
      </c>
      <c r="C1600" t="s">
        <v>184</v>
      </c>
      <c r="D1600" t="s">
        <v>46</v>
      </c>
      <c r="E1600">
        <v>350</v>
      </c>
      <c r="F1600">
        <v>0.25</v>
      </c>
      <c r="G1600">
        <v>103</v>
      </c>
      <c r="H1600" s="1">
        <v>45133</v>
      </c>
      <c r="I1600">
        <v>2023</v>
      </c>
      <c r="J1600">
        <v>7</v>
      </c>
      <c r="K1600" t="s">
        <v>36</v>
      </c>
      <c r="L1600">
        <v>0</v>
      </c>
      <c r="M1600">
        <v>1</v>
      </c>
    </row>
    <row r="1601" spans="1:13" x14ac:dyDescent="0.25">
      <c r="A1601" t="s">
        <v>1291</v>
      </c>
      <c r="B1601" t="s">
        <v>52</v>
      </c>
      <c r="C1601" t="s">
        <v>14</v>
      </c>
      <c r="D1601" t="s">
        <v>22</v>
      </c>
      <c r="E1601">
        <v>90</v>
      </c>
      <c r="F1601">
        <v>0.2</v>
      </c>
      <c r="G1601">
        <v>1500</v>
      </c>
      <c r="H1601" s="1">
        <v>45133</v>
      </c>
      <c r="I1601">
        <v>2023</v>
      </c>
      <c r="J1601">
        <v>7</v>
      </c>
      <c r="K1601" t="s">
        <v>26</v>
      </c>
      <c r="L1601">
        <v>0</v>
      </c>
      <c r="M1601">
        <v>1</v>
      </c>
    </row>
    <row r="1602" spans="1:13" x14ac:dyDescent="0.25">
      <c r="A1602" t="s">
        <v>548</v>
      </c>
      <c r="B1602" t="s">
        <v>13</v>
      </c>
      <c r="C1602" t="s">
        <v>14</v>
      </c>
      <c r="D1602" t="s">
        <v>33</v>
      </c>
      <c r="E1602">
        <v>60</v>
      </c>
      <c r="F1602">
        <v>0.1</v>
      </c>
      <c r="G1602">
        <v>351</v>
      </c>
      <c r="H1602" s="1">
        <v>45133</v>
      </c>
      <c r="I1602">
        <v>2023</v>
      </c>
      <c r="J1602">
        <v>7</v>
      </c>
      <c r="K1602" t="s">
        <v>36</v>
      </c>
      <c r="L1602">
        <v>0</v>
      </c>
      <c r="M1602">
        <v>1</v>
      </c>
    </row>
    <row r="1603" spans="1:13" x14ac:dyDescent="0.25">
      <c r="A1603" t="s">
        <v>1292</v>
      </c>
      <c r="B1603" t="s">
        <v>24</v>
      </c>
      <c r="C1603" t="s">
        <v>48</v>
      </c>
      <c r="D1603" t="s">
        <v>20</v>
      </c>
      <c r="E1603">
        <v>50</v>
      </c>
      <c r="F1603" t="s">
        <v>21</v>
      </c>
      <c r="G1603">
        <v>516</v>
      </c>
      <c r="H1603" s="1">
        <v>45133</v>
      </c>
      <c r="I1603">
        <v>2023</v>
      </c>
      <c r="J1603">
        <v>7</v>
      </c>
      <c r="K1603" t="s">
        <v>36</v>
      </c>
      <c r="L1603" t="s">
        <v>21</v>
      </c>
      <c r="M1603">
        <v>1</v>
      </c>
    </row>
    <row r="1604" spans="1:13" x14ac:dyDescent="0.25">
      <c r="A1604" t="s">
        <v>1293</v>
      </c>
      <c r="B1604" t="s">
        <v>490</v>
      </c>
      <c r="C1604" t="s">
        <v>1294</v>
      </c>
      <c r="D1604" t="s">
        <v>15</v>
      </c>
      <c r="E1604" t="s">
        <v>21</v>
      </c>
      <c r="F1604">
        <v>1</v>
      </c>
      <c r="G1604">
        <v>17</v>
      </c>
      <c r="H1604" s="1">
        <v>45133</v>
      </c>
      <c r="I1604">
        <v>2023</v>
      </c>
      <c r="J1604">
        <v>7</v>
      </c>
      <c r="K1604" t="s">
        <v>30</v>
      </c>
      <c r="L1604">
        <v>1</v>
      </c>
      <c r="M1604">
        <v>1</v>
      </c>
    </row>
    <row r="1605" spans="1:13" x14ac:dyDescent="0.25">
      <c r="A1605" t="s">
        <v>1295</v>
      </c>
      <c r="B1605" t="s">
        <v>54</v>
      </c>
      <c r="C1605" t="s">
        <v>14</v>
      </c>
      <c r="D1605" t="s">
        <v>22</v>
      </c>
      <c r="E1605" t="s">
        <v>21</v>
      </c>
      <c r="F1605" t="s">
        <v>21</v>
      </c>
      <c r="G1605">
        <v>9</v>
      </c>
      <c r="H1605" s="1">
        <v>45133</v>
      </c>
      <c r="I1605">
        <v>2023</v>
      </c>
      <c r="J1605">
        <v>7</v>
      </c>
      <c r="K1605" t="s">
        <v>16</v>
      </c>
      <c r="L1605" t="s">
        <v>21</v>
      </c>
      <c r="M1605">
        <v>0</v>
      </c>
    </row>
    <row r="1606" spans="1:13" x14ac:dyDescent="0.25">
      <c r="A1606" t="s">
        <v>1296</v>
      </c>
      <c r="B1606" t="s">
        <v>28</v>
      </c>
      <c r="C1606" t="s">
        <v>14</v>
      </c>
      <c r="D1606" t="s">
        <v>22</v>
      </c>
      <c r="E1606">
        <v>46</v>
      </c>
      <c r="F1606">
        <v>0.15</v>
      </c>
      <c r="G1606">
        <v>322</v>
      </c>
      <c r="H1606" s="1">
        <v>45132</v>
      </c>
      <c r="I1606">
        <v>2023</v>
      </c>
      <c r="J1606">
        <v>7</v>
      </c>
      <c r="K1606" t="s">
        <v>36</v>
      </c>
      <c r="L1606">
        <v>0</v>
      </c>
      <c r="M1606">
        <v>1</v>
      </c>
    </row>
    <row r="1607" spans="1:13" x14ac:dyDescent="0.25">
      <c r="A1607" t="s">
        <v>413</v>
      </c>
      <c r="B1607" t="s">
        <v>106</v>
      </c>
      <c r="C1607" t="s">
        <v>14</v>
      </c>
      <c r="D1607" t="s">
        <v>20</v>
      </c>
      <c r="E1607" t="s">
        <v>21</v>
      </c>
      <c r="F1607" t="s">
        <v>21</v>
      </c>
      <c r="G1607">
        <v>192</v>
      </c>
      <c r="H1607" s="1">
        <v>45132</v>
      </c>
      <c r="I1607">
        <v>2023</v>
      </c>
      <c r="J1607">
        <v>7</v>
      </c>
      <c r="K1607" t="s">
        <v>36</v>
      </c>
      <c r="L1607" t="s">
        <v>21</v>
      </c>
      <c r="M1607">
        <v>0</v>
      </c>
    </row>
    <row r="1608" spans="1:13" x14ac:dyDescent="0.25">
      <c r="A1608" t="s">
        <v>1297</v>
      </c>
      <c r="B1608" t="s">
        <v>95</v>
      </c>
      <c r="C1608" t="s">
        <v>14</v>
      </c>
      <c r="D1608" t="s">
        <v>15</v>
      </c>
      <c r="E1608" t="s">
        <v>21</v>
      </c>
      <c r="F1608">
        <v>1</v>
      </c>
      <c r="G1608">
        <v>692</v>
      </c>
      <c r="H1608" s="1">
        <v>45131</v>
      </c>
      <c r="I1608">
        <v>2023</v>
      </c>
      <c r="J1608">
        <v>7</v>
      </c>
      <c r="K1608" t="s">
        <v>36</v>
      </c>
      <c r="L1608">
        <v>1</v>
      </c>
      <c r="M1608">
        <v>1</v>
      </c>
    </row>
    <row r="1609" spans="1:13" x14ac:dyDescent="0.25">
      <c r="A1609" t="s">
        <v>1298</v>
      </c>
      <c r="B1609" t="s">
        <v>24</v>
      </c>
      <c r="C1609" t="s">
        <v>83</v>
      </c>
      <c r="D1609" t="s">
        <v>22</v>
      </c>
      <c r="E1609" t="s">
        <v>21</v>
      </c>
      <c r="F1609" t="s">
        <v>21</v>
      </c>
      <c r="G1609">
        <v>37</v>
      </c>
      <c r="H1609" s="1">
        <v>45131</v>
      </c>
      <c r="I1609">
        <v>2023</v>
      </c>
      <c r="J1609">
        <v>7</v>
      </c>
      <c r="K1609" t="s">
        <v>30</v>
      </c>
      <c r="L1609" t="s">
        <v>21</v>
      </c>
      <c r="M1609">
        <v>0</v>
      </c>
    </row>
    <row r="1610" spans="1:13" x14ac:dyDescent="0.25">
      <c r="A1610" t="s">
        <v>1299</v>
      </c>
      <c r="B1610" t="s">
        <v>77</v>
      </c>
      <c r="C1610" t="s">
        <v>80</v>
      </c>
      <c r="D1610" t="s">
        <v>55</v>
      </c>
      <c r="E1610" t="s">
        <v>21</v>
      </c>
      <c r="F1610" t="s">
        <v>21</v>
      </c>
      <c r="G1610">
        <v>182</v>
      </c>
      <c r="H1610" s="1">
        <v>45131</v>
      </c>
      <c r="I1610">
        <v>2023</v>
      </c>
      <c r="J1610">
        <v>7</v>
      </c>
      <c r="K1610" t="s">
        <v>36</v>
      </c>
      <c r="L1610" t="s">
        <v>21</v>
      </c>
      <c r="M1610">
        <v>0</v>
      </c>
    </row>
    <row r="1611" spans="1:13" x14ac:dyDescent="0.25">
      <c r="A1611" t="s">
        <v>1300</v>
      </c>
      <c r="B1611" t="s">
        <v>35</v>
      </c>
      <c r="C1611" t="s">
        <v>14</v>
      </c>
      <c r="D1611" t="s">
        <v>46</v>
      </c>
      <c r="E1611">
        <v>87</v>
      </c>
      <c r="F1611" t="s">
        <v>21</v>
      </c>
      <c r="G1611">
        <v>255</v>
      </c>
      <c r="H1611" s="1">
        <v>45128</v>
      </c>
      <c r="I1611">
        <v>2023</v>
      </c>
      <c r="J1611">
        <v>7</v>
      </c>
      <c r="K1611" t="s">
        <v>36</v>
      </c>
      <c r="L1611" t="s">
        <v>21</v>
      </c>
      <c r="M1611">
        <v>1</v>
      </c>
    </row>
    <row r="1612" spans="1:13" x14ac:dyDescent="0.25">
      <c r="A1612" t="s">
        <v>1301</v>
      </c>
      <c r="B1612" t="s">
        <v>52</v>
      </c>
      <c r="C1612" t="s">
        <v>143</v>
      </c>
      <c r="D1612" t="s">
        <v>49</v>
      </c>
      <c r="E1612" t="s">
        <v>21</v>
      </c>
      <c r="F1612">
        <v>1</v>
      </c>
      <c r="G1612">
        <v>1</v>
      </c>
      <c r="H1612" s="1">
        <v>45128</v>
      </c>
      <c r="I1612">
        <v>2023</v>
      </c>
      <c r="J1612">
        <v>7</v>
      </c>
      <c r="K1612" t="s">
        <v>16</v>
      </c>
      <c r="L1612">
        <v>1</v>
      </c>
      <c r="M1612">
        <v>1</v>
      </c>
    </row>
    <row r="1613" spans="1:13" x14ac:dyDescent="0.25">
      <c r="A1613" t="s">
        <v>1302</v>
      </c>
      <c r="B1613" t="s">
        <v>32</v>
      </c>
      <c r="C1613" t="s">
        <v>161</v>
      </c>
      <c r="D1613" t="s">
        <v>22</v>
      </c>
      <c r="E1613">
        <v>450</v>
      </c>
      <c r="F1613">
        <v>0.25</v>
      </c>
      <c r="G1613" t="s">
        <v>21</v>
      </c>
      <c r="H1613" s="1">
        <v>45127</v>
      </c>
      <c r="I1613">
        <v>2023</v>
      </c>
      <c r="J1613">
        <v>7</v>
      </c>
      <c r="K1613" t="s">
        <v>22</v>
      </c>
      <c r="L1613">
        <v>0</v>
      </c>
      <c r="M1613">
        <v>1</v>
      </c>
    </row>
    <row r="1614" spans="1:13" x14ac:dyDescent="0.25">
      <c r="A1614" t="s">
        <v>576</v>
      </c>
      <c r="B1614" t="s">
        <v>91</v>
      </c>
      <c r="C1614" t="s">
        <v>14</v>
      </c>
      <c r="D1614" t="s">
        <v>22</v>
      </c>
      <c r="E1614">
        <v>80</v>
      </c>
      <c r="F1614">
        <v>0.8</v>
      </c>
      <c r="G1614" t="s">
        <v>21</v>
      </c>
      <c r="H1614" s="1">
        <v>45127</v>
      </c>
      <c r="I1614">
        <v>2023</v>
      </c>
      <c r="J1614">
        <v>7</v>
      </c>
      <c r="K1614" t="s">
        <v>22</v>
      </c>
      <c r="L1614">
        <v>0</v>
      </c>
      <c r="M1614">
        <v>1</v>
      </c>
    </row>
    <row r="1615" spans="1:13" x14ac:dyDescent="0.25">
      <c r="A1615" t="s">
        <v>654</v>
      </c>
      <c r="B1615" t="s">
        <v>95</v>
      </c>
      <c r="C1615" t="s">
        <v>48</v>
      </c>
      <c r="D1615" t="s">
        <v>22</v>
      </c>
      <c r="E1615" t="s">
        <v>21</v>
      </c>
      <c r="F1615" t="s">
        <v>21</v>
      </c>
      <c r="G1615">
        <v>382</v>
      </c>
      <c r="H1615" s="1">
        <v>45127</v>
      </c>
      <c r="I1615">
        <v>2023</v>
      </c>
      <c r="J1615">
        <v>7</v>
      </c>
      <c r="K1615" t="s">
        <v>36</v>
      </c>
      <c r="L1615" t="s">
        <v>21</v>
      </c>
      <c r="M1615">
        <v>0</v>
      </c>
    </row>
    <row r="1616" spans="1:13" x14ac:dyDescent="0.25">
      <c r="A1616" t="s">
        <v>1303</v>
      </c>
      <c r="B1616" t="s">
        <v>54</v>
      </c>
      <c r="C1616" t="s">
        <v>80</v>
      </c>
      <c r="D1616" t="s">
        <v>81</v>
      </c>
      <c r="E1616" t="s">
        <v>21</v>
      </c>
      <c r="F1616" t="s">
        <v>21</v>
      </c>
      <c r="G1616" t="s">
        <v>21</v>
      </c>
      <c r="H1616" s="1">
        <v>45127</v>
      </c>
      <c r="I1616">
        <v>2023</v>
      </c>
      <c r="J1616">
        <v>7</v>
      </c>
      <c r="K1616" t="s">
        <v>22</v>
      </c>
      <c r="L1616" t="s">
        <v>21</v>
      </c>
      <c r="M1616">
        <v>0</v>
      </c>
    </row>
    <row r="1617" spans="1:13" x14ac:dyDescent="0.25">
      <c r="A1617" t="s">
        <v>1304</v>
      </c>
      <c r="B1617" t="s">
        <v>13</v>
      </c>
      <c r="C1617" t="s">
        <v>14</v>
      </c>
      <c r="D1617" t="s">
        <v>15</v>
      </c>
      <c r="E1617" t="s">
        <v>21</v>
      </c>
      <c r="F1617" t="s">
        <v>21</v>
      </c>
      <c r="G1617">
        <v>87</v>
      </c>
      <c r="H1617" s="1">
        <v>45127</v>
      </c>
      <c r="I1617">
        <v>2023</v>
      </c>
      <c r="J1617">
        <v>7</v>
      </c>
      <c r="K1617" t="s">
        <v>30</v>
      </c>
      <c r="L1617" t="s">
        <v>21</v>
      </c>
      <c r="M1617">
        <v>0</v>
      </c>
    </row>
    <row r="1618" spans="1:13" x14ac:dyDescent="0.25">
      <c r="A1618" t="s">
        <v>1305</v>
      </c>
      <c r="B1618" t="s">
        <v>89</v>
      </c>
      <c r="C1618" t="s">
        <v>48</v>
      </c>
      <c r="D1618" t="s">
        <v>22</v>
      </c>
      <c r="E1618" t="s">
        <v>21</v>
      </c>
      <c r="F1618" t="s">
        <v>21</v>
      </c>
      <c r="G1618" t="s">
        <v>21</v>
      </c>
      <c r="H1618" s="1">
        <v>45127</v>
      </c>
      <c r="I1618">
        <v>2023</v>
      </c>
      <c r="J1618">
        <v>7</v>
      </c>
      <c r="K1618" t="s">
        <v>22</v>
      </c>
      <c r="L1618" t="s">
        <v>21</v>
      </c>
      <c r="M1618">
        <v>0</v>
      </c>
    </row>
    <row r="1619" spans="1:13" x14ac:dyDescent="0.25">
      <c r="A1619" t="s">
        <v>1306</v>
      </c>
      <c r="B1619" t="s">
        <v>77</v>
      </c>
      <c r="C1619" t="s">
        <v>14</v>
      </c>
      <c r="D1619" t="s">
        <v>33</v>
      </c>
      <c r="E1619">
        <v>67</v>
      </c>
      <c r="F1619">
        <v>0.24</v>
      </c>
      <c r="G1619">
        <v>111</v>
      </c>
      <c r="H1619" s="1">
        <v>45126</v>
      </c>
      <c r="I1619">
        <v>2023</v>
      </c>
      <c r="J1619">
        <v>7</v>
      </c>
      <c r="K1619" t="s">
        <v>36</v>
      </c>
      <c r="L1619">
        <v>0</v>
      </c>
      <c r="M1619">
        <v>1</v>
      </c>
    </row>
    <row r="1620" spans="1:13" x14ac:dyDescent="0.25">
      <c r="A1620" t="s">
        <v>1307</v>
      </c>
      <c r="B1620" t="s">
        <v>73</v>
      </c>
      <c r="C1620" t="s">
        <v>14</v>
      </c>
      <c r="D1620" t="s">
        <v>15</v>
      </c>
      <c r="E1620">
        <v>50</v>
      </c>
      <c r="F1620">
        <v>0.06</v>
      </c>
      <c r="G1620">
        <v>179</v>
      </c>
      <c r="H1620" s="1">
        <v>45126</v>
      </c>
      <c r="I1620">
        <v>2023</v>
      </c>
      <c r="J1620">
        <v>7</v>
      </c>
      <c r="K1620" t="s">
        <v>36</v>
      </c>
      <c r="L1620">
        <v>0</v>
      </c>
      <c r="M1620">
        <v>1</v>
      </c>
    </row>
    <row r="1621" spans="1:13" x14ac:dyDescent="0.25">
      <c r="A1621" t="s">
        <v>1308</v>
      </c>
      <c r="B1621" t="s">
        <v>77</v>
      </c>
      <c r="C1621" t="s">
        <v>14</v>
      </c>
      <c r="D1621" t="s">
        <v>22</v>
      </c>
      <c r="E1621">
        <v>28</v>
      </c>
      <c r="F1621">
        <v>0.32</v>
      </c>
      <c r="G1621">
        <v>32</v>
      </c>
      <c r="H1621" s="1">
        <v>45126</v>
      </c>
      <c r="I1621">
        <v>2023</v>
      </c>
      <c r="J1621">
        <v>7</v>
      </c>
      <c r="K1621" t="s">
        <v>30</v>
      </c>
      <c r="L1621">
        <v>0</v>
      </c>
      <c r="M1621">
        <v>1</v>
      </c>
    </row>
    <row r="1622" spans="1:13" x14ac:dyDescent="0.25">
      <c r="A1622" t="s">
        <v>1309</v>
      </c>
      <c r="B1622" t="s">
        <v>95</v>
      </c>
      <c r="C1622" t="s">
        <v>14</v>
      </c>
      <c r="D1622" t="s">
        <v>15</v>
      </c>
      <c r="E1622" t="s">
        <v>21</v>
      </c>
      <c r="F1622">
        <v>0.2</v>
      </c>
      <c r="G1622">
        <v>422</v>
      </c>
      <c r="H1622" s="1">
        <v>45126</v>
      </c>
      <c r="I1622">
        <v>2023</v>
      </c>
      <c r="J1622">
        <v>7</v>
      </c>
      <c r="K1622" t="s">
        <v>36</v>
      </c>
      <c r="L1622">
        <v>0</v>
      </c>
      <c r="M1622">
        <v>1</v>
      </c>
    </row>
    <row r="1623" spans="1:13" x14ac:dyDescent="0.25">
      <c r="A1623" t="s">
        <v>12</v>
      </c>
      <c r="B1623" t="s">
        <v>13</v>
      </c>
      <c r="C1623" t="s">
        <v>14</v>
      </c>
      <c r="D1623" t="s">
        <v>15</v>
      </c>
      <c r="E1623">
        <v>1000</v>
      </c>
      <c r="F1623" t="s">
        <v>21</v>
      </c>
      <c r="G1623">
        <v>1</v>
      </c>
      <c r="H1623" s="1">
        <v>45125</v>
      </c>
      <c r="I1623">
        <v>2023</v>
      </c>
      <c r="J1623">
        <v>7</v>
      </c>
      <c r="K1623" t="s">
        <v>16</v>
      </c>
      <c r="L1623" t="s">
        <v>21</v>
      </c>
      <c r="M1623">
        <v>1</v>
      </c>
    </row>
    <row r="1624" spans="1:13" x14ac:dyDescent="0.25">
      <c r="A1624" t="s">
        <v>1310</v>
      </c>
      <c r="B1624" t="s">
        <v>18</v>
      </c>
      <c r="C1624" t="s">
        <v>14</v>
      </c>
      <c r="D1624" t="s">
        <v>22</v>
      </c>
      <c r="E1624">
        <v>80</v>
      </c>
      <c r="F1624" t="s">
        <v>21</v>
      </c>
      <c r="G1624">
        <v>165</v>
      </c>
      <c r="H1624" s="1">
        <v>45125</v>
      </c>
      <c r="I1624">
        <v>2023</v>
      </c>
      <c r="J1624">
        <v>7</v>
      </c>
      <c r="K1624" t="s">
        <v>36</v>
      </c>
      <c r="L1624" t="s">
        <v>21</v>
      </c>
      <c r="M1624">
        <v>1</v>
      </c>
    </row>
    <row r="1625" spans="1:13" x14ac:dyDescent="0.25">
      <c r="A1625" t="s">
        <v>1311</v>
      </c>
      <c r="B1625" t="s">
        <v>95</v>
      </c>
      <c r="C1625" t="s">
        <v>14</v>
      </c>
      <c r="D1625" t="s">
        <v>22</v>
      </c>
      <c r="E1625" t="s">
        <v>21</v>
      </c>
      <c r="F1625" t="s">
        <v>21</v>
      </c>
      <c r="G1625">
        <v>91</v>
      </c>
      <c r="H1625" s="1">
        <v>45125</v>
      </c>
      <c r="I1625">
        <v>2023</v>
      </c>
      <c r="J1625">
        <v>7</v>
      </c>
      <c r="K1625" t="s">
        <v>30</v>
      </c>
      <c r="L1625" t="s">
        <v>21</v>
      </c>
      <c r="M1625">
        <v>0</v>
      </c>
    </row>
    <row r="1626" spans="1:13" x14ac:dyDescent="0.25">
      <c r="A1626" t="s">
        <v>1064</v>
      </c>
      <c r="B1626" t="s">
        <v>490</v>
      </c>
      <c r="C1626" t="s">
        <v>14</v>
      </c>
      <c r="D1626" t="s">
        <v>15</v>
      </c>
      <c r="E1626">
        <v>75</v>
      </c>
      <c r="F1626">
        <v>0.25</v>
      </c>
      <c r="G1626">
        <v>316</v>
      </c>
      <c r="H1626" s="1">
        <v>45124</v>
      </c>
      <c r="I1626">
        <v>2023</v>
      </c>
      <c r="J1626">
        <v>7</v>
      </c>
      <c r="K1626" t="s">
        <v>36</v>
      </c>
      <c r="L1626">
        <v>0</v>
      </c>
      <c r="M1626">
        <v>1</v>
      </c>
    </row>
    <row r="1627" spans="1:13" x14ac:dyDescent="0.25">
      <c r="A1627" t="s">
        <v>1312</v>
      </c>
      <c r="B1627" t="s">
        <v>28</v>
      </c>
      <c r="C1627" t="s">
        <v>14</v>
      </c>
      <c r="D1627" t="s">
        <v>22</v>
      </c>
      <c r="E1627" t="s">
        <v>21</v>
      </c>
      <c r="F1627" t="s">
        <v>21</v>
      </c>
      <c r="G1627">
        <v>137</v>
      </c>
      <c r="H1627" s="1">
        <v>45124</v>
      </c>
      <c r="I1627">
        <v>2023</v>
      </c>
      <c r="J1627">
        <v>7</v>
      </c>
      <c r="K1627" t="s">
        <v>36</v>
      </c>
      <c r="L1627" t="s">
        <v>21</v>
      </c>
      <c r="M1627">
        <v>0</v>
      </c>
    </row>
    <row r="1628" spans="1:13" x14ac:dyDescent="0.25">
      <c r="A1628" t="s">
        <v>1313</v>
      </c>
      <c r="B1628" t="s">
        <v>140</v>
      </c>
      <c r="C1628" t="s">
        <v>14</v>
      </c>
      <c r="D1628" t="s">
        <v>68</v>
      </c>
      <c r="E1628" t="s">
        <v>21</v>
      </c>
      <c r="F1628">
        <v>0.28000000000000003</v>
      </c>
      <c r="G1628">
        <v>39</v>
      </c>
      <c r="H1628" s="1">
        <v>45124</v>
      </c>
      <c r="I1628">
        <v>2023</v>
      </c>
      <c r="J1628">
        <v>7</v>
      </c>
      <c r="K1628" t="s">
        <v>30</v>
      </c>
      <c r="L1628">
        <v>0</v>
      </c>
      <c r="M1628">
        <v>1</v>
      </c>
    </row>
    <row r="1629" spans="1:13" x14ac:dyDescent="0.25">
      <c r="A1629" t="s">
        <v>640</v>
      </c>
      <c r="B1629" t="s">
        <v>70</v>
      </c>
      <c r="C1629" t="s">
        <v>29</v>
      </c>
      <c r="D1629" t="s">
        <v>15</v>
      </c>
      <c r="E1629" t="s">
        <v>21</v>
      </c>
      <c r="F1629" t="s">
        <v>21</v>
      </c>
      <c r="G1629" t="s">
        <v>21</v>
      </c>
      <c r="H1629" s="1">
        <v>45124</v>
      </c>
      <c r="I1629">
        <v>2023</v>
      </c>
      <c r="J1629">
        <v>7</v>
      </c>
      <c r="K1629" t="s">
        <v>22</v>
      </c>
      <c r="L1629" t="s">
        <v>21</v>
      </c>
      <c r="M1629">
        <v>0</v>
      </c>
    </row>
    <row r="1630" spans="1:13" x14ac:dyDescent="0.25">
      <c r="A1630" t="s">
        <v>1314</v>
      </c>
      <c r="B1630" t="s">
        <v>91</v>
      </c>
      <c r="C1630" t="s">
        <v>25</v>
      </c>
      <c r="D1630" t="s">
        <v>20</v>
      </c>
      <c r="E1630" t="s">
        <v>21</v>
      </c>
      <c r="F1630" t="s">
        <v>21</v>
      </c>
      <c r="G1630">
        <v>56</v>
      </c>
      <c r="H1630" s="1">
        <v>45124</v>
      </c>
      <c r="I1630">
        <v>2023</v>
      </c>
      <c r="J1630">
        <v>7</v>
      </c>
      <c r="K1630" t="s">
        <v>30</v>
      </c>
      <c r="L1630" t="s">
        <v>21</v>
      </c>
      <c r="M1630">
        <v>0</v>
      </c>
    </row>
    <row r="1631" spans="1:13" x14ac:dyDescent="0.25">
      <c r="A1631" t="s">
        <v>1315</v>
      </c>
      <c r="B1631" t="s">
        <v>52</v>
      </c>
      <c r="C1631" t="s">
        <v>284</v>
      </c>
      <c r="D1631" t="s">
        <v>22</v>
      </c>
      <c r="E1631">
        <v>1000</v>
      </c>
      <c r="F1631" t="s">
        <v>21</v>
      </c>
      <c r="G1631" t="s">
        <v>21</v>
      </c>
      <c r="H1631" s="1">
        <v>45121</v>
      </c>
      <c r="I1631">
        <v>2023</v>
      </c>
      <c r="J1631">
        <v>7</v>
      </c>
      <c r="K1631" t="s">
        <v>22</v>
      </c>
      <c r="L1631" t="s">
        <v>21</v>
      </c>
      <c r="M1631">
        <v>1</v>
      </c>
    </row>
    <row r="1632" spans="1:13" x14ac:dyDescent="0.25">
      <c r="A1632" t="s">
        <v>1316</v>
      </c>
      <c r="B1632" t="s">
        <v>40</v>
      </c>
      <c r="C1632" t="s">
        <v>14</v>
      </c>
      <c r="D1632" t="s">
        <v>20</v>
      </c>
      <c r="E1632">
        <v>14</v>
      </c>
      <c r="F1632">
        <v>0.02</v>
      </c>
      <c r="G1632">
        <v>33</v>
      </c>
      <c r="H1632" s="1">
        <v>45121</v>
      </c>
      <c r="I1632">
        <v>2023</v>
      </c>
      <c r="J1632">
        <v>7</v>
      </c>
      <c r="K1632" t="s">
        <v>30</v>
      </c>
      <c r="L1632">
        <v>0</v>
      </c>
      <c r="M1632">
        <v>1</v>
      </c>
    </row>
    <row r="1633" spans="1:13" x14ac:dyDescent="0.25">
      <c r="A1633" t="s">
        <v>1317</v>
      </c>
      <c r="B1633" t="s">
        <v>77</v>
      </c>
      <c r="C1633" t="s">
        <v>48</v>
      </c>
      <c r="D1633" t="s">
        <v>22</v>
      </c>
      <c r="E1633">
        <v>200</v>
      </c>
      <c r="F1633" t="s">
        <v>21</v>
      </c>
      <c r="G1633">
        <v>659</v>
      </c>
      <c r="H1633" s="1">
        <v>45120</v>
      </c>
      <c r="I1633">
        <v>2023</v>
      </c>
      <c r="J1633">
        <v>7</v>
      </c>
      <c r="K1633" t="s">
        <v>36</v>
      </c>
      <c r="L1633" t="s">
        <v>21</v>
      </c>
      <c r="M1633">
        <v>1</v>
      </c>
    </row>
    <row r="1634" spans="1:13" x14ac:dyDescent="0.25">
      <c r="A1634" t="s">
        <v>1318</v>
      </c>
      <c r="B1634" t="s">
        <v>106</v>
      </c>
      <c r="C1634" t="s">
        <v>48</v>
      </c>
      <c r="D1634" t="s">
        <v>68</v>
      </c>
      <c r="E1634">
        <v>200</v>
      </c>
      <c r="F1634" t="s">
        <v>21</v>
      </c>
      <c r="G1634">
        <v>17</v>
      </c>
      <c r="H1634" s="1">
        <v>45120</v>
      </c>
      <c r="I1634">
        <v>2023</v>
      </c>
      <c r="J1634">
        <v>7</v>
      </c>
      <c r="K1634" t="s">
        <v>30</v>
      </c>
      <c r="L1634" t="s">
        <v>21</v>
      </c>
      <c r="M1634">
        <v>1</v>
      </c>
    </row>
    <row r="1635" spans="1:13" x14ac:dyDescent="0.25">
      <c r="A1635" t="s">
        <v>240</v>
      </c>
      <c r="B1635" t="s">
        <v>24</v>
      </c>
      <c r="C1635" t="s">
        <v>14</v>
      </c>
      <c r="D1635" t="s">
        <v>15</v>
      </c>
      <c r="E1635">
        <v>80</v>
      </c>
      <c r="F1635" t="s">
        <v>21</v>
      </c>
      <c r="G1635">
        <v>108</v>
      </c>
      <c r="H1635" s="1">
        <v>45120</v>
      </c>
      <c r="I1635">
        <v>2023</v>
      </c>
      <c r="J1635">
        <v>7</v>
      </c>
      <c r="K1635" t="s">
        <v>36</v>
      </c>
      <c r="L1635" t="s">
        <v>21</v>
      </c>
      <c r="M1635">
        <v>1</v>
      </c>
    </row>
    <row r="1636" spans="1:13" x14ac:dyDescent="0.25">
      <c r="A1636" t="s">
        <v>1319</v>
      </c>
      <c r="B1636" t="s">
        <v>13</v>
      </c>
      <c r="C1636" t="s">
        <v>29</v>
      </c>
      <c r="D1636" t="s">
        <v>15</v>
      </c>
      <c r="E1636">
        <v>80</v>
      </c>
      <c r="F1636">
        <v>0.06</v>
      </c>
      <c r="G1636">
        <v>91</v>
      </c>
      <c r="H1636" s="1">
        <v>45120</v>
      </c>
      <c r="I1636">
        <v>2023</v>
      </c>
      <c r="J1636">
        <v>7</v>
      </c>
      <c r="K1636" t="s">
        <v>30</v>
      </c>
      <c r="L1636">
        <v>0</v>
      </c>
      <c r="M1636">
        <v>1</v>
      </c>
    </row>
    <row r="1637" spans="1:13" x14ac:dyDescent="0.25">
      <c r="A1637" t="s">
        <v>1223</v>
      </c>
      <c r="B1637" t="s">
        <v>13</v>
      </c>
      <c r="C1637" t="s">
        <v>14</v>
      </c>
      <c r="D1637" t="s">
        <v>15</v>
      </c>
      <c r="E1637">
        <v>62</v>
      </c>
      <c r="F1637" t="s">
        <v>21</v>
      </c>
      <c r="G1637">
        <v>154</v>
      </c>
      <c r="H1637" s="1">
        <v>45120</v>
      </c>
      <c r="I1637">
        <v>2023</v>
      </c>
      <c r="J1637">
        <v>7</v>
      </c>
      <c r="K1637" t="s">
        <v>36</v>
      </c>
      <c r="L1637" t="s">
        <v>21</v>
      </c>
      <c r="M1637">
        <v>1</v>
      </c>
    </row>
    <row r="1638" spans="1:13" x14ac:dyDescent="0.25">
      <c r="A1638" t="s">
        <v>978</v>
      </c>
      <c r="B1638" t="s">
        <v>117</v>
      </c>
      <c r="C1638" t="s">
        <v>14</v>
      </c>
      <c r="D1638" t="s">
        <v>97</v>
      </c>
      <c r="E1638">
        <v>40</v>
      </c>
      <c r="F1638" t="s">
        <v>21</v>
      </c>
      <c r="G1638">
        <v>2700</v>
      </c>
      <c r="H1638" s="1">
        <v>45120</v>
      </c>
      <c r="I1638">
        <v>2023</v>
      </c>
      <c r="J1638">
        <v>7</v>
      </c>
      <c r="K1638" t="s">
        <v>26</v>
      </c>
      <c r="L1638" t="s">
        <v>21</v>
      </c>
      <c r="M1638">
        <v>1</v>
      </c>
    </row>
    <row r="1639" spans="1:13" x14ac:dyDescent="0.25">
      <c r="A1639" t="s">
        <v>329</v>
      </c>
      <c r="B1639" t="s">
        <v>28</v>
      </c>
      <c r="C1639" t="s">
        <v>14</v>
      </c>
      <c r="D1639" t="s">
        <v>46</v>
      </c>
      <c r="E1639">
        <v>30</v>
      </c>
      <c r="F1639">
        <v>7.0000000000000007E-2</v>
      </c>
      <c r="G1639">
        <v>256</v>
      </c>
      <c r="H1639" s="1">
        <v>45120</v>
      </c>
      <c r="I1639">
        <v>2023</v>
      </c>
      <c r="J1639">
        <v>7</v>
      </c>
      <c r="K1639" t="s">
        <v>36</v>
      </c>
      <c r="L1639">
        <v>0</v>
      </c>
      <c r="M1639">
        <v>1</v>
      </c>
    </row>
    <row r="1640" spans="1:13" x14ac:dyDescent="0.25">
      <c r="A1640" t="s">
        <v>1320</v>
      </c>
      <c r="B1640" t="s">
        <v>207</v>
      </c>
      <c r="C1640" t="s">
        <v>42</v>
      </c>
      <c r="D1640" t="s">
        <v>22</v>
      </c>
      <c r="E1640">
        <v>22</v>
      </c>
      <c r="F1640" t="s">
        <v>21</v>
      </c>
      <c r="G1640" t="s">
        <v>21</v>
      </c>
      <c r="H1640" s="1">
        <v>45120</v>
      </c>
      <c r="I1640">
        <v>2023</v>
      </c>
      <c r="J1640">
        <v>7</v>
      </c>
      <c r="K1640" t="s">
        <v>22</v>
      </c>
      <c r="L1640" t="s">
        <v>21</v>
      </c>
      <c r="M1640">
        <v>1</v>
      </c>
    </row>
    <row r="1641" spans="1:13" x14ac:dyDescent="0.25">
      <c r="A1641" t="s">
        <v>1321</v>
      </c>
      <c r="B1641" t="s">
        <v>40</v>
      </c>
      <c r="C1641" t="s">
        <v>757</v>
      </c>
      <c r="D1641" t="s">
        <v>46</v>
      </c>
      <c r="E1641">
        <v>20</v>
      </c>
      <c r="F1641" t="s">
        <v>21</v>
      </c>
      <c r="G1641">
        <v>220</v>
      </c>
      <c r="H1641" s="1">
        <v>45120</v>
      </c>
      <c r="I1641">
        <v>2023</v>
      </c>
      <c r="J1641">
        <v>7</v>
      </c>
      <c r="K1641" t="s">
        <v>36</v>
      </c>
      <c r="L1641" t="s">
        <v>21</v>
      </c>
      <c r="M1641">
        <v>1</v>
      </c>
    </row>
    <row r="1642" spans="1:13" x14ac:dyDescent="0.25">
      <c r="A1642" t="s">
        <v>272</v>
      </c>
      <c r="B1642" t="s">
        <v>207</v>
      </c>
      <c r="C1642" t="s">
        <v>14</v>
      </c>
      <c r="D1642" t="s">
        <v>15</v>
      </c>
      <c r="E1642">
        <v>11</v>
      </c>
      <c r="F1642" t="s">
        <v>21</v>
      </c>
      <c r="G1642">
        <v>1900</v>
      </c>
      <c r="H1642" s="1">
        <v>45120</v>
      </c>
      <c r="I1642">
        <v>2023</v>
      </c>
      <c r="J1642">
        <v>7</v>
      </c>
      <c r="K1642" t="s">
        <v>26</v>
      </c>
      <c r="L1642" t="s">
        <v>21</v>
      </c>
      <c r="M1642">
        <v>1</v>
      </c>
    </row>
    <row r="1643" spans="1:13" x14ac:dyDescent="0.25">
      <c r="A1643" t="s">
        <v>1322</v>
      </c>
      <c r="B1643" t="s">
        <v>24</v>
      </c>
      <c r="C1643" t="s">
        <v>14</v>
      </c>
      <c r="D1643" t="s">
        <v>15</v>
      </c>
      <c r="E1643" t="s">
        <v>21</v>
      </c>
      <c r="F1643">
        <v>0.08</v>
      </c>
      <c r="G1643">
        <v>282</v>
      </c>
      <c r="H1643" s="1">
        <v>45120</v>
      </c>
      <c r="I1643">
        <v>2023</v>
      </c>
      <c r="J1643">
        <v>7</v>
      </c>
      <c r="K1643" t="s">
        <v>36</v>
      </c>
      <c r="L1643">
        <v>0</v>
      </c>
      <c r="M1643">
        <v>1</v>
      </c>
    </row>
    <row r="1644" spans="1:13" x14ac:dyDescent="0.25">
      <c r="A1644" t="s">
        <v>414</v>
      </c>
      <c r="B1644" t="s">
        <v>99</v>
      </c>
      <c r="C1644" t="s">
        <v>14</v>
      </c>
      <c r="D1644" t="s">
        <v>81</v>
      </c>
      <c r="E1644" t="s">
        <v>21</v>
      </c>
      <c r="F1644">
        <v>0.05</v>
      </c>
      <c r="G1644">
        <v>138</v>
      </c>
      <c r="H1644" s="1">
        <v>45120</v>
      </c>
      <c r="I1644">
        <v>2023</v>
      </c>
      <c r="J1644">
        <v>7</v>
      </c>
      <c r="K1644" t="s">
        <v>36</v>
      </c>
      <c r="L1644">
        <v>0</v>
      </c>
      <c r="M1644">
        <v>1</v>
      </c>
    </row>
    <row r="1645" spans="1:13" x14ac:dyDescent="0.25">
      <c r="A1645" t="s">
        <v>1323</v>
      </c>
      <c r="B1645" t="s">
        <v>13</v>
      </c>
      <c r="C1645" t="s">
        <v>14</v>
      </c>
      <c r="D1645" t="s">
        <v>55</v>
      </c>
      <c r="E1645" t="s">
        <v>21</v>
      </c>
      <c r="F1645" t="s">
        <v>21</v>
      </c>
      <c r="G1645">
        <v>212</v>
      </c>
      <c r="H1645" s="1">
        <v>45120</v>
      </c>
      <c r="I1645">
        <v>2023</v>
      </c>
      <c r="J1645">
        <v>7</v>
      </c>
      <c r="K1645" t="s">
        <v>36</v>
      </c>
      <c r="L1645" t="s">
        <v>21</v>
      </c>
      <c r="M1645">
        <v>0</v>
      </c>
    </row>
    <row r="1646" spans="1:13" x14ac:dyDescent="0.25">
      <c r="A1646" t="s">
        <v>37</v>
      </c>
      <c r="B1646" t="s">
        <v>38</v>
      </c>
      <c r="C1646" t="s">
        <v>14</v>
      </c>
      <c r="D1646" t="s">
        <v>22</v>
      </c>
      <c r="E1646" t="s">
        <v>21</v>
      </c>
      <c r="F1646" t="s">
        <v>21</v>
      </c>
      <c r="G1646" t="s">
        <v>21</v>
      </c>
      <c r="H1646" s="1">
        <v>45120</v>
      </c>
      <c r="I1646">
        <v>2023</v>
      </c>
      <c r="J1646">
        <v>7</v>
      </c>
      <c r="K1646" t="s">
        <v>22</v>
      </c>
      <c r="L1646" t="s">
        <v>21</v>
      </c>
      <c r="M1646">
        <v>0</v>
      </c>
    </row>
    <row r="1647" spans="1:13" x14ac:dyDescent="0.25">
      <c r="A1647" t="s">
        <v>948</v>
      </c>
      <c r="B1647" t="s">
        <v>24</v>
      </c>
      <c r="C1647" t="s">
        <v>14</v>
      </c>
      <c r="D1647" t="s">
        <v>15</v>
      </c>
      <c r="E1647">
        <v>400</v>
      </c>
      <c r="F1647" t="s">
        <v>21</v>
      </c>
      <c r="G1647">
        <v>79</v>
      </c>
      <c r="H1647" s="1">
        <v>45119</v>
      </c>
      <c r="I1647">
        <v>2023</v>
      </c>
      <c r="J1647">
        <v>7</v>
      </c>
      <c r="K1647" t="s">
        <v>30</v>
      </c>
      <c r="L1647" t="s">
        <v>21</v>
      </c>
      <c r="M1647">
        <v>1</v>
      </c>
    </row>
    <row r="1648" spans="1:13" x14ac:dyDescent="0.25">
      <c r="A1648" t="s">
        <v>1324</v>
      </c>
      <c r="B1648" t="s">
        <v>52</v>
      </c>
      <c r="C1648" t="s">
        <v>174</v>
      </c>
      <c r="D1648" t="s">
        <v>22</v>
      </c>
      <c r="E1648">
        <v>51</v>
      </c>
      <c r="F1648" t="s">
        <v>21</v>
      </c>
      <c r="G1648" t="s">
        <v>21</v>
      </c>
      <c r="H1648" s="1">
        <v>45119</v>
      </c>
      <c r="I1648">
        <v>2023</v>
      </c>
      <c r="J1648">
        <v>7</v>
      </c>
      <c r="K1648" t="s">
        <v>22</v>
      </c>
      <c r="L1648" t="s">
        <v>21</v>
      </c>
      <c r="M1648">
        <v>1</v>
      </c>
    </row>
    <row r="1649" spans="1:13" x14ac:dyDescent="0.25">
      <c r="A1649" t="s">
        <v>1325</v>
      </c>
      <c r="B1649" t="s">
        <v>35</v>
      </c>
      <c r="C1649" t="s">
        <v>19</v>
      </c>
      <c r="D1649" t="s">
        <v>15</v>
      </c>
      <c r="E1649">
        <v>50</v>
      </c>
      <c r="F1649">
        <v>1</v>
      </c>
      <c r="G1649">
        <v>20</v>
      </c>
      <c r="H1649" s="1">
        <v>45119</v>
      </c>
      <c r="I1649">
        <v>2023</v>
      </c>
      <c r="J1649">
        <v>7</v>
      </c>
      <c r="K1649" t="s">
        <v>30</v>
      </c>
      <c r="L1649">
        <v>1</v>
      </c>
      <c r="M1649">
        <v>1</v>
      </c>
    </row>
    <row r="1650" spans="1:13" x14ac:dyDescent="0.25">
      <c r="A1650" t="s">
        <v>1326</v>
      </c>
      <c r="B1650" t="s">
        <v>117</v>
      </c>
      <c r="C1650" t="s">
        <v>14</v>
      </c>
      <c r="D1650" t="s">
        <v>15</v>
      </c>
      <c r="E1650">
        <v>50</v>
      </c>
      <c r="F1650">
        <v>0.13</v>
      </c>
      <c r="G1650">
        <v>118</v>
      </c>
      <c r="H1650" s="1">
        <v>45119</v>
      </c>
      <c r="I1650">
        <v>2023</v>
      </c>
      <c r="J1650">
        <v>7</v>
      </c>
      <c r="K1650" t="s">
        <v>36</v>
      </c>
      <c r="L1650">
        <v>0</v>
      </c>
      <c r="M1650">
        <v>1</v>
      </c>
    </row>
    <row r="1651" spans="1:13" x14ac:dyDescent="0.25">
      <c r="A1651" t="s">
        <v>555</v>
      </c>
      <c r="B1651" t="s">
        <v>52</v>
      </c>
      <c r="C1651" t="s">
        <v>14</v>
      </c>
      <c r="D1651" t="s">
        <v>81</v>
      </c>
      <c r="E1651" t="s">
        <v>21</v>
      </c>
      <c r="F1651" t="s">
        <v>21</v>
      </c>
      <c r="G1651">
        <v>1100</v>
      </c>
      <c r="H1651" s="1">
        <v>45119</v>
      </c>
      <c r="I1651">
        <v>2023</v>
      </c>
      <c r="J1651">
        <v>7</v>
      </c>
      <c r="K1651" t="s">
        <v>26</v>
      </c>
      <c r="L1651" t="s">
        <v>21</v>
      </c>
      <c r="M1651">
        <v>0</v>
      </c>
    </row>
    <row r="1652" spans="1:13" x14ac:dyDescent="0.25">
      <c r="A1652" t="s">
        <v>1327</v>
      </c>
      <c r="B1652" t="s">
        <v>28</v>
      </c>
      <c r="C1652" t="s">
        <v>14</v>
      </c>
      <c r="D1652" t="s">
        <v>20</v>
      </c>
      <c r="E1652" t="s">
        <v>21</v>
      </c>
      <c r="F1652" t="s">
        <v>21</v>
      </c>
      <c r="G1652">
        <v>99</v>
      </c>
      <c r="H1652" s="1">
        <v>45119</v>
      </c>
      <c r="I1652">
        <v>2023</v>
      </c>
      <c r="J1652">
        <v>7</v>
      </c>
      <c r="K1652" t="s">
        <v>30</v>
      </c>
      <c r="L1652" t="s">
        <v>21</v>
      </c>
      <c r="M1652">
        <v>0</v>
      </c>
    </row>
    <row r="1653" spans="1:13" x14ac:dyDescent="0.25">
      <c r="A1653" t="s">
        <v>1328</v>
      </c>
      <c r="B1653" t="s">
        <v>77</v>
      </c>
      <c r="C1653" t="s">
        <v>14</v>
      </c>
      <c r="D1653" t="s">
        <v>20</v>
      </c>
      <c r="E1653" t="s">
        <v>21</v>
      </c>
      <c r="F1653">
        <v>0.09</v>
      </c>
      <c r="G1653">
        <v>357</v>
      </c>
      <c r="H1653" s="1">
        <v>45119</v>
      </c>
      <c r="I1653">
        <v>2023</v>
      </c>
      <c r="J1653">
        <v>7</v>
      </c>
      <c r="K1653" t="s">
        <v>36</v>
      </c>
      <c r="L1653">
        <v>0</v>
      </c>
      <c r="M1653">
        <v>1</v>
      </c>
    </row>
    <row r="1654" spans="1:13" x14ac:dyDescent="0.25">
      <c r="A1654" t="s">
        <v>270</v>
      </c>
      <c r="B1654" t="s">
        <v>73</v>
      </c>
      <c r="C1654" t="s">
        <v>14</v>
      </c>
      <c r="D1654" t="s">
        <v>15</v>
      </c>
      <c r="E1654" t="s">
        <v>21</v>
      </c>
      <c r="F1654" t="s">
        <v>21</v>
      </c>
      <c r="G1654">
        <v>3300</v>
      </c>
      <c r="H1654" s="1">
        <v>45119</v>
      </c>
      <c r="I1654">
        <v>2023</v>
      </c>
      <c r="J1654">
        <v>7</v>
      </c>
      <c r="K1654" t="s">
        <v>26</v>
      </c>
      <c r="L1654" t="s">
        <v>21</v>
      </c>
      <c r="M1654">
        <v>0</v>
      </c>
    </row>
    <row r="1655" spans="1:13" x14ac:dyDescent="0.25">
      <c r="A1655" t="s">
        <v>696</v>
      </c>
      <c r="B1655" t="s">
        <v>95</v>
      </c>
      <c r="C1655" t="s">
        <v>48</v>
      </c>
      <c r="D1655" t="s">
        <v>22</v>
      </c>
      <c r="E1655">
        <v>300</v>
      </c>
      <c r="F1655">
        <v>0.12</v>
      </c>
      <c r="G1655">
        <v>363</v>
      </c>
      <c r="H1655" s="1">
        <v>45118</v>
      </c>
      <c r="I1655">
        <v>2023</v>
      </c>
      <c r="J1655">
        <v>7</v>
      </c>
      <c r="K1655" t="s">
        <v>36</v>
      </c>
      <c r="L1655">
        <v>0</v>
      </c>
      <c r="M1655">
        <v>1</v>
      </c>
    </row>
    <row r="1656" spans="1:13" x14ac:dyDescent="0.25">
      <c r="A1656" t="s">
        <v>1329</v>
      </c>
      <c r="B1656" t="s">
        <v>38</v>
      </c>
      <c r="C1656" t="s">
        <v>14</v>
      </c>
      <c r="D1656" t="s">
        <v>15</v>
      </c>
      <c r="E1656">
        <v>170</v>
      </c>
      <c r="F1656">
        <v>0.3</v>
      </c>
      <c r="G1656">
        <v>409</v>
      </c>
      <c r="H1656" s="1">
        <v>45118</v>
      </c>
      <c r="I1656">
        <v>2023</v>
      </c>
      <c r="J1656">
        <v>7</v>
      </c>
      <c r="K1656" t="s">
        <v>36</v>
      </c>
      <c r="L1656">
        <v>0</v>
      </c>
      <c r="M1656">
        <v>1</v>
      </c>
    </row>
    <row r="1657" spans="1:13" x14ac:dyDescent="0.25">
      <c r="A1657" t="s">
        <v>1330</v>
      </c>
      <c r="B1657" t="s">
        <v>77</v>
      </c>
      <c r="C1657" t="s">
        <v>14</v>
      </c>
      <c r="D1657" t="s">
        <v>15</v>
      </c>
      <c r="E1657">
        <v>100</v>
      </c>
      <c r="F1657" t="s">
        <v>21</v>
      </c>
      <c r="G1657">
        <v>53</v>
      </c>
      <c r="H1657" s="1">
        <v>45118</v>
      </c>
      <c r="I1657">
        <v>2023</v>
      </c>
      <c r="J1657">
        <v>7</v>
      </c>
      <c r="K1657" t="s">
        <v>30</v>
      </c>
      <c r="L1657" t="s">
        <v>21</v>
      </c>
      <c r="M1657">
        <v>1</v>
      </c>
    </row>
    <row r="1658" spans="1:13" x14ac:dyDescent="0.25">
      <c r="A1658" t="s">
        <v>966</v>
      </c>
      <c r="B1658" t="s">
        <v>38</v>
      </c>
      <c r="C1658" t="s">
        <v>14</v>
      </c>
      <c r="D1658" t="s">
        <v>43</v>
      </c>
      <c r="E1658">
        <v>100</v>
      </c>
      <c r="F1658">
        <v>0.15</v>
      </c>
      <c r="G1658">
        <v>274</v>
      </c>
      <c r="H1658" s="1">
        <v>45118</v>
      </c>
      <c r="I1658">
        <v>2023</v>
      </c>
      <c r="J1658">
        <v>7</v>
      </c>
      <c r="K1658" t="s">
        <v>36</v>
      </c>
      <c r="L1658">
        <v>0</v>
      </c>
      <c r="M1658">
        <v>1</v>
      </c>
    </row>
    <row r="1659" spans="1:13" x14ac:dyDescent="0.25">
      <c r="A1659" t="s">
        <v>1331</v>
      </c>
      <c r="B1659" t="s">
        <v>533</v>
      </c>
      <c r="C1659" t="s">
        <v>14</v>
      </c>
      <c r="D1659" t="s">
        <v>22</v>
      </c>
      <c r="E1659" t="s">
        <v>21</v>
      </c>
      <c r="F1659" t="s">
        <v>21</v>
      </c>
      <c r="G1659">
        <v>313</v>
      </c>
      <c r="H1659" s="1">
        <v>45118</v>
      </c>
      <c r="I1659">
        <v>2023</v>
      </c>
      <c r="J1659">
        <v>7</v>
      </c>
      <c r="K1659" t="s">
        <v>36</v>
      </c>
      <c r="L1659" t="s">
        <v>21</v>
      </c>
      <c r="M1659">
        <v>0</v>
      </c>
    </row>
    <row r="1660" spans="1:13" x14ac:dyDescent="0.25">
      <c r="A1660" t="s">
        <v>1332</v>
      </c>
      <c r="B1660" t="s">
        <v>35</v>
      </c>
      <c r="C1660" t="s">
        <v>14</v>
      </c>
      <c r="D1660" t="s">
        <v>15</v>
      </c>
      <c r="E1660" t="s">
        <v>21</v>
      </c>
      <c r="F1660">
        <v>0.25</v>
      </c>
      <c r="G1660">
        <v>530</v>
      </c>
      <c r="H1660" s="1">
        <v>45118</v>
      </c>
      <c r="I1660">
        <v>2023</v>
      </c>
      <c r="J1660">
        <v>7</v>
      </c>
      <c r="K1660" t="s">
        <v>36</v>
      </c>
      <c r="L1660">
        <v>0</v>
      </c>
      <c r="M1660">
        <v>1</v>
      </c>
    </row>
    <row r="1661" spans="1:13" x14ac:dyDescent="0.25">
      <c r="A1661" t="s">
        <v>1333</v>
      </c>
      <c r="B1661" t="s">
        <v>24</v>
      </c>
      <c r="C1661" t="s">
        <v>48</v>
      </c>
      <c r="D1661" t="s">
        <v>68</v>
      </c>
      <c r="E1661" t="s">
        <v>21</v>
      </c>
      <c r="F1661" t="s">
        <v>21</v>
      </c>
      <c r="G1661">
        <v>17</v>
      </c>
      <c r="H1661" s="1">
        <v>45118</v>
      </c>
      <c r="I1661">
        <v>2023</v>
      </c>
      <c r="J1661">
        <v>7</v>
      </c>
      <c r="K1661" t="s">
        <v>30</v>
      </c>
      <c r="L1661" t="s">
        <v>21</v>
      </c>
      <c r="M1661">
        <v>0</v>
      </c>
    </row>
    <row r="1662" spans="1:13" x14ac:dyDescent="0.25">
      <c r="A1662" t="s">
        <v>1334</v>
      </c>
      <c r="B1662" t="s">
        <v>93</v>
      </c>
      <c r="C1662" t="s">
        <v>174</v>
      </c>
      <c r="D1662" t="s">
        <v>68</v>
      </c>
      <c r="E1662" t="s">
        <v>21</v>
      </c>
      <c r="F1662" t="s">
        <v>21</v>
      </c>
      <c r="G1662">
        <v>131</v>
      </c>
      <c r="H1662" s="1">
        <v>45118</v>
      </c>
      <c r="I1662">
        <v>2023</v>
      </c>
      <c r="J1662">
        <v>7</v>
      </c>
      <c r="K1662" t="s">
        <v>36</v>
      </c>
      <c r="L1662" t="s">
        <v>21</v>
      </c>
      <c r="M1662">
        <v>0</v>
      </c>
    </row>
    <row r="1663" spans="1:13" x14ac:dyDescent="0.25">
      <c r="A1663" t="s">
        <v>1129</v>
      </c>
      <c r="B1663" t="s">
        <v>66</v>
      </c>
      <c r="C1663" t="s">
        <v>14</v>
      </c>
      <c r="D1663" t="s">
        <v>15</v>
      </c>
      <c r="E1663" t="s">
        <v>21</v>
      </c>
      <c r="F1663">
        <v>0.34</v>
      </c>
      <c r="G1663">
        <v>504</v>
      </c>
      <c r="H1663" s="1">
        <v>45118</v>
      </c>
      <c r="I1663">
        <v>2023</v>
      </c>
      <c r="J1663">
        <v>7</v>
      </c>
      <c r="K1663" t="s">
        <v>36</v>
      </c>
      <c r="L1663">
        <v>0</v>
      </c>
      <c r="M1663">
        <v>1</v>
      </c>
    </row>
    <row r="1664" spans="1:13" x14ac:dyDescent="0.25">
      <c r="A1664" t="s">
        <v>691</v>
      </c>
      <c r="B1664" t="s">
        <v>66</v>
      </c>
      <c r="C1664" t="s">
        <v>14</v>
      </c>
      <c r="D1664" t="s">
        <v>55</v>
      </c>
      <c r="E1664">
        <v>40</v>
      </c>
      <c r="F1664" t="s">
        <v>21</v>
      </c>
      <c r="G1664">
        <v>329</v>
      </c>
      <c r="H1664" s="1">
        <v>45117</v>
      </c>
      <c r="I1664">
        <v>2023</v>
      </c>
      <c r="J1664">
        <v>7</v>
      </c>
      <c r="K1664" t="s">
        <v>36</v>
      </c>
      <c r="L1664" t="s">
        <v>21</v>
      </c>
      <c r="M1664">
        <v>1</v>
      </c>
    </row>
    <row r="1665" spans="1:13" x14ac:dyDescent="0.25">
      <c r="A1665" t="s">
        <v>1335</v>
      </c>
      <c r="B1665" t="s">
        <v>106</v>
      </c>
      <c r="C1665" t="s">
        <v>48</v>
      </c>
      <c r="D1665" t="s">
        <v>68</v>
      </c>
      <c r="E1665" t="s">
        <v>21</v>
      </c>
      <c r="F1665">
        <v>1</v>
      </c>
      <c r="G1665">
        <v>17</v>
      </c>
      <c r="H1665" s="1">
        <v>45117</v>
      </c>
      <c r="I1665">
        <v>2023</v>
      </c>
      <c r="J1665">
        <v>7</v>
      </c>
      <c r="K1665" t="s">
        <v>30</v>
      </c>
      <c r="L1665">
        <v>1</v>
      </c>
      <c r="M1665">
        <v>1</v>
      </c>
    </row>
    <row r="1666" spans="1:13" x14ac:dyDescent="0.25">
      <c r="A1666" t="s">
        <v>1336</v>
      </c>
      <c r="B1666" t="s">
        <v>35</v>
      </c>
      <c r="C1666" t="s">
        <v>14</v>
      </c>
      <c r="D1666" t="s">
        <v>46</v>
      </c>
      <c r="E1666" t="s">
        <v>21</v>
      </c>
      <c r="F1666" t="s">
        <v>21</v>
      </c>
      <c r="G1666">
        <v>171</v>
      </c>
      <c r="H1666" s="1">
        <v>45117</v>
      </c>
      <c r="I1666">
        <v>2023</v>
      </c>
      <c r="J1666">
        <v>7</v>
      </c>
      <c r="K1666" t="s">
        <v>36</v>
      </c>
      <c r="L1666" t="s">
        <v>21</v>
      </c>
      <c r="M1666">
        <v>0</v>
      </c>
    </row>
    <row r="1667" spans="1:13" x14ac:dyDescent="0.25">
      <c r="A1667" t="s">
        <v>1337</v>
      </c>
      <c r="B1667" t="s">
        <v>28</v>
      </c>
      <c r="C1667" t="s">
        <v>14</v>
      </c>
      <c r="D1667" t="s">
        <v>15</v>
      </c>
      <c r="E1667" t="s">
        <v>21</v>
      </c>
      <c r="F1667">
        <v>0.59</v>
      </c>
      <c r="G1667">
        <v>342</v>
      </c>
      <c r="H1667" s="1">
        <v>45117</v>
      </c>
      <c r="I1667">
        <v>2023</v>
      </c>
      <c r="J1667">
        <v>7</v>
      </c>
      <c r="K1667" t="s">
        <v>36</v>
      </c>
      <c r="L1667">
        <v>0</v>
      </c>
      <c r="M1667">
        <v>1</v>
      </c>
    </row>
    <row r="1668" spans="1:13" x14ac:dyDescent="0.25">
      <c r="A1668" t="s">
        <v>1338</v>
      </c>
      <c r="B1668" t="s">
        <v>66</v>
      </c>
      <c r="C1668" t="s">
        <v>14</v>
      </c>
      <c r="D1668" t="s">
        <v>43</v>
      </c>
      <c r="E1668" t="s">
        <v>21</v>
      </c>
      <c r="F1668">
        <v>0.05</v>
      </c>
      <c r="G1668">
        <v>567</v>
      </c>
      <c r="H1668" s="1">
        <v>45117</v>
      </c>
      <c r="I1668">
        <v>2023</v>
      </c>
      <c r="J1668">
        <v>7</v>
      </c>
      <c r="K1668" t="s">
        <v>36</v>
      </c>
      <c r="L1668">
        <v>0</v>
      </c>
      <c r="M1668">
        <v>1</v>
      </c>
    </row>
    <row r="1669" spans="1:13" x14ac:dyDescent="0.25">
      <c r="A1669" t="s">
        <v>1339</v>
      </c>
      <c r="B1669" t="s">
        <v>35</v>
      </c>
      <c r="C1669" t="s">
        <v>143</v>
      </c>
      <c r="D1669" t="s">
        <v>22</v>
      </c>
      <c r="E1669">
        <v>30</v>
      </c>
      <c r="F1669">
        <v>1</v>
      </c>
      <c r="G1669" t="s">
        <v>21</v>
      </c>
      <c r="H1669" s="1">
        <v>45114</v>
      </c>
      <c r="I1669">
        <v>2023</v>
      </c>
      <c r="J1669">
        <v>7</v>
      </c>
      <c r="K1669" t="s">
        <v>22</v>
      </c>
      <c r="L1669">
        <v>1</v>
      </c>
      <c r="M1669">
        <v>1</v>
      </c>
    </row>
    <row r="1670" spans="1:13" x14ac:dyDescent="0.25">
      <c r="A1670" t="s">
        <v>1340</v>
      </c>
      <c r="B1670" t="s">
        <v>18</v>
      </c>
      <c r="C1670" t="s">
        <v>14</v>
      </c>
      <c r="D1670" t="s">
        <v>20</v>
      </c>
      <c r="E1670" t="s">
        <v>21</v>
      </c>
      <c r="F1670" t="s">
        <v>21</v>
      </c>
      <c r="G1670">
        <v>290</v>
      </c>
      <c r="H1670" s="1">
        <v>45114</v>
      </c>
      <c r="I1670">
        <v>2023</v>
      </c>
      <c r="J1670">
        <v>7</v>
      </c>
      <c r="K1670" t="s">
        <v>36</v>
      </c>
      <c r="L1670" t="s">
        <v>21</v>
      </c>
      <c r="M1670">
        <v>0</v>
      </c>
    </row>
    <row r="1671" spans="1:13" x14ac:dyDescent="0.25">
      <c r="A1671" t="s">
        <v>1341</v>
      </c>
      <c r="B1671" t="s">
        <v>73</v>
      </c>
      <c r="C1671" t="s">
        <v>83</v>
      </c>
      <c r="D1671" t="s">
        <v>20</v>
      </c>
      <c r="E1671" t="s">
        <v>21</v>
      </c>
      <c r="F1671" t="s">
        <v>21</v>
      </c>
      <c r="G1671">
        <v>12</v>
      </c>
      <c r="H1671" s="1">
        <v>45114</v>
      </c>
      <c r="I1671">
        <v>2023</v>
      </c>
      <c r="J1671">
        <v>7</v>
      </c>
      <c r="K1671" t="s">
        <v>30</v>
      </c>
      <c r="L1671" t="s">
        <v>21</v>
      </c>
      <c r="M1671">
        <v>0</v>
      </c>
    </row>
    <row r="1672" spans="1:13" x14ac:dyDescent="0.25">
      <c r="A1672" t="s">
        <v>1342</v>
      </c>
      <c r="B1672" t="s">
        <v>28</v>
      </c>
      <c r="C1672" t="s">
        <v>14</v>
      </c>
      <c r="D1672" t="s">
        <v>22</v>
      </c>
      <c r="E1672" t="s">
        <v>21</v>
      </c>
      <c r="F1672" t="s">
        <v>21</v>
      </c>
      <c r="G1672">
        <v>35</v>
      </c>
      <c r="H1672" s="1">
        <v>45114</v>
      </c>
      <c r="I1672">
        <v>2023</v>
      </c>
      <c r="J1672">
        <v>7</v>
      </c>
      <c r="K1672" t="s">
        <v>30</v>
      </c>
      <c r="L1672" t="s">
        <v>21</v>
      </c>
      <c r="M1672">
        <v>0</v>
      </c>
    </row>
    <row r="1673" spans="1:13" x14ac:dyDescent="0.25">
      <c r="A1673" t="s">
        <v>122</v>
      </c>
      <c r="B1673" t="s">
        <v>89</v>
      </c>
      <c r="C1673" t="s">
        <v>14</v>
      </c>
      <c r="D1673" t="s">
        <v>15</v>
      </c>
      <c r="E1673">
        <v>2000</v>
      </c>
      <c r="F1673">
        <v>0.06</v>
      </c>
      <c r="G1673" t="s">
        <v>21</v>
      </c>
      <c r="H1673" s="1">
        <v>45113</v>
      </c>
      <c r="I1673">
        <v>2023</v>
      </c>
      <c r="J1673">
        <v>7</v>
      </c>
      <c r="K1673" t="s">
        <v>22</v>
      </c>
      <c r="L1673">
        <v>0</v>
      </c>
      <c r="M1673">
        <v>1</v>
      </c>
    </row>
    <row r="1674" spans="1:13" x14ac:dyDescent="0.25">
      <c r="A1674" t="s">
        <v>79</v>
      </c>
      <c r="B1674" t="s">
        <v>77</v>
      </c>
      <c r="C1674" t="s">
        <v>80</v>
      </c>
      <c r="D1674" t="s">
        <v>81</v>
      </c>
      <c r="E1674">
        <v>1000</v>
      </c>
      <c r="F1674">
        <v>0.15</v>
      </c>
      <c r="G1674">
        <v>1400</v>
      </c>
      <c r="H1674" s="1">
        <v>45113</v>
      </c>
      <c r="I1674">
        <v>2023</v>
      </c>
      <c r="J1674">
        <v>7</v>
      </c>
      <c r="K1674" t="s">
        <v>26</v>
      </c>
      <c r="L1674">
        <v>0</v>
      </c>
      <c r="M1674">
        <v>1</v>
      </c>
    </row>
    <row r="1675" spans="1:13" x14ac:dyDescent="0.25">
      <c r="A1675" t="s">
        <v>79</v>
      </c>
      <c r="B1675" t="s">
        <v>77</v>
      </c>
      <c r="C1675" t="s">
        <v>80</v>
      </c>
      <c r="D1675" t="s">
        <v>81</v>
      </c>
      <c r="E1675">
        <v>1000</v>
      </c>
      <c r="F1675">
        <v>0.15</v>
      </c>
      <c r="G1675">
        <v>3500</v>
      </c>
      <c r="H1675" s="1">
        <v>45113</v>
      </c>
      <c r="I1675">
        <v>2023</v>
      </c>
      <c r="J1675">
        <v>7</v>
      </c>
      <c r="K1675" t="s">
        <v>26</v>
      </c>
      <c r="L1675">
        <v>0</v>
      </c>
      <c r="M1675">
        <v>1</v>
      </c>
    </row>
    <row r="1676" spans="1:13" x14ac:dyDescent="0.25">
      <c r="A1676" t="s">
        <v>1343</v>
      </c>
      <c r="B1676" t="s">
        <v>95</v>
      </c>
      <c r="C1676" t="s">
        <v>14</v>
      </c>
      <c r="D1676" t="s">
        <v>55</v>
      </c>
      <c r="E1676">
        <v>134</v>
      </c>
      <c r="F1676">
        <v>0.15</v>
      </c>
      <c r="G1676">
        <v>711</v>
      </c>
      <c r="H1676" s="1">
        <v>45113</v>
      </c>
      <c r="I1676">
        <v>2023</v>
      </c>
      <c r="J1676">
        <v>7</v>
      </c>
      <c r="K1676" t="s">
        <v>36</v>
      </c>
      <c r="L1676">
        <v>0</v>
      </c>
      <c r="M1676">
        <v>1</v>
      </c>
    </row>
    <row r="1677" spans="1:13" x14ac:dyDescent="0.25">
      <c r="A1677" t="s">
        <v>1344</v>
      </c>
      <c r="B1677" t="s">
        <v>70</v>
      </c>
      <c r="C1677" t="s">
        <v>14</v>
      </c>
      <c r="D1677" t="s">
        <v>22</v>
      </c>
      <c r="E1677">
        <v>98</v>
      </c>
      <c r="F1677" t="s">
        <v>21</v>
      </c>
      <c r="G1677" t="s">
        <v>21</v>
      </c>
      <c r="H1677" s="1">
        <v>45113</v>
      </c>
      <c r="I1677">
        <v>2023</v>
      </c>
      <c r="J1677">
        <v>7</v>
      </c>
      <c r="K1677" t="s">
        <v>22</v>
      </c>
      <c r="L1677" t="s">
        <v>21</v>
      </c>
      <c r="M1677">
        <v>1</v>
      </c>
    </row>
    <row r="1678" spans="1:13" x14ac:dyDescent="0.25">
      <c r="A1678" t="s">
        <v>394</v>
      </c>
      <c r="B1678" t="s">
        <v>35</v>
      </c>
      <c r="C1678" t="s">
        <v>14</v>
      </c>
      <c r="D1678" t="s">
        <v>55</v>
      </c>
      <c r="E1678">
        <v>20</v>
      </c>
      <c r="F1678">
        <v>0.1</v>
      </c>
      <c r="G1678">
        <v>156</v>
      </c>
      <c r="H1678" s="1">
        <v>45113</v>
      </c>
      <c r="I1678">
        <v>2023</v>
      </c>
      <c r="J1678">
        <v>7</v>
      </c>
      <c r="K1678" t="s">
        <v>36</v>
      </c>
      <c r="L1678">
        <v>0</v>
      </c>
      <c r="M1678">
        <v>1</v>
      </c>
    </row>
    <row r="1679" spans="1:13" x14ac:dyDescent="0.25">
      <c r="A1679" t="s">
        <v>1345</v>
      </c>
      <c r="B1679" t="s">
        <v>54</v>
      </c>
      <c r="C1679" t="s">
        <v>64</v>
      </c>
      <c r="D1679" t="s">
        <v>22</v>
      </c>
      <c r="E1679" t="s">
        <v>21</v>
      </c>
      <c r="F1679" t="s">
        <v>21</v>
      </c>
      <c r="G1679">
        <v>50</v>
      </c>
      <c r="H1679" s="1">
        <v>45113</v>
      </c>
      <c r="I1679">
        <v>2023</v>
      </c>
      <c r="J1679">
        <v>7</v>
      </c>
      <c r="K1679" t="s">
        <v>30</v>
      </c>
      <c r="L1679" t="s">
        <v>21</v>
      </c>
      <c r="M1679">
        <v>0</v>
      </c>
    </row>
    <row r="1680" spans="1:13" x14ac:dyDescent="0.25">
      <c r="A1680" t="s">
        <v>1346</v>
      </c>
      <c r="B1680" t="s">
        <v>35</v>
      </c>
      <c r="C1680" t="s">
        <v>14</v>
      </c>
      <c r="D1680" t="s">
        <v>22</v>
      </c>
      <c r="E1680" t="s">
        <v>21</v>
      </c>
      <c r="F1680" t="s">
        <v>21</v>
      </c>
      <c r="G1680">
        <v>160</v>
      </c>
      <c r="H1680" s="1">
        <v>45113</v>
      </c>
      <c r="I1680">
        <v>2023</v>
      </c>
      <c r="J1680">
        <v>7</v>
      </c>
      <c r="K1680" t="s">
        <v>36</v>
      </c>
      <c r="L1680" t="s">
        <v>21</v>
      </c>
      <c r="M1680">
        <v>0</v>
      </c>
    </row>
    <row r="1681" spans="1:13" x14ac:dyDescent="0.25">
      <c r="A1681" t="s">
        <v>1347</v>
      </c>
      <c r="B1681" t="s">
        <v>99</v>
      </c>
      <c r="C1681" t="s">
        <v>14</v>
      </c>
      <c r="D1681" t="s">
        <v>55</v>
      </c>
      <c r="E1681" t="s">
        <v>21</v>
      </c>
      <c r="F1681" t="s">
        <v>21</v>
      </c>
      <c r="G1681">
        <v>106</v>
      </c>
      <c r="H1681" s="1">
        <v>45113</v>
      </c>
      <c r="I1681">
        <v>2023</v>
      </c>
      <c r="J1681">
        <v>7</v>
      </c>
      <c r="K1681" t="s">
        <v>36</v>
      </c>
      <c r="L1681" t="s">
        <v>21</v>
      </c>
      <c r="M1681">
        <v>0</v>
      </c>
    </row>
    <row r="1682" spans="1:13" x14ac:dyDescent="0.25">
      <c r="A1682" t="s">
        <v>677</v>
      </c>
      <c r="B1682" t="s">
        <v>35</v>
      </c>
      <c r="C1682" t="s">
        <v>14</v>
      </c>
      <c r="D1682" t="s">
        <v>33</v>
      </c>
      <c r="E1682" t="s">
        <v>21</v>
      </c>
      <c r="F1682" t="s">
        <v>21</v>
      </c>
      <c r="G1682">
        <v>90</v>
      </c>
      <c r="H1682" s="1">
        <v>45113</v>
      </c>
      <c r="I1682">
        <v>2023</v>
      </c>
      <c r="J1682">
        <v>7</v>
      </c>
      <c r="K1682" t="s">
        <v>30</v>
      </c>
      <c r="L1682" t="s">
        <v>21</v>
      </c>
      <c r="M1682">
        <v>0</v>
      </c>
    </row>
    <row r="1683" spans="1:13" x14ac:dyDescent="0.25">
      <c r="A1683" t="s">
        <v>1348</v>
      </c>
      <c r="B1683" t="s">
        <v>342</v>
      </c>
      <c r="C1683" t="s">
        <v>174</v>
      </c>
      <c r="D1683" t="s">
        <v>33</v>
      </c>
      <c r="E1683">
        <v>30</v>
      </c>
      <c r="F1683" t="s">
        <v>21</v>
      </c>
      <c r="G1683">
        <v>47</v>
      </c>
      <c r="H1683" s="1">
        <v>45112</v>
      </c>
      <c r="I1683">
        <v>2023</v>
      </c>
      <c r="J1683">
        <v>7</v>
      </c>
      <c r="K1683" t="s">
        <v>30</v>
      </c>
      <c r="L1683" t="s">
        <v>21</v>
      </c>
      <c r="M1683">
        <v>1</v>
      </c>
    </row>
    <row r="1684" spans="1:13" x14ac:dyDescent="0.25">
      <c r="A1684" t="s">
        <v>1349</v>
      </c>
      <c r="B1684" t="s">
        <v>38</v>
      </c>
      <c r="C1684" t="s">
        <v>256</v>
      </c>
      <c r="D1684" t="s">
        <v>15</v>
      </c>
      <c r="E1684" t="s">
        <v>21</v>
      </c>
      <c r="F1684">
        <v>0.06</v>
      </c>
      <c r="G1684" t="s">
        <v>21</v>
      </c>
      <c r="H1684" s="1">
        <v>45112</v>
      </c>
      <c r="I1684">
        <v>2023</v>
      </c>
      <c r="J1684">
        <v>7</v>
      </c>
      <c r="K1684" t="s">
        <v>22</v>
      </c>
      <c r="L1684">
        <v>0</v>
      </c>
      <c r="M1684">
        <v>1</v>
      </c>
    </row>
    <row r="1685" spans="1:13" x14ac:dyDescent="0.25">
      <c r="A1685" t="s">
        <v>1350</v>
      </c>
      <c r="B1685" t="s">
        <v>32</v>
      </c>
      <c r="C1685" t="s">
        <v>83</v>
      </c>
      <c r="D1685" t="s">
        <v>20</v>
      </c>
      <c r="E1685">
        <v>24</v>
      </c>
      <c r="F1685">
        <v>0.1</v>
      </c>
      <c r="G1685">
        <v>8</v>
      </c>
      <c r="H1685" s="1">
        <v>45110</v>
      </c>
      <c r="I1685">
        <v>2023</v>
      </c>
      <c r="J1685">
        <v>7</v>
      </c>
      <c r="K1685" t="s">
        <v>16</v>
      </c>
      <c r="L1685">
        <v>0</v>
      </c>
      <c r="M1685">
        <v>1</v>
      </c>
    </row>
    <row r="1686" spans="1:13" x14ac:dyDescent="0.25">
      <c r="A1686" t="s">
        <v>1351</v>
      </c>
      <c r="B1686" t="s">
        <v>77</v>
      </c>
      <c r="C1686" t="s">
        <v>42</v>
      </c>
      <c r="D1686" t="s">
        <v>15</v>
      </c>
      <c r="E1686">
        <v>300</v>
      </c>
      <c r="F1686">
        <v>0.2</v>
      </c>
      <c r="G1686">
        <v>896</v>
      </c>
      <c r="H1686" s="1">
        <v>45109</v>
      </c>
      <c r="I1686">
        <v>2023</v>
      </c>
      <c r="J1686">
        <v>7</v>
      </c>
      <c r="K1686" t="s">
        <v>36</v>
      </c>
      <c r="L1686">
        <v>0</v>
      </c>
      <c r="M1686">
        <v>1</v>
      </c>
    </row>
    <row r="1687" spans="1:13" x14ac:dyDescent="0.25">
      <c r="A1687" t="s">
        <v>1352</v>
      </c>
      <c r="B1687" t="s">
        <v>18</v>
      </c>
      <c r="C1687" t="s">
        <v>14</v>
      </c>
      <c r="D1687" t="s">
        <v>68</v>
      </c>
      <c r="E1687" t="s">
        <v>21</v>
      </c>
      <c r="F1687">
        <v>1</v>
      </c>
      <c r="G1687">
        <v>24</v>
      </c>
      <c r="H1687" s="1">
        <v>45107</v>
      </c>
      <c r="I1687">
        <v>2023</v>
      </c>
      <c r="J1687">
        <v>6</v>
      </c>
      <c r="K1687" t="s">
        <v>30</v>
      </c>
      <c r="L1687">
        <v>1</v>
      </c>
      <c r="M1687">
        <v>1</v>
      </c>
    </row>
    <row r="1688" spans="1:13" x14ac:dyDescent="0.25">
      <c r="A1688" t="s">
        <v>1353</v>
      </c>
      <c r="B1688" t="s">
        <v>24</v>
      </c>
      <c r="C1688" t="s">
        <v>14</v>
      </c>
      <c r="D1688" t="s">
        <v>22</v>
      </c>
      <c r="E1688" t="s">
        <v>21</v>
      </c>
      <c r="F1688">
        <v>1</v>
      </c>
      <c r="G1688" t="s">
        <v>21</v>
      </c>
      <c r="H1688" s="1">
        <v>45107</v>
      </c>
      <c r="I1688">
        <v>2023</v>
      </c>
      <c r="J1688">
        <v>6</v>
      </c>
      <c r="K1688" t="s">
        <v>22</v>
      </c>
      <c r="L1688">
        <v>1</v>
      </c>
      <c r="M1688">
        <v>1</v>
      </c>
    </row>
    <row r="1689" spans="1:13" x14ac:dyDescent="0.25">
      <c r="A1689" t="s">
        <v>1354</v>
      </c>
      <c r="B1689" t="s">
        <v>54</v>
      </c>
      <c r="C1689" t="s">
        <v>14</v>
      </c>
      <c r="D1689" t="s">
        <v>81</v>
      </c>
      <c r="E1689" t="s">
        <v>21</v>
      </c>
      <c r="F1689">
        <v>1</v>
      </c>
      <c r="G1689">
        <v>607</v>
      </c>
      <c r="H1689" s="1">
        <v>45107</v>
      </c>
      <c r="I1689">
        <v>2023</v>
      </c>
      <c r="J1689">
        <v>6</v>
      </c>
      <c r="K1689" t="s">
        <v>36</v>
      </c>
      <c r="L1689">
        <v>1</v>
      </c>
      <c r="M1689">
        <v>1</v>
      </c>
    </row>
    <row r="1690" spans="1:13" x14ac:dyDescent="0.25">
      <c r="A1690" t="s">
        <v>1355</v>
      </c>
      <c r="B1690" t="s">
        <v>77</v>
      </c>
      <c r="C1690" t="s">
        <v>14</v>
      </c>
      <c r="D1690" t="s">
        <v>55</v>
      </c>
      <c r="E1690" t="s">
        <v>21</v>
      </c>
      <c r="F1690">
        <v>0.2</v>
      </c>
      <c r="G1690">
        <v>704</v>
      </c>
      <c r="H1690" s="1">
        <v>45107</v>
      </c>
      <c r="I1690">
        <v>2023</v>
      </c>
      <c r="J1690">
        <v>6</v>
      </c>
      <c r="K1690" t="s">
        <v>36</v>
      </c>
      <c r="L1690">
        <v>0</v>
      </c>
      <c r="M1690">
        <v>1</v>
      </c>
    </row>
    <row r="1691" spans="1:13" x14ac:dyDescent="0.25">
      <c r="A1691" t="s">
        <v>462</v>
      </c>
      <c r="B1691" t="s">
        <v>13</v>
      </c>
      <c r="C1691" t="s">
        <v>14</v>
      </c>
      <c r="D1691" t="s">
        <v>55</v>
      </c>
      <c r="E1691">
        <v>230</v>
      </c>
      <c r="F1691" t="s">
        <v>21</v>
      </c>
      <c r="G1691">
        <v>770</v>
      </c>
      <c r="H1691" s="1">
        <v>45106</v>
      </c>
      <c r="I1691">
        <v>2023</v>
      </c>
      <c r="J1691">
        <v>6</v>
      </c>
      <c r="K1691" t="s">
        <v>36</v>
      </c>
      <c r="L1691" t="s">
        <v>21</v>
      </c>
      <c r="M1691">
        <v>1</v>
      </c>
    </row>
    <row r="1692" spans="1:13" x14ac:dyDescent="0.25">
      <c r="A1692" t="s">
        <v>567</v>
      </c>
      <c r="B1692" t="s">
        <v>35</v>
      </c>
      <c r="C1692" t="s">
        <v>14</v>
      </c>
      <c r="D1692" t="s">
        <v>22</v>
      </c>
      <c r="E1692">
        <v>181</v>
      </c>
      <c r="F1692">
        <v>0.15</v>
      </c>
      <c r="G1692">
        <v>216</v>
      </c>
      <c r="H1692" s="1">
        <v>45106</v>
      </c>
      <c r="I1692">
        <v>2023</v>
      </c>
      <c r="J1692">
        <v>6</v>
      </c>
      <c r="K1692" t="s">
        <v>36</v>
      </c>
      <c r="L1692">
        <v>0</v>
      </c>
      <c r="M1692">
        <v>1</v>
      </c>
    </row>
    <row r="1693" spans="1:13" x14ac:dyDescent="0.25">
      <c r="A1693" t="s">
        <v>1356</v>
      </c>
      <c r="B1693" t="s">
        <v>24</v>
      </c>
      <c r="C1693" t="s">
        <v>14</v>
      </c>
      <c r="D1693" t="s">
        <v>55</v>
      </c>
      <c r="E1693">
        <v>35</v>
      </c>
      <c r="F1693">
        <v>0.15</v>
      </c>
      <c r="G1693">
        <v>100</v>
      </c>
      <c r="H1693" s="1">
        <v>45106</v>
      </c>
      <c r="I1693">
        <v>2023</v>
      </c>
      <c r="J1693">
        <v>6</v>
      </c>
      <c r="K1693" t="s">
        <v>36</v>
      </c>
      <c r="L1693">
        <v>0</v>
      </c>
      <c r="M1693">
        <v>1</v>
      </c>
    </row>
    <row r="1694" spans="1:13" x14ac:dyDescent="0.25">
      <c r="A1694" t="s">
        <v>1357</v>
      </c>
      <c r="B1694" t="s">
        <v>52</v>
      </c>
      <c r="C1694" t="s">
        <v>14</v>
      </c>
      <c r="D1694" t="s">
        <v>68</v>
      </c>
      <c r="E1694">
        <v>30</v>
      </c>
      <c r="F1694" t="s">
        <v>21</v>
      </c>
      <c r="G1694">
        <v>138</v>
      </c>
      <c r="H1694" s="1">
        <v>45106</v>
      </c>
      <c r="I1694">
        <v>2023</v>
      </c>
      <c r="J1694">
        <v>6</v>
      </c>
      <c r="K1694" t="s">
        <v>36</v>
      </c>
      <c r="L1694" t="s">
        <v>21</v>
      </c>
      <c r="M1694">
        <v>1</v>
      </c>
    </row>
    <row r="1695" spans="1:13" x14ac:dyDescent="0.25">
      <c r="A1695" t="s">
        <v>1358</v>
      </c>
      <c r="B1695" t="s">
        <v>13</v>
      </c>
      <c r="C1695" t="s">
        <v>48</v>
      </c>
      <c r="D1695" t="s">
        <v>97</v>
      </c>
      <c r="E1695">
        <v>30</v>
      </c>
      <c r="F1695" t="s">
        <v>21</v>
      </c>
      <c r="G1695" t="s">
        <v>21</v>
      </c>
      <c r="H1695" s="1">
        <v>45106</v>
      </c>
      <c r="I1695">
        <v>2023</v>
      </c>
      <c r="J1695">
        <v>6</v>
      </c>
      <c r="K1695" t="s">
        <v>22</v>
      </c>
      <c r="L1695" t="s">
        <v>21</v>
      </c>
      <c r="M1695">
        <v>1</v>
      </c>
    </row>
    <row r="1696" spans="1:13" x14ac:dyDescent="0.25">
      <c r="A1696" t="s">
        <v>1359</v>
      </c>
      <c r="B1696" t="s">
        <v>13</v>
      </c>
      <c r="C1696" t="s">
        <v>29</v>
      </c>
      <c r="D1696" t="s">
        <v>33</v>
      </c>
      <c r="E1696">
        <v>28</v>
      </c>
      <c r="F1696">
        <v>0.3</v>
      </c>
      <c r="G1696">
        <v>65</v>
      </c>
      <c r="H1696" s="1">
        <v>45106</v>
      </c>
      <c r="I1696">
        <v>2023</v>
      </c>
      <c r="J1696">
        <v>6</v>
      </c>
      <c r="K1696" t="s">
        <v>30</v>
      </c>
      <c r="L1696">
        <v>0</v>
      </c>
      <c r="M1696">
        <v>1</v>
      </c>
    </row>
    <row r="1697" spans="1:13" x14ac:dyDescent="0.25">
      <c r="A1697" t="s">
        <v>1360</v>
      </c>
      <c r="B1697" t="s">
        <v>32</v>
      </c>
      <c r="C1697" t="s">
        <v>14</v>
      </c>
      <c r="D1697" t="s">
        <v>97</v>
      </c>
      <c r="E1697">
        <v>20</v>
      </c>
      <c r="F1697" t="s">
        <v>21</v>
      </c>
      <c r="G1697" t="s">
        <v>21</v>
      </c>
      <c r="H1697" s="1">
        <v>45106</v>
      </c>
      <c r="I1697">
        <v>2023</v>
      </c>
      <c r="J1697">
        <v>6</v>
      </c>
      <c r="K1697" t="s">
        <v>22</v>
      </c>
      <c r="L1697" t="s">
        <v>21</v>
      </c>
      <c r="M1697">
        <v>1</v>
      </c>
    </row>
    <row r="1698" spans="1:13" x14ac:dyDescent="0.25">
      <c r="A1698" t="s">
        <v>1361</v>
      </c>
      <c r="B1698" t="s">
        <v>24</v>
      </c>
      <c r="C1698" t="s">
        <v>1362</v>
      </c>
      <c r="D1698" t="s">
        <v>33</v>
      </c>
      <c r="E1698" t="s">
        <v>21</v>
      </c>
      <c r="F1698">
        <v>0.1</v>
      </c>
      <c r="G1698">
        <v>445</v>
      </c>
      <c r="H1698" s="1">
        <v>45106</v>
      </c>
      <c r="I1698">
        <v>2023</v>
      </c>
      <c r="J1698">
        <v>6</v>
      </c>
      <c r="K1698" t="s">
        <v>36</v>
      </c>
      <c r="L1698">
        <v>0</v>
      </c>
      <c r="M1698">
        <v>1</v>
      </c>
    </row>
    <row r="1699" spans="1:13" x14ac:dyDescent="0.25">
      <c r="A1699" t="s">
        <v>1363</v>
      </c>
      <c r="B1699" t="s">
        <v>13</v>
      </c>
      <c r="C1699" t="s">
        <v>48</v>
      </c>
      <c r="D1699" t="s">
        <v>49</v>
      </c>
      <c r="E1699" t="s">
        <v>21</v>
      </c>
      <c r="F1699">
        <v>0.3</v>
      </c>
      <c r="G1699">
        <v>19</v>
      </c>
      <c r="H1699" s="1">
        <v>45106</v>
      </c>
      <c r="I1699">
        <v>2023</v>
      </c>
      <c r="J1699">
        <v>6</v>
      </c>
      <c r="K1699" t="s">
        <v>30</v>
      </c>
      <c r="L1699">
        <v>0</v>
      </c>
      <c r="M1699">
        <v>1</v>
      </c>
    </row>
    <row r="1700" spans="1:13" x14ac:dyDescent="0.25">
      <c r="A1700" t="s">
        <v>517</v>
      </c>
      <c r="B1700" t="s">
        <v>77</v>
      </c>
      <c r="C1700" t="s">
        <v>14</v>
      </c>
      <c r="D1700" t="s">
        <v>518</v>
      </c>
      <c r="E1700" t="s">
        <v>21</v>
      </c>
      <c r="F1700" t="s">
        <v>21</v>
      </c>
      <c r="G1700">
        <v>8700</v>
      </c>
      <c r="H1700" s="1">
        <v>45106</v>
      </c>
      <c r="I1700">
        <v>2023</v>
      </c>
      <c r="J1700">
        <v>6</v>
      </c>
      <c r="K1700" t="s">
        <v>26</v>
      </c>
      <c r="L1700" t="s">
        <v>21</v>
      </c>
      <c r="M1700">
        <v>0</v>
      </c>
    </row>
    <row r="1701" spans="1:13" x14ac:dyDescent="0.25">
      <c r="A1701" t="s">
        <v>1364</v>
      </c>
      <c r="B1701" t="s">
        <v>13</v>
      </c>
      <c r="C1701" t="s">
        <v>14</v>
      </c>
      <c r="D1701" t="s">
        <v>68</v>
      </c>
      <c r="E1701" t="s">
        <v>21</v>
      </c>
      <c r="F1701">
        <v>1</v>
      </c>
      <c r="G1701">
        <v>18</v>
      </c>
      <c r="H1701" s="1">
        <v>45106</v>
      </c>
      <c r="I1701">
        <v>2023</v>
      </c>
      <c r="J1701">
        <v>6</v>
      </c>
      <c r="K1701" t="s">
        <v>30</v>
      </c>
      <c r="L1701">
        <v>1</v>
      </c>
      <c r="M1701">
        <v>1</v>
      </c>
    </row>
    <row r="1702" spans="1:13" x14ac:dyDescent="0.25">
      <c r="A1702" t="s">
        <v>130</v>
      </c>
      <c r="B1702" t="s">
        <v>13</v>
      </c>
      <c r="C1702" t="s">
        <v>14</v>
      </c>
      <c r="D1702" t="s">
        <v>46</v>
      </c>
      <c r="E1702">
        <v>90</v>
      </c>
      <c r="F1702">
        <v>0.1</v>
      </c>
      <c r="G1702">
        <v>537</v>
      </c>
      <c r="H1702" s="1">
        <v>45105</v>
      </c>
      <c r="I1702">
        <v>2023</v>
      </c>
      <c r="J1702">
        <v>6</v>
      </c>
      <c r="K1702" t="s">
        <v>36</v>
      </c>
      <c r="L1702">
        <v>0</v>
      </c>
      <c r="M1702">
        <v>1</v>
      </c>
    </row>
    <row r="1703" spans="1:13" x14ac:dyDescent="0.25">
      <c r="A1703" t="s">
        <v>1365</v>
      </c>
      <c r="B1703" t="s">
        <v>18</v>
      </c>
      <c r="D1703" t="s">
        <v>20</v>
      </c>
      <c r="E1703">
        <v>55</v>
      </c>
      <c r="F1703" t="s">
        <v>21</v>
      </c>
      <c r="G1703">
        <v>1</v>
      </c>
      <c r="H1703" s="1">
        <v>45105</v>
      </c>
      <c r="I1703">
        <v>2023</v>
      </c>
      <c r="J1703">
        <v>6</v>
      </c>
      <c r="K1703" t="s">
        <v>16</v>
      </c>
      <c r="L1703" t="s">
        <v>21</v>
      </c>
      <c r="M1703">
        <v>1</v>
      </c>
    </row>
    <row r="1704" spans="1:13" x14ac:dyDescent="0.25">
      <c r="A1704" t="s">
        <v>1366</v>
      </c>
      <c r="B1704" t="s">
        <v>40</v>
      </c>
      <c r="C1704" t="s">
        <v>14</v>
      </c>
      <c r="D1704" t="s">
        <v>22</v>
      </c>
      <c r="E1704">
        <v>47</v>
      </c>
      <c r="F1704" t="s">
        <v>21</v>
      </c>
      <c r="G1704">
        <v>169</v>
      </c>
      <c r="H1704" s="1">
        <v>45105</v>
      </c>
      <c r="I1704">
        <v>2023</v>
      </c>
      <c r="J1704">
        <v>6</v>
      </c>
      <c r="K1704" t="s">
        <v>36</v>
      </c>
      <c r="L1704" t="s">
        <v>21</v>
      </c>
      <c r="M1704">
        <v>1</v>
      </c>
    </row>
    <row r="1705" spans="1:13" x14ac:dyDescent="0.25">
      <c r="A1705" t="s">
        <v>1367</v>
      </c>
      <c r="B1705" t="s">
        <v>32</v>
      </c>
      <c r="C1705" t="s">
        <v>14</v>
      </c>
      <c r="D1705" t="s">
        <v>22</v>
      </c>
      <c r="E1705">
        <v>37</v>
      </c>
      <c r="F1705">
        <v>0.2</v>
      </c>
      <c r="G1705">
        <v>81</v>
      </c>
      <c r="H1705" s="1">
        <v>45105</v>
      </c>
      <c r="I1705">
        <v>2023</v>
      </c>
      <c r="J1705">
        <v>6</v>
      </c>
      <c r="K1705" t="s">
        <v>30</v>
      </c>
      <c r="L1705">
        <v>0</v>
      </c>
      <c r="M1705">
        <v>1</v>
      </c>
    </row>
    <row r="1706" spans="1:13" x14ac:dyDescent="0.25">
      <c r="A1706" t="s">
        <v>1368</v>
      </c>
      <c r="B1706" t="s">
        <v>38</v>
      </c>
      <c r="C1706" t="s">
        <v>14</v>
      </c>
      <c r="D1706" t="s">
        <v>55</v>
      </c>
      <c r="E1706" t="s">
        <v>21</v>
      </c>
      <c r="F1706">
        <v>0.15</v>
      </c>
      <c r="G1706">
        <v>414</v>
      </c>
      <c r="H1706" s="1">
        <v>45105</v>
      </c>
      <c r="I1706">
        <v>2023</v>
      </c>
      <c r="J1706">
        <v>6</v>
      </c>
      <c r="K1706" t="s">
        <v>36</v>
      </c>
      <c r="L1706">
        <v>0</v>
      </c>
      <c r="M1706">
        <v>1</v>
      </c>
    </row>
    <row r="1707" spans="1:13" x14ac:dyDescent="0.25">
      <c r="A1707" t="s">
        <v>1369</v>
      </c>
      <c r="B1707" t="s">
        <v>13</v>
      </c>
      <c r="C1707" t="s">
        <v>14</v>
      </c>
      <c r="D1707" t="s">
        <v>49</v>
      </c>
      <c r="E1707" t="s">
        <v>21</v>
      </c>
      <c r="F1707">
        <v>0.1</v>
      </c>
      <c r="G1707">
        <v>1</v>
      </c>
      <c r="H1707" s="1">
        <v>45105</v>
      </c>
      <c r="I1707">
        <v>2023</v>
      </c>
      <c r="J1707">
        <v>6</v>
      </c>
      <c r="K1707" t="s">
        <v>16</v>
      </c>
      <c r="L1707">
        <v>0</v>
      </c>
      <c r="M1707">
        <v>1</v>
      </c>
    </row>
    <row r="1708" spans="1:13" x14ac:dyDescent="0.25">
      <c r="A1708" t="s">
        <v>1370</v>
      </c>
      <c r="B1708" t="s">
        <v>73</v>
      </c>
      <c r="C1708" t="s">
        <v>80</v>
      </c>
      <c r="D1708" t="s">
        <v>15</v>
      </c>
      <c r="E1708">
        <v>350</v>
      </c>
      <c r="F1708" t="s">
        <v>21</v>
      </c>
      <c r="G1708">
        <v>612</v>
      </c>
      <c r="H1708" s="1">
        <v>45104</v>
      </c>
      <c r="I1708">
        <v>2023</v>
      </c>
      <c r="J1708">
        <v>6</v>
      </c>
      <c r="K1708" t="s">
        <v>36</v>
      </c>
      <c r="L1708" t="s">
        <v>21</v>
      </c>
      <c r="M1708">
        <v>1</v>
      </c>
    </row>
    <row r="1709" spans="1:13" x14ac:dyDescent="0.25">
      <c r="A1709" t="s">
        <v>575</v>
      </c>
      <c r="B1709" t="s">
        <v>140</v>
      </c>
      <c r="C1709" t="s">
        <v>14</v>
      </c>
      <c r="D1709" t="s">
        <v>15</v>
      </c>
      <c r="E1709">
        <v>255</v>
      </c>
      <c r="F1709">
        <v>0.1</v>
      </c>
      <c r="G1709">
        <v>214</v>
      </c>
      <c r="H1709" s="1">
        <v>45104</v>
      </c>
      <c r="I1709">
        <v>2023</v>
      </c>
      <c r="J1709">
        <v>6</v>
      </c>
      <c r="K1709" t="s">
        <v>36</v>
      </c>
      <c r="L1709">
        <v>0</v>
      </c>
      <c r="M1709">
        <v>1</v>
      </c>
    </row>
    <row r="1710" spans="1:13" x14ac:dyDescent="0.25">
      <c r="A1710" t="s">
        <v>1371</v>
      </c>
      <c r="B1710" t="s">
        <v>217</v>
      </c>
      <c r="C1710" t="s">
        <v>137</v>
      </c>
      <c r="D1710" t="s">
        <v>46</v>
      </c>
      <c r="E1710">
        <v>50</v>
      </c>
      <c r="F1710" t="s">
        <v>21</v>
      </c>
      <c r="G1710">
        <v>181</v>
      </c>
      <c r="H1710" s="1">
        <v>45104</v>
      </c>
      <c r="I1710">
        <v>2023</v>
      </c>
      <c r="J1710">
        <v>6</v>
      </c>
      <c r="K1710" t="s">
        <v>36</v>
      </c>
      <c r="L1710" t="s">
        <v>21</v>
      </c>
      <c r="M1710">
        <v>1</v>
      </c>
    </row>
    <row r="1711" spans="1:13" x14ac:dyDescent="0.25">
      <c r="A1711" t="s">
        <v>1372</v>
      </c>
      <c r="B1711" t="s">
        <v>77</v>
      </c>
      <c r="C1711" t="s">
        <v>80</v>
      </c>
      <c r="D1711" t="s">
        <v>20</v>
      </c>
      <c r="E1711" t="s">
        <v>21</v>
      </c>
      <c r="F1711" t="s">
        <v>21</v>
      </c>
      <c r="G1711">
        <v>85</v>
      </c>
      <c r="H1711" s="1">
        <v>45104</v>
      </c>
      <c r="I1711">
        <v>2023</v>
      </c>
      <c r="J1711">
        <v>6</v>
      </c>
      <c r="K1711" t="s">
        <v>30</v>
      </c>
      <c r="L1711" t="s">
        <v>21</v>
      </c>
      <c r="M1711">
        <v>0</v>
      </c>
    </row>
    <row r="1712" spans="1:13" x14ac:dyDescent="0.25">
      <c r="A1712" t="s">
        <v>1373</v>
      </c>
      <c r="B1712" t="s">
        <v>77</v>
      </c>
      <c r="C1712" t="s">
        <v>143</v>
      </c>
      <c r="D1712" t="s">
        <v>22</v>
      </c>
      <c r="E1712" t="s">
        <v>21</v>
      </c>
      <c r="F1712">
        <v>1</v>
      </c>
      <c r="G1712" t="s">
        <v>21</v>
      </c>
      <c r="H1712" s="1">
        <v>45104</v>
      </c>
      <c r="I1712">
        <v>2023</v>
      </c>
      <c r="J1712">
        <v>6</v>
      </c>
      <c r="K1712" t="s">
        <v>22</v>
      </c>
      <c r="L1712">
        <v>1</v>
      </c>
      <c r="M1712">
        <v>1</v>
      </c>
    </row>
    <row r="1713" spans="1:13" x14ac:dyDescent="0.25">
      <c r="A1713" t="s">
        <v>1374</v>
      </c>
      <c r="B1713" t="s">
        <v>35</v>
      </c>
      <c r="C1713" t="s">
        <v>14</v>
      </c>
      <c r="D1713" t="s">
        <v>22</v>
      </c>
      <c r="E1713" t="s">
        <v>21</v>
      </c>
      <c r="F1713">
        <v>0.15</v>
      </c>
      <c r="G1713">
        <v>625</v>
      </c>
      <c r="H1713" s="1">
        <v>45104</v>
      </c>
      <c r="I1713">
        <v>2023</v>
      </c>
      <c r="J1713">
        <v>6</v>
      </c>
      <c r="K1713" t="s">
        <v>36</v>
      </c>
      <c r="L1713">
        <v>0</v>
      </c>
      <c r="M1713">
        <v>1</v>
      </c>
    </row>
    <row r="1714" spans="1:13" x14ac:dyDescent="0.25">
      <c r="A1714" t="s">
        <v>231</v>
      </c>
      <c r="B1714" t="s">
        <v>99</v>
      </c>
      <c r="C1714" t="s">
        <v>174</v>
      </c>
      <c r="D1714" t="s">
        <v>81</v>
      </c>
      <c r="E1714" t="s">
        <v>21</v>
      </c>
      <c r="F1714">
        <v>0.09</v>
      </c>
      <c r="G1714">
        <v>263</v>
      </c>
      <c r="H1714" s="1">
        <v>45104</v>
      </c>
      <c r="I1714">
        <v>2023</v>
      </c>
      <c r="J1714">
        <v>6</v>
      </c>
      <c r="K1714" t="s">
        <v>36</v>
      </c>
      <c r="L1714">
        <v>0</v>
      </c>
      <c r="M1714">
        <v>1</v>
      </c>
    </row>
    <row r="1715" spans="1:13" x14ac:dyDescent="0.25">
      <c r="A1715" t="s">
        <v>1375</v>
      </c>
      <c r="B1715" t="s">
        <v>66</v>
      </c>
      <c r="C1715" t="s">
        <v>14</v>
      </c>
      <c r="D1715" t="s">
        <v>15</v>
      </c>
      <c r="E1715" t="s">
        <v>21</v>
      </c>
      <c r="F1715">
        <v>1</v>
      </c>
      <c r="G1715">
        <v>1100</v>
      </c>
      <c r="H1715" s="1">
        <v>45104</v>
      </c>
      <c r="I1715">
        <v>2023</v>
      </c>
      <c r="J1715">
        <v>6</v>
      </c>
      <c r="K1715" t="s">
        <v>26</v>
      </c>
      <c r="L1715">
        <v>1</v>
      </c>
      <c r="M1715">
        <v>1</v>
      </c>
    </row>
    <row r="1716" spans="1:13" x14ac:dyDescent="0.25">
      <c r="A1716" t="s">
        <v>1376</v>
      </c>
      <c r="B1716" t="s">
        <v>66</v>
      </c>
      <c r="C1716" t="s">
        <v>14</v>
      </c>
      <c r="D1716" t="s">
        <v>20</v>
      </c>
      <c r="E1716" t="s">
        <v>21</v>
      </c>
      <c r="F1716" t="s">
        <v>21</v>
      </c>
      <c r="G1716">
        <v>67</v>
      </c>
      <c r="H1716" s="1">
        <v>45104</v>
      </c>
      <c r="I1716">
        <v>2023</v>
      </c>
      <c r="J1716">
        <v>6</v>
      </c>
      <c r="K1716" t="s">
        <v>30</v>
      </c>
      <c r="L1716" t="s">
        <v>21</v>
      </c>
      <c r="M1716">
        <v>0</v>
      </c>
    </row>
    <row r="1717" spans="1:13" x14ac:dyDescent="0.25">
      <c r="A1717" t="s">
        <v>313</v>
      </c>
      <c r="B1717" t="s">
        <v>77</v>
      </c>
      <c r="C1717" t="s">
        <v>14</v>
      </c>
      <c r="D1717" t="s">
        <v>15</v>
      </c>
      <c r="E1717">
        <v>200</v>
      </c>
      <c r="F1717">
        <v>0.1</v>
      </c>
      <c r="G1717" t="s">
        <v>21</v>
      </c>
      <c r="H1717" s="1">
        <v>45103</v>
      </c>
      <c r="I1717">
        <v>2023</v>
      </c>
      <c r="J1717">
        <v>6</v>
      </c>
      <c r="K1717" t="s">
        <v>22</v>
      </c>
      <c r="L1717">
        <v>0</v>
      </c>
      <c r="M1717">
        <v>1</v>
      </c>
    </row>
    <row r="1718" spans="1:13" x14ac:dyDescent="0.25">
      <c r="A1718" t="s">
        <v>76</v>
      </c>
      <c r="B1718" t="s">
        <v>77</v>
      </c>
      <c r="C1718" t="s">
        <v>14</v>
      </c>
      <c r="D1718" t="s">
        <v>15</v>
      </c>
      <c r="E1718">
        <v>150</v>
      </c>
      <c r="F1718">
        <v>7.0000000000000007E-2</v>
      </c>
      <c r="G1718">
        <v>5600</v>
      </c>
      <c r="H1718" s="1">
        <v>45103</v>
      </c>
      <c r="I1718">
        <v>2023</v>
      </c>
      <c r="J1718">
        <v>6</v>
      </c>
      <c r="K1718" t="s">
        <v>26</v>
      </c>
      <c r="L1718">
        <v>0</v>
      </c>
      <c r="M1718">
        <v>1</v>
      </c>
    </row>
    <row r="1719" spans="1:13" x14ac:dyDescent="0.25">
      <c r="A1719" t="s">
        <v>1104</v>
      </c>
      <c r="B1719" t="s">
        <v>117</v>
      </c>
      <c r="C1719" t="s">
        <v>14</v>
      </c>
      <c r="D1719" t="s">
        <v>111</v>
      </c>
      <c r="E1719">
        <v>30</v>
      </c>
      <c r="F1719">
        <v>0.05</v>
      </c>
      <c r="G1719">
        <v>1100</v>
      </c>
      <c r="H1719" s="1">
        <v>45103</v>
      </c>
      <c r="I1719">
        <v>2023</v>
      </c>
      <c r="J1719">
        <v>6</v>
      </c>
      <c r="K1719" t="s">
        <v>26</v>
      </c>
      <c r="L1719">
        <v>0</v>
      </c>
      <c r="M1719">
        <v>1</v>
      </c>
    </row>
    <row r="1720" spans="1:13" x14ac:dyDescent="0.25">
      <c r="A1720" t="s">
        <v>762</v>
      </c>
      <c r="B1720" t="s">
        <v>45</v>
      </c>
      <c r="C1720" t="s">
        <v>14</v>
      </c>
      <c r="D1720" t="s">
        <v>33</v>
      </c>
      <c r="E1720" t="s">
        <v>21</v>
      </c>
      <c r="F1720">
        <v>1</v>
      </c>
      <c r="G1720">
        <v>38</v>
      </c>
      <c r="H1720" s="1">
        <v>45102</v>
      </c>
      <c r="I1720">
        <v>2023</v>
      </c>
      <c r="J1720">
        <v>6</v>
      </c>
      <c r="K1720" t="s">
        <v>30</v>
      </c>
      <c r="L1720">
        <v>1</v>
      </c>
      <c r="M1720">
        <v>1</v>
      </c>
    </row>
    <row r="1721" spans="1:13" x14ac:dyDescent="0.25">
      <c r="A1721" t="s">
        <v>1377</v>
      </c>
      <c r="B1721" t="s">
        <v>18</v>
      </c>
      <c r="C1721" t="s">
        <v>14</v>
      </c>
      <c r="D1721" t="s">
        <v>46</v>
      </c>
      <c r="E1721" t="s">
        <v>21</v>
      </c>
      <c r="F1721">
        <v>1</v>
      </c>
      <c r="G1721">
        <v>197</v>
      </c>
      <c r="H1721" s="1">
        <v>45100</v>
      </c>
      <c r="I1721">
        <v>2023</v>
      </c>
      <c r="J1721">
        <v>6</v>
      </c>
      <c r="K1721" t="s">
        <v>36</v>
      </c>
      <c r="L1721">
        <v>1</v>
      </c>
      <c r="M1721">
        <v>1</v>
      </c>
    </row>
    <row r="1722" spans="1:13" x14ac:dyDescent="0.25">
      <c r="A1722" t="s">
        <v>1378</v>
      </c>
      <c r="B1722" t="s">
        <v>13</v>
      </c>
      <c r="C1722" t="s">
        <v>14</v>
      </c>
      <c r="D1722" t="s">
        <v>46</v>
      </c>
      <c r="E1722" t="s">
        <v>21</v>
      </c>
      <c r="F1722">
        <v>0.09</v>
      </c>
      <c r="G1722">
        <v>141</v>
      </c>
      <c r="H1722" s="1">
        <v>45099</v>
      </c>
      <c r="I1722">
        <v>2023</v>
      </c>
      <c r="J1722">
        <v>6</v>
      </c>
      <c r="K1722" t="s">
        <v>36</v>
      </c>
      <c r="L1722">
        <v>0</v>
      </c>
      <c r="M1722">
        <v>1</v>
      </c>
    </row>
    <row r="1723" spans="1:13" x14ac:dyDescent="0.25">
      <c r="A1723" t="s">
        <v>1379</v>
      </c>
      <c r="B1723" t="s">
        <v>13</v>
      </c>
      <c r="C1723" t="s">
        <v>14</v>
      </c>
      <c r="D1723" t="s">
        <v>20</v>
      </c>
      <c r="E1723">
        <v>300</v>
      </c>
      <c r="F1723" t="s">
        <v>21</v>
      </c>
      <c r="G1723">
        <v>300</v>
      </c>
      <c r="H1723" s="1">
        <v>45098</v>
      </c>
      <c r="I1723">
        <v>2023</v>
      </c>
      <c r="J1723">
        <v>6</v>
      </c>
      <c r="K1723" t="s">
        <v>36</v>
      </c>
      <c r="L1723" t="s">
        <v>21</v>
      </c>
      <c r="M1723">
        <v>1</v>
      </c>
    </row>
    <row r="1724" spans="1:13" x14ac:dyDescent="0.25">
      <c r="A1724" t="s">
        <v>112</v>
      </c>
      <c r="B1724" t="s">
        <v>66</v>
      </c>
      <c r="C1724" t="s">
        <v>14</v>
      </c>
      <c r="D1724" t="s">
        <v>15</v>
      </c>
      <c r="E1724">
        <v>200</v>
      </c>
      <c r="F1724" t="s">
        <v>21</v>
      </c>
      <c r="G1724">
        <v>25200</v>
      </c>
      <c r="H1724" s="1">
        <v>45098</v>
      </c>
      <c r="I1724">
        <v>2023</v>
      </c>
      <c r="J1724">
        <v>6</v>
      </c>
      <c r="K1724" t="s">
        <v>26</v>
      </c>
      <c r="L1724" t="s">
        <v>21</v>
      </c>
      <c r="M1724">
        <v>1</v>
      </c>
    </row>
    <row r="1725" spans="1:13" x14ac:dyDescent="0.25">
      <c r="A1725" t="s">
        <v>1380</v>
      </c>
      <c r="B1725" t="s">
        <v>140</v>
      </c>
      <c r="C1725" t="s">
        <v>14</v>
      </c>
      <c r="D1725" t="s">
        <v>46</v>
      </c>
      <c r="E1725">
        <v>75</v>
      </c>
      <c r="F1725" t="s">
        <v>21</v>
      </c>
      <c r="G1725">
        <v>148</v>
      </c>
      <c r="H1725" s="1">
        <v>45098</v>
      </c>
      <c r="I1725">
        <v>2023</v>
      </c>
      <c r="J1725">
        <v>6</v>
      </c>
      <c r="K1725" t="s">
        <v>36</v>
      </c>
      <c r="L1725" t="s">
        <v>21</v>
      </c>
      <c r="M1725">
        <v>1</v>
      </c>
    </row>
    <row r="1726" spans="1:13" x14ac:dyDescent="0.25">
      <c r="A1726" t="s">
        <v>1381</v>
      </c>
      <c r="B1726" t="s">
        <v>95</v>
      </c>
      <c r="C1726" t="s">
        <v>174</v>
      </c>
      <c r="D1726" t="s">
        <v>46</v>
      </c>
      <c r="E1726">
        <v>38</v>
      </c>
      <c r="F1726">
        <v>0.4</v>
      </c>
      <c r="G1726">
        <v>134</v>
      </c>
      <c r="H1726" s="1">
        <v>45098</v>
      </c>
      <c r="I1726">
        <v>2023</v>
      </c>
      <c r="J1726">
        <v>6</v>
      </c>
      <c r="K1726" t="s">
        <v>36</v>
      </c>
      <c r="L1726">
        <v>0</v>
      </c>
      <c r="M1726">
        <v>1</v>
      </c>
    </row>
    <row r="1727" spans="1:13" x14ac:dyDescent="0.25">
      <c r="A1727" t="s">
        <v>1382</v>
      </c>
      <c r="B1727" t="s">
        <v>35</v>
      </c>
      <c r="C1727" t="s">
        <v>14</v>
      </c>
      <c r="D1727" t="s">
        <v>81</v>
      </c>
      <c r="E1727" t="s">
        <v>21</v>
      </c>
      <c r="F1727" t="s">
        <v>21</v>
      </c>
      <c r="G1727">
        <v>306</v>
      </c>
      <c r="H1727" s="1">
        <v>45098</v>
      </c>
      <c r="I1727">
        <v>2023</v>
      </c>
      <c r="J1727">
        <v>6</v>
      </c>
      <c r="K1727" t="s">
        <v>36</v>
      </c>
      <c r="L1727" t="s">
        <v>21</v>
      </c>
      <c r="M1727">
        <v>0</v>
      </c>
    </row>
    <row r="1728" spans="1:13" x14ac:dyDescent="0.25">
      <c r="A1728" t="s">
        <v>917</v>
      </c>
      <c r="B1728" t="s">
        <v>35</v>
      </c>
      <c r="C1728" t="s">
        <v>14</v>
      </c>
      <c r="D1728" t="s">
        <v>15</v>
      </c>
      <c r="E1728" t="s">
        <v>21</v>
      </c>
      <c r="F1728" t="s">
        <v>21</v>
      </c>
      <c r="G1728">
        <v>28</v>
      </c>
      <c r="H1728" s="1">
        <v>45098</v>
      </c>
      <c r="I1728">
        <v>2023</v>
      </c>
      <c r="J1728">
        <v>6</v>
      </c>
      <c r="K1728" t="s">
        <v>30</v>
      </c>
      <c r="L1728" t="s">
        <v>21</v>
      </c>
      <c r="M1728">
        <v>0</v>
      </c>
    </row>
    <row r="1729" spans="1:13" x14ac:dyDescent="0.25">
      <c r="A1729" t="s">
        <v>1383</v>
      </c>
      <c r="B1729" t="s">
        <v>54</v>
      </c>
      <c r="C1729" t="s">
        <v>14</v>
      </c>
      <c r="D1729" t="s">
        <v>33</v>
      </c>
      <c r="E1729" t="s">
        <v>21</v>
      </c>
      <c r="F1729">
        <v>0.3</v>
      </c>
      <c r="G1729">
        <v>69</v>
      </c>
      <c r="H1729" s="1">
        <v>45098</v>
      </c>
      <c r="I1729">
        <v>2023</v>
      </c>
      <c r="J1729">
        <v>6</v>
      </c>
      <c r="K1729" t="s">
        <v>30</v>
      </c>
      <c r="L1729">
        <v>0</v>
      </c>
      <c r="M1729">
        <v>1</v>
      </c>
    </row>
    <row r="1730" spans="1:13" x14ac:dyDescent="0.25">
      <c r="A1730" t="s">
        <v>1384</v>
      </c>
      <c r="B1730" t="s">
        <v>66</v>
      </c>
      <c r="C1730" t="s">
        <v>64</v>
      </c>
      <c r="D1730" t="s">
        <v>15</v>
      </c>
      <c r="E1730">
        <v>1000</v>
      </c>
      <c r="F1730">
        <v>0.11</v>
      </c>
      <c r="G1730">
        <v>16500</v>
      </c>
      <c r="H1730" s="1">
        <v>45097</v>
      </c>
      <c r="I1730">
        <v>2023</v>
      </c>
      <c r="J1730">
        <v>6</v>
      </c>
      <c r="K1730" t="s">
        <v>26</v>
      </c>
      <c r="L1730">
        <v>0</v>
      </c>
      <c r="M1730">
        <v>1</v>
      </c>
    </row>
    <row r="1731" spans="1:13" x14ac:dyDescent="0.25">
      <c r="A1731" t="s">
        <v>1385</v>
      </c>
      <c r="B1731" t="s">
        <v>54</v>
      </c>
      <c r="C1731" t="s">
        <v>74</v>
      </c>
      <c r="D1731" t="s">
        <v>20</v>
      </c>
      <c r="E1731">
        <v>800</v>
      </c>
      <c r="F1731" t="s">
        <v>21</v>
      </c>
      <c r="G1731" t="s">
        <v>21</v>
      </c>
      <c r="H1731" s="1">
        <v>45097</v>
      </c>
      <c r="I1731">
        <v>2023</v>
      </c>
      <c r="J1731">
        <v>6</v>
      </c>
      <c r="K1731" t="s">
        <v>22</v>
      </c>
      <c r="L1731" t="s">
        <v>21</v>
      </c>
      <c r="M1731">
        <v>1</v>
      </c>
    </row>
    <row r="1732" spans="1:13" x14ac:dyDescent="0.25">
      <c r="A1732" t="s">
        <v>1386</v>
      </c>
      <c r="B1732" t="s">
        <v>73</v>
      </c>
      <c r="C1732" t="s">
        <v>14</v>
      </c>
      <c r="D1732" t="s">
        <v>81</v>
      </c>
      <c r="E1732">
        <v>37</v>
      </c>
      <c r="F1732" t="s">
        <v>21</v>
      </c>
      <c r="G1732">
        <v>686</v>
      </c>
      <c r="H1732" s="1">
        <v>45097</v>
      </c>
      <c r="I1732">
        <v>2023</v>
      </c>
      <c r="J1732">
        <v>6</v>
      </c>
      <c r="K1732" t="s">
        <v>36</v>
      </c>
      <c r="L1732" t="s">
        <v>21</v>
      </c>
      <c r="M1732">
        <v>1</v>
      </c>
    </row>
    <row r="1733" spans="1:13" x14ac:dyDescent="0.25">
      <c r="A1733" t="s">
        <v>1387</v>
      </c>
      <c r="B1733" t="s">
        <v>95</v>
      </c>
      <c r="C1733" t="s">
        <v>80</v>
      </c>
      <c r="D1733" t="s">
        <v>22</v>
      </c>
      <c r="E1733" t="s">
        <v>21</v>
      </c>
      <c r="F1733">
        <v>1</v>
      </c>
      <c r="G1733">
        <v>13</v>
      </c>
      <c r="H1733" s="1">
        <v>45097</v>
      </c>
      <c r="I1733">
        <v>2023</v>
      </c>
      <c r="J1733">
        <v>6</v>
      </c>
      <c r="K1733" t="s">
        <v>30</v>
      </c>
      <c r="L1733">
        <v>1</v>
      </c>
      <c r="M1733">
        <v>1</v>
      </c>
    </row>
    <row r="1734" spans="1:13" x14ac:dyDescent="0.25">
      <c r="A1734" t="s">
        <v>1213</v>
      </c>
      <c r="B1734" t="s">
        <v>32</v>
      </c>
      <c r="C1734" t="s">
        <v>48</v>
      </c>
      <c r="D1734" t="s">
        <v>22</v>
      </c>
      <c r="E1734">
        <v>48</v>
      </c>
      <c r="F1734">
        <v>0.2</v>
      </c>
      <c r="G1734">
        <v>88</v>
      </c>
      <c r="H1734" s="1">
        <v>45096</v>
      </c>
      <c r="I1734">
        <v>2023</v>
      </c>
      <c r="J1734">
        <v>6</v>
      </c>
      <c r="K1734" t="s">
        <v>30</v>
      </c>
      <c r="L1734">
        <v>0</v>
      </c>
      <c r="M1734">
        <v>1</v>
      </c>
    </row>
    <row r="1735" spans="1:13" x14ac:dyDescent="0.25">
      <c r="A1735" t="s">
        <v>1388</v>
      </c>
      <c r="B1735" t="s">
        <v>40</v>
      </c>
      <c r="C1735" t="s">
        <v>14</v>
      </c>
      <c r="D1735" t="s">
        <v>49</v>
      </c>
      <c r="E1735" t="s">
        <v>21</v>
      </c>
      <c r="F1735">
        <v>1</v>
      </c>
      <c r="G1735">
        <v>2</v>
      </c>
      <c r="H1735" s="1">
        <v>45096</v>
      </c>
      <c r="I1735">
        <v>2023</v>
      </c>
      <c r="J1735">
        <v>6</v>
      </c>
      <c r="K1735" t="s">
        <v>16</v>
      </c>
      <c r="L1735">
        <v>1</v>
      </c>
      <c r="M1735">
        <v>1</v>
      </c>
    </row>
    <row r="1736" spans="1:13" x14ac:dyDescent="0.25">
      <c r="A1736" t="s">
        <v>1389</v>
      </c>
      <c r="B1736" t="s">
        <v>35</v>
      </c>
      <c r="C1736" t="s">
        <v>14</v>
      </c>
      <c r="D1736" t="s">
        <v>46</v>
      </c>
      <c r="E1736" t="s">
        <v>21</v>
      </c>
      <c r="F1736">
        <v>1</v>
      </c>
      <c r="G1736">
        <v>80</v>
      </c>
      <c r="H1736" s="1">
        <v>45095</v>
      </c>
      <c r="I1736">
        <v>2023</v>
      </c>
      <c r="J1736">
        <v>6</v>
      </c>
      <c r="K1736" t="s">
        <v>30</v>
      </c>
      <c r="L1736">
        <v>1</v>
      </c>
      <c r="M1736">
        <v>1</v>
      </c>
    </row>
    <row r="1737" spans="1:13" x14ac:dyDescent="0.25">
      <c r="A1737" t="s">
        <v>1390</v>
      </c>
      <c r="B1737" t="s">
        <v>35</v>
      </c>
      <c r="C1737" t="s">
        <v>48</v>
      </c>
      <c r="D1737" t="s">
        <v>68</v>
      </c>
      <c r="E1737">
        <v>170</v>
      </c>
      <c r="F1737">
        <v>0.8</v>
      </c>
      <c r="G1737">
        <v>24</v>
      </c>
      <c r="H1737" s="1">
        <v>45094</v>
      </c>
      <c r="I1737">
        <v>2023</v>
      </c>
      <c r="J1737">
        <v>6</v>
      </c>
      <c r="K1737" t="s">
        <v>30</v>
      </c>
      <c r="L1737">
        <v>0</v>
      </c>
      <c r="M1737">
        <v>1</v>
      </c>
    </row>
    <row r="1738" spans="1:13" x14ac:dyDescent="0.25">
      <c r="A1738" t="s">
        <v>610</v>
      </c>
      <c r="B1738" t="s">
        <v>66</v>
      </c>
      <c r="C1738" t="s">
        <v>14</v>
      </c>
      <c r="D1738" t="s">
        <v>15</v>
      </c>
      <c r="E1738">
        <v>270</v>
      </c>
      <c r="F1738" t="s">
        <v>21</v>
      </c>
      <c r="G1738">
        <v>3300</v>
      </c>
      <c r="H1738" s="1">
        <v>45093</v>
      </c>
      <c r="I1738">
        <v>2023</v>
      </c>
      <c r="J1738">
        <v>6</v>
      </c>
      <c r="K1738" t="s">
        <v>26</v>
      </c>
      <c r="L1738" t="s">
        <v>21</v>
      </c>
      <c r="M1738">
        <v>1</v>
      </c>
    </row>
    <row r="1739" spans="1:13" x14ac:dyDescent="0.25">
      <c r="A1739" t="s">
        <v>199</v>
      </c>
      <c r="B1739" t="s">
        <v>70</v>
      </c>
      <c r="C1739" t="s">
        <v>14</v>
      </c>
      <c r="D1739" t="s">
        <v>15</v>
      </c>
      <c r="E1739">
        <v>84</v>
      </c>
      <c r="F1739" t="s">
        <v>21</v>
      </c>
      <c r="G1739" t="s">
        <v>21</v>
      </c>
      <c r="H1739" s="1">
        <v>45093</v>
      </c>
      <c r="I1739">
        <v>2023</v>
      </c>
      <c r="J1739">
        <v>6</v>
      </c>
      <c r="K1739" t="s">
        <v>22</v>
      </c>
      <c r="L1739" t="s">
        <v>21</v>
      </c>
      <c r="M1739">
        <v>1</v>
      </c>
    </row>
    <row r="1740" spans="1:13" x14ac:dyDescent="0.25">
      <c r="A1740" t="s">
        <v>1391</v>
      </c>
      <c r="B1740" t="s">
        <v>77</v>
      </c>
      <c r="C1740" t="s">
        <v>14</v>
      </c>
      <c r="D1740" t="s">
        <v>22</v>
      </c>
      <c r="E1740">
        <v>45</v>
      </c>
      <c r="F1740">
        <v>0.13</v>
      </c>
      <c r="G1740">
        <v>116</v>
      </c>
      <c r="H1740" s="1">
        <v>45093</v>
      </c>
      <c r="I1740">
        <v>2023</v>
      </c>
      <c r="J1740">
        <v>6</v>
      </c>
      <c r="K1740" t="s">
        <v>36</v>
      </c>
      <c r="L1740">
        <v>0</v>
      </c>
      <c r="M1740">
        <v>1</v>
      </c>
    </row>
    <row r="1741" spans="1:13" x14ac:dyDescent="0.25">
      <c r="A1741" t="s">
        <v>1392</v>
      </c>
      <c r="B1741" t="s">
        <v>66</v>
      </c>
      <c r="C1741" t="s">
        <v>80</v>
      </c>
      <c r="D1741" t="s">
        <v>49</v>
      </c>
      <c r="E1741" t="s">
        <v>21</v>
      </c>
      <c r="F1741">
        <v>1</v>
      </c>
      <c r="G1741">
        <v>4</v>
      </c>
      <c r="H1741" s="1">
        <v>45093</v>
      </c>
      <c r="I1741">
        <v>2023</v>
      </c>
      <c r="J1741">
        <v>6</v>
      </c>
      <c r="K1741" t="s">
        <v>16</v>
      </c>
      <c r="L1741">
        <v>1</v>
      </c>
      <c r="M1741">
        <v>1</v>
      </c>
    </row>
    <row r="1742" spans="1:13" x14ac:dyDescent="0.25">
      <c r="A1742" t="s">
        <v>1024</v>
      </c>
      <c r="B1742" t="s">
        <v>24</v>
      </c>
      <c r="C1742" t="s">
        <v>14</v>
      </c>
      <c r="D1742" t="s">
        <v>20</v>
      </c>
      <c r="E1742" t="s">
        <v>21</v>
      </c>
      <c r="F1742" t="s">
        <v>21</v>
      </c>
      <c r="G1742">
        <v>194</v>
      </c>
      <c r="H1742" s="1">
        <v>45093</v>
      </c>
      <c r="I1742">
        <v>2023</v>
      </c>
      <c r="J1742">
        <v>6</v>
      </c>
      <c r="K1742" t="s">
        <v>36</v>
      </c>
      <c r="L1742" t="s">
        <v>21</v>
      </c>
      <c r="M1742">
        <v>0</v>
      </c>
    </row>
    <row r="1743" spans="1:13" x14ac:dyDescent="0.25">
      <c r="A1743" t="s">
        <v>1393</v>
      </c>
      <c r="B1743" t="s">
        <v>35</v>
      </c>
      <c r="C1743" t="s">
        <v>14</v>
      </c>
      <c r="D1743" t="s">
        <v>68</v>
      </c>
      <c r="E1743">
        <v>100</v>
      </c>
      <c r="F1743">
        <v>0.33</v>
      </c>
      <c r="G1743">
        <v>51</v>
      </c>
      <c r="H1743" s="1">
        <v>45092</v>
      </c>
      <c r="I1743">
        <v>2023</v>
      </c>
      <c r="J1743">
        <v>6</v>
      </c>
      <c r="K1743" t="s">
        <v>30</v>
      </c>
      <c r="L1743">
        <v>0</v>
      </c>
      <c r="M1743">
        <v>1</v>
      </c>
    </row>
    <row r="1744" spans="1:13" x14ac:dyDescent="0.25">
      <c r="A1744" t="s">
        <v>1394</v>
      </c>
      <c r="B1744" t="s">
        <v>66</v>
      </c>
      <c r="C1744" t="s">
        <v>1395</v>
      </c>
      <c r="D1744" t="s">
        <v>97</v>
      </c>
      <c r="E1744">
        <v>45</v>
      </c>
      <c r="F1744">
        <v>0.6</v>
      </c>
      <c r="G1744" t="s">
        <v>21</v>
      </c>
      <c r="H1744" s="1">
        <v>45092</v>
      </c>
      <c r="I1744">
        <v>2023</v>
      </c>
      <c r="J1744">
        <v>6</v>
      </c>
      <c r="K1744" t="s">
        <v>22</v>
      </c>
      <c r="L1744">
        <v>0</v>
      </c>
      <c r="M1744">
        <v>1</v>
      </c>
    </row>
    <row r="1745" spans="1:13" x14ac:dyDescent="0.25">
      <c r="A1745" t="s">
        <v>1170</v>
      </c>
      <c r="B1745" t="s">
        <v>52</v>
      </c>
      <c r="C1745" t="s">
        <v>14</v>
      </c>
      <c r="D1745" t="s">
        <v>97</v>
      </c>
      <c r="E1745" t="s">
        <v>21</v>
      </c>
      <c r="F1745" t="s">
        <v>21</v>
      </c>
      <c r="G1745" t="s">
        <v>21</v>
      </c>
      <c r="H1745" s="1">
        <v>45092</v>
      </c>
      <c r="I1745">
        <v>2023</v>
      </c>
      <c r="J1745">
        <v>6</v>
      </c>
      <c r="K1745" t="s">
        <v>22</v>
      </c>
      <c r="L1745" t="s">
        <v>21</v>
      </c>
      <c r="M1745">
        <v>0</v>
      </c>
    </row>
    <row r="1746" spans="1:13" x14ac:dyDescent="0.25">
      <c r="A1746" t="s">
        <v>1396</v>
      </c>
      <c r="B1746" t="s">
        <v>35</v>
      </c>
      <c r="C1746" t="s">
        <v>14</v>
      </c>
      <c r="D1746" t="s">
        <v>20</v>
      </c>
      <c r="E1746" t="s">
        <v>21</v>
      </c>
      <c r="F1746" t="s">
        <v>21</v>
      </c>
      <c r="G1746" t="s">
        <v>21</v>
      </c>
      <c r="H1746" s="1">
        <v>45092</v>
      </c>
      <c r="I1746">
        <v>2023</v>
      </c>
      <c r="J1746">
        <v>6</v>
      </c>
      <c r="K1746" t="s">
        <v>22</v>
      </c>
      <c r="L1746" t="s">
        <v>21</v>
      </c>
      <c r="M1746">
        <v>0</v>
      </c>
    </row>
    <row r="1747" spans="1:13" x14ac:dyDescent="0.25">
      <c r="A1747" t="s">
        <v>1335</v>
      </c>
      <c r="B1747" t="s">
        <v>106</v>
      </c>
      <c r="C1747" t="s">
        <v>48</v>
      </c>
      <c r="D1747" t="s">
        <v>68</v>
      </c>
      <c r="E1747" t="s">
        <v>21</v>
      </c>
      <c r="F1747">
        <v>0.9</v>
      </c>
      <c r="G1747">
        <v>17</v>
      </c>
      <c r="H1747" s="1">
        <v>45092</v>
      </c>
      <c r="I1747">
        <v>2023</v>
      </c>
      <c r="J1747">
        <v>6</v>
      </c>
      <c r="K1747" t="s">
        <v>30</v>
      </c>
      <c r="L1747">
        <v>0</v>
      </c>
      <c r="M1747">
        <v>1</v>
      </c>
    </row>
    <row r="1748" spans="1:13" x14ac:dyDescent="0.25">
      <c r="A1748" t="s">
        <v>1397</v>
      </c>
      <c r="B1748" t="s">
        <v>52</v>
      </c>
      <c r="C1748" t="s">
        <v>14</v>
      </c>
      <c r="D1748" t="s">
        <v>33</v>
      </c>
      <c r="E1748">
        <v>900</v>
      </c>
      <c r="F1748">
        <v>1</v>
      </c>
      <c r="G1748">
        <v>84</v>
      </c>
      <c r="H1748" s="1">
        <v>45091</v>
      </c>
      <c r="I1748">
        <v>2023</v>
      </c>
      <c r="J1748">
        <v>6</v>
      </c>
      <c r="K1748" t="s">
        <v>30</v>
      </c>
      <c r="L1748">
        <v>1</v>
      </c>
      <c r="M1748">
        <v>1</v>
      </c>
    </row>
    <row r="1749" spans="1:13" x14ac:dyDescent="0.25">
      <c r="A1749" t="s">
        <v>56</v>
      </c>
      <c r="B1749" t="s">
        <v>18</v>
      </c>
      <c r="C1749" t="s">
        <v>14</v>
      </c>
      <c r="D1749" t="s">
        <v>15</v>
      </c>
      <c r="E1749">
        <v>130</v>
      </c>
      <c r="F1749">
        <v>7.0000000000000007E-2</v>
      </c>
      <c r="G1749">
        <v>455.2</v>
      </c>
      <c r="H1749" s="1">
        <v>45091</v>
      </c>
      <c r="I1749">
        <v>2023</v>
      </c>
      <c r="J1749">
        <v>6</v>
      </c>
      <c r="K1749" t="s">
        <v>36</v>
      </c>
      <c r="L1749">
        <v>0</v>
      </c>
      <c r="M1749">
        <v>1</v>
      </c>
    </row>
    <row r="1750" spans="1:13" x14ac:dyDescent="0.25">
      <c r="A1750" t="s">
        <v>251</v>
      </c>
      <c r="B1750" t="s">
        <v>66</v>
      </c>
      <c r="C1750" t="s">
        <v>14</v>
      </c>
      <c r="D1750" t="s">
        <v>15</v>
      </c>
      <c r="E1750">
        <v>102</v>
      </c>
      <c r="F1750">
        <v>0.24</v>
      </c>
      <c r="G1750">
        <v>340</v>
      </c>
      <c r="H1750" s="1">
        <v>45091</v>
      </c>
      <c r="I1750">
        <v>2023</v>
      </c>
      <c r="J1750">
        <v>6</v>
      </c>
      <c r="K1750" t="s">
        <v>36</v>
      </c>
      <c r="L1750">
        <v>0</v>
      </c>
      <c r="M1750">
        <v>1</v>
      </c>
    </row>
    <row r="1751" spans="1:13" x14ac:dyDescent="0.25">
      <c r="A1751" t="s">
        <v>632</v>
      </c>
      <c r="B1751" t="s">
        <v>95</v>
      </c>
      <c r="C1751" t="s">
        <v>14</v>
      </c>
      <c r="D1751" t="s">
        <v>15</v>
      </c>
      <c r="E1751">
        <v>81</v>
      </c>
      <c r="F1751">
        <v>0.11</v>
      </c>
      <c r="G1751">
        <v>184</v>
      </c>
      <c r="H1751" s="1">
        <v>45091</v>
      </c>
      <c r="I1751">
        <v>2023</v>
      </c>
      <c r="J1751">
        <v>6</v>
      </c>
      <c r="K1751" t="s">
        <v>36</v>
      </c>
      <c r="L1751">
        <v>0</v>
      </c>
      <c r="M1751">
        <v>1</v>
      </c>
    </row>
    <row r="1752" spans="1:13" x14ac:dyDescent="0.25">
      <c r="A1752" t="s">
        <v>1398</v>
      </c>
      <c r="B1752" t="s">
        <v>24</v>
      </c>
      <c r="C1752" t="s">
        <v>48</v>
      </c>
      <c r="D1752" t="s">
        <v>22</v>
      </c>
      <c r="E1752">
        <v>80</v>
      </c>
      <c r="F1752" t="s">
        <v>21</v>
      </c>
      <c r="G1752">
        <v>111</v>
      </c>
      <c r="H1752" s="1">
        <v>45091</v>
      </c>
      <c r="I1752">
        <v>2023</v>
      </c>
      <c r="J1752">
        <v>6</v>
      </c>
      <c r="K1752" t="s">
        <v>36</v>
      </c>
      <c r="L1752" t="s">
        <v>21</v>
      </c>
      <c r="M1752">
        <v>1</v>
      </c>
    </row>
    <row r="1753" spans="1:13" x14ac:dyDescent="0.25">
      <c r="A1753" t="s">
        <v>1139</v>
      </c>
      <c r="B1753" t="s">
        <v>77</v>
      </c>
      <c r="C1753" t="s">
        <v>14</v>
      </c>
      <c r="D1753" t="s">
        <v>33</v>
      </c>
      <c r="E1753" t="s">
        <v>21</v>
      </c>
      <c r="F1753">
        <v>0.18</v>
      </c>
      <c r="G1753">
        <v>50</v>
      </c>
      <c r="H1753" s="1">
        <v>45091</v>
      </c>
      <c r="I1753">
        <v>2023</v>
      </c>
      <c r="J1753">
        <v>6</v>
      </c>
      <c r="K1753" t="s">
        <v>30</v>
      </c>
      <c r="L1753">
        <v>0</v>
      </c>
      <c r="M1753">
        <v>1</v>
      </c>
    </row>
    <row r="1754" spans="1:13" x14ac:dyDescent="0.25">
      <c r="A1754" t="s">
        <v>1399</v>
      </c>
      <c r="B1754" t="s">
        <v>70</v>
      </c>
      <c r="C1754" t="s">
        <v>14</v>
      </c>
      <c r="D1754" t="s">
        <v>15</v>
      </c>
      <c r="E1754">
        <v>211</v>
      </c>
      <c r="F1754" t="s">
        <v>21</v>
      </c>
      <c r="G1754">
        <v>900</v>
      </c>
      <c r="H1754" s="1">
        <v>45090</v>
      </c>
      <c r="I1754">
        <v>2023</v>
      </c>
      <c r="J1754">
        <v>6</v>
      </c>
      <c r="K1754" t="s">
        <v>36</v>
      </c>
      <c r="L1754" t="s">
        <v>21</v>
      </c>
      <c r="M1754">
        <v>1</v>
      </c>
    </row>
    <row r="1755" spans="1:13" x14ac:dyDescent="0.25">
      <c r="A1755" t="s">
        <v>1400</v>
      </c>
      <c r="B1755" t="s">
        <v>28</v>
      </c>
      <c r="C1755" t="s">
        <v>14</v>
      </c>
      <c r="D1755" t="s">
        <v>46</v>
      </c>
      <c r="E1755">
        <v>8</v>
      </c>
      <c r="F1755" t="s">
        <v>21</v>
      </c>
      <c r="G1755">
        <v>119</v>
      </c>
      <c r="H1755" s="1">
        <v>45090</v>
      </c>
      <c r="I1755">
        <v>2023</v>
      </c>
      <c r="J1755">
        <v>6</v>
      </c>
      <c r="K1755" t="s">
        <v>36</v>
      </c>
      <c r="L1755" t="s">
        <v>21</v>
      </c>
      <c r="M1755">
        <v>1</v>
      </c>
    </row>
    <row r="1756" spans="1:13" x14ac:dyDescent="0.25">
      <c r="A1756" t="s">
        <v>1401</v>
      </c>
      <c r="B1756" t="s">
        <v>24</v>
      </c>
      <c r="C1756" t="s">
        <v>83</v>
      </c>
      <c r="D1756" t="s">
        <v>15</v>
      </c>
      <c r="E1756" t="s">
        <v>21</v>
      </c>
      <c r="F1756" t="s">
        <v>21</v>
      </c>
      <c r="G1756">
        <v>468</v>
      </c>
      <c r="H1756" s="1">
        <v>45090</v>
      </c>
      <c r="I1756">
        <v>2023</v>
      </c>
      <c r="J1756">
        <v>6</v>
      </c>
      <c r="K1756" t="s">
        <v>36</v>
      </c>
      <c r="L1756" t="s">
        <v>21</v>
      </c>
      <c r="M1756">
        <v>0</v>
      </c>
    </row>
    <row r="1757" spans="1:13" x14ac:dyDescent="0.25">
      <c r="A1757" t="s">
        <v>476</v>
      </c>
      <c r="B1757" t="s">
        <v>95</v>
      </c>
      <c r="C1757" t="s">
        <v>14</v>
      </c>
      <c r="D1757" t="s">
        <v>20</v>
      </c>
      <c r="E1757">
        <v>400</v>
      </c>
      <c r="F1757">
        <v>0.15</v>
      </c>
      <c r="G1757">
        <v>284</v>
      </c>
      <c r="H1757" s="1">
        <v>45089</v>
      </c>
      <c r="I1757">
        <v>2023</v>
      </c>
      <c r="J1757">
        <v>6</v>
      </c>
      <c r="K1757" t="s">
        <v>36</v>
      </c>
      <c r="L1757">
        <v>0</v>
      </c>
      <c r="M1757">
        <v>1</v>
      </c>
    </row>
    <row r="1758" spans="1:13" x14ac:dyDescent="0.25">
      <c r="A1758" t="s">
        <v>193</v>
      </c>
      <c r="B1758" t="s">
        <v>77</v>
      </c>
      <c r="C1758" t="s">
        <v>80</v>
      </c>
      <c r="D1758" t="s">
        <v>194</v>
      </c>
      <c r="E1758">
        <v>150</v>
      </c>
      <c r="F1758">
        <v>0.17</v>
      </c>
      <c r="G1758">
        <v>529</v>
      </c>
      <c r="H1758" s="1">
        <v>45089</v>
      </c>
      <c r="I1758">
        <v>2023</v>
      </c>
      <c r="J1758">
        <v>6</v>
      </c>
      <c r="K1758" t="s">
        <v>36</v>
      </c>
      <c r="L1758">
        <v>0</v>
      </c>
      <c r="M1758">
        <v>1</v>
      </c>
    </row>
    <row r="1759" spans="1:13" x14ac:dyDescent="0.25">
      <c r="A1759" t="s">
        <v>204</v>
      </c>
      <c r="B1759" t="s">
        <v>114</v>
      </c>
      <c r="C1759" t="s">
        <v>14</v>
      </c>
      <c r="D1759" t="s">
        <v>43</v>
      </c>
      <c r="E1759">
        <v>100</v>
      </c>
      <c r="F1759">
        <v>0.12</v>
      </c>
      <c r="G1759">
        <v>469</v>
      </c>
      <c r="H1759" s="1">
        <v>45089</v>
      </c>
      <c r="I1759">
        <v>2023</v>
      </c>
      <c r="J1759">
        <v>6</v>
      </c>
      <c r="K1759" t="s">
        <v>36</v>
      </c>
      <c r="L1759">
        <v>0</v>
      </c>
      <c r="M1759">
        <v>1</v>
      </c>
    </row>
    <row r="1760" spans="1:13" x14ac:dyDescent="0.25">
      <c r="A1760" t="s">
        <v>338</v>
      </c>
      <c r="B1760" t="s">
        <v>106</v>
      </c>
      <c r="C1760" t="s">
        <v>14</v>
      </c>
      <c r="D1760" t="s">
        <v>15</v>
      </c>
      <c r="E1760">
        <v>80</v>
      </c>
      <c r="F1760">
        <v>0.04</v>
      </c>
      <c r="G1760">
        <v>227</v>
      </c>
      <c r="H1760" s="1">
        <v>45089</v>
      </c>
      <c r="I1760">
        <v>2023</v>
      </c>
      <c r="J1760">
        <v>6</v>
      </c>
      <c r="K1760" t="s">
        <v>36</v>
      </c>
      <c r="L1760">
        <v>0</v>
      </c>
      <c r="M1760">
        <v>1</v>
      </c>
    </row>
    <row r="1761" spans="1:13" x14ac:dyDescent="0.25">
      <c r="A1761" t="s">
        <v>1402</v>
      </c>
      <c r="B1761" t="s">
        <v>32</v>
      </c>
      <c r="C1761" t="s">
        <v>14</v>
      </c>
      <c r="D1761" t="s">
        <v>49</v>
      </c>
      <c r="E1761" t="s">
        <v>21</v>
      </c>
      <c r="F1761">
        <v>1</v>
      </c>
      <c r="G1761">
        <v>4</v>
      </c>
      <c r="H1761" s="1">
        <v>45089</v>
      </c>
      <c r="I1761">
        <v>2023</v>
      </c>
      <c r="J1761">
        <v>6</v>
      </c>
      <c r="K1761" t="s">
        <v>16</v>
      </c>
      <c r="L1761">
        <v>1</v>
      </c>
      <c r="M1761">
        <v>1</v>
      </c>
    </row>
    <row r="1762" spans="1:13" x14ac:dyDescent="0.25">
      <c r="A1762" t="s">
        <v>1403</v>
      </c>
      <c r="B1762" t="s">
        <v>52</v>
      </c>
      <c r="C1762" t="s">
        <v>14</v>
      </c>
      <c r="D1762" t="s">
        <v>22</v>
      </c>
      <c r="E1762">
        <v>80</v>
      </c>
      <c r="F1762">
        <v>0.4</v>
      </c>
      <c r="G1762">
        <v>253</v>
      </c>
      <c r="H1762" s="1">
        <v>45088</v>
      </c>
      <c r="I1762">
        <v>2023</v>
      </c>
      <c r="J1762">
        <v>6</v>
      </c>
      <c r="K1762" t="s">
        <v>36</v>
      </c>
      <c r="L1762">
        <v>0</v>
      </c>
      <c r="M1762">
        <v>1</v>
      </c>
    </row>
    <row r="1763" spans="1:13" x14ac:dyDescent="0.25">
      <c r="A1763" t="s">
        <v>1404</v>
      </c>
      <c r="B1763" t="s">
        <v>18</v>
      </c>
      <c r="C1763" t="s">
        <v>64</v>
      </c>
      <c r="D1763" t="s">
        <v>22</v>
      </c>
      <c r="E1763" t="s">
        <v>21</v>
      </c>
      <c r="F1763">
        <v>1</v>
      </c>
      <c r="G1763" t="s">
        <v>21</v>
      </c>
      <c r="H1763" s="1">
        <v>45088</v>
      </c>
      <c r="I1763">
        <v>2023</v>
      </c>
      <c r="J1763">
        <v>6</v>
      </c>
      <c r="K1763" t="s">
        <v>22</v>
      </c>
      <c r="L1763">
        <v>1</v>
      </c>
      <c r="M1763">
        <v>1</v>
      </c>
    </row>
    <row r="1764" spans="1:13" x14ac:dyDescent="0.25">
      <c r="A1764" t="s">
        <v>1405</v>
      </c>
      <c r="B1764" t="s">
        <v>106</v>
      </c>
      <c r="C1764" t="s">
        <v>230</v>
      </c>
      <c r="D1764" t="s">
        <v>33</v>
      </c>
      <c r="E1764">
        <v>128</v>
      </c>
      <c r="F1764">
        <v>0.35</v>
      </c>
      <c r="G1764">
        <v>40</v>
      </c>
      <c r="H1764" s="1">
        <v>45086</v>
      </c>
      <c r="I1764">
        <v>2023</v>
      </c>
      <c r="J1764">
        <v>6</v>
      </c>
      <c r="K1764" t="s">
        <v>30</v>
      </c>
      <c r="L1764">
        <v>0</v>
      </c>
      <c r="M1764">
        <v>1</v>
      </c>
    </row>
    <row r="1765" spans="1:13" x14ac:dyDescent="0.25">
      <c r="A1765" t="s">
        <v>578</v>
      </c>
      <c r="B1765" t="s">
        <v>35</v>
      </c>
      <c r="C1765" t="s">
        <v>14</v>
      </c>
      <c r="D1765" t="s">
        <v>15</v>
      </c>
      <c r="E1765">
        <v>75</v>
      </c>
      <c r="F1765">
        <v>0.09</v>
      </c>
      <c r="G1765">
        <v>1100</v>
      </c>
      <c r="H1765" s="1">
        <v>45086</v>
      </c>
      <c r="I1765">
        <v>2023</v>
      </c>
      <c r="J1765">
        <v>6</v>
      </c>
      <c r="K1765" t="s">
        <v>26</v>
      </c>
      <c r="L1765">
        <v>0</v>
      </c>
      <c r="M1765">
        <v>1</v>
      </c>
    </row>
    <row r="1766" spans="1:13" x14ac:dyDescent="0.25">
      <c r="A1766" t="s">
        <v>1406</v>
      </c>
      <c r="B1766" t="s">
        <v>28</v>
      </c>
      <c r="C1766" t="s">
        <v>14</v>
      </c>
      <c r="D1766" t="s">
        <v>111</v>
      </c>
      <c r="E1766">
        <v>60</v>
      </c>
      <c r="F1766">
        <v>0.1</v>
      </c>
      <c r="G1766">
        <v>288</v>
      </c>
      <c r="H1766" s="1">
        <v>45086</v>
      </c>
      <c r="I1766">
        <v>2023</v>
      </c>
      <c r="J1766">
        <v>6</v>
      </c>
      <c r="K1766" t="s">
        <v>36</v>
      </c>
      <c r="L1766">
        <v>0</v>
      </c>
      <c r="M1766">
        <v>1</v>
      </c>
    </row>
    <row r="1767" spans="1:13" x14ac:dyDescent="0.25">
      <c r="A1767" t="s">
        <v>975</v>
      </c>
      <c r="B1767" t="s">
        <v>77</v>
      </c>
      <c r="C1767" t="s">
        <v>14</v>
      </c>
      <c r="D1767" t="s">
        <v>46</v>
      </c>
      <c r="E1767">
        <v>186</v>
      </c>
      <c r="F1767" t="s">
        <v>21</v>
      </c>
      <c r="G1767">
        <v>229</v>
      </c>
      <c r="H1767" s="1">
        <v>45085</v>
      </c>
      <c r="I1767">
        <v>2023</v>
      </c>
      <c r="J1767">
        <v>6</v>
      </c>
      <c r="K1767" t="s">
        <v>36</v>
      </c>
      <c r="L1767" t="s">
        <v>21</v>
      </c>
      <c r="M1767">
        <v>1</v>
      </c>
    </row>
    <row r="1768" spans="1:13" x14ac:dyDescent="0.25">
      <c r="A1768" t="s">
        <v>1407</v>
      </c>
      <c r="B1768" t="s">
        <v>35</v>
      </c>
      <c r="C1768" t="s">
        <v>14</v>
      </c>
      <c r="D1768" t="s">
        <v>55</v>
      </c>
      <c r="E1768">
        <v>155</v>
      </c>
      <c r="F1768">
        <v>0.12</v>
      </c>
      <c r="G1768">
        <v>891</v>
      </c>
      <c r="H1768" s="1">
        <v>45085</v>
      </c>
      <c r="I1768">
        <v>2023</v>
      </c>
      <c r="J1768">
        <v>6</v>
      </c>
      <c r="K1768" t="s">
        <v>36</v>
      </c>
      <c r="L1768">
        <v>0</v>
      </c>
      <c r="M1768">
        <v>1</v>
      </c>
    </row>
    <row r="1769" spans="1:13" x14ac:dyDescent="0.25">
      <c r="A1769" t="s">
        <v>1408</v>
      </c>
      <c r="B1769" t="s">
        <v>99</v>
      </c>
      <c r="C1769" t="s">
        <v>14</v>
      </c>
      <c r="D1769" t="s">
        <v>43</v>
      </c>
      <c r="E1769">
        <v>140</v>
      </c>
      <c r="F1769">
        <v>0.15</v>
      </c>
      <c r="G1769">
        <v>644</v>
      </c>
      <c r="H1769" s="1">
        <v>45085</v>
      </c>
      <c r="I1769">
        <v>2023</v>
      </c>
      <c r="J1769">
        <v>6</v>
      </c>
      <c r="K1769" t="s">
        <v>36</v>
      </c>
      <c r="L1769">
        <v>0</v>
      </c>
      <c r="M1769">
        <v>1</v>
      </c>
    </row>
    <row r="1770" spans="1:13" x14ac:dyDescent="0.25">
      <c r="A1770" t="s">
        <v>1409</v>
      </c>
      <c r="B1770" t="s">
        <v>38</v>
      </c>
      <c r="C1770" t="s">
        <v>14</v>
      </c>
      <c r="D1770" t="s">
        <v>111</v>
      </c>
      <c r="E1770" t="s">
        <v>21</v>
      </c>
      <c r="F1770" t="s">
        <v>21</v>
      </c>
      <c r="G1770">
        <v>805</v>
      </c>
      <c r="H1770" s="1">
        <v>45085</v>
      </c>
      <c r="I1770">
        <v>2023</v>
      </c>
      <c r="J1770">
        <v>6</v>
      </c>
      <c r="K1770" t="s">
        <v>36</v>
      </c>
      <c r="L1770" t="s">
        <v>21</v>
      </c>
      <c r="M1770">
        <v>0</v>
      </c>
    </row>
    <row r="1771" spans="1:13" x14ac:dyDescent="0.25">
      <c r="A1771" t="s">
        <v>169</v>
      </c>
      <c r="B1771" t="s">
        <v>89</v>
      </c>
      <c r="C1771" t="s">
        <v>14</v>
      </c>
      <c r="D1771" t="s">
        <v>15</v>
      </c>
      <c r="E1771" t="s">
        <v>21</v>
      </c>
      <c r="F1771" t="s">
        <v>21</v>
      </c>
      <c r="G1771">
        <v>484</v>
      </c>
      <c r="H1771" s="1">
        <v>45085</v>
      </c>
      <c r="I1771">
        <v>2023</v>
      </c>
      <c r="J1771">
        <v>6</v>
      </c>
      <c r="K1771" t="s">
        <v>36</v>
      </c>
      <c r="L1771" t="s">
        <v>21</v>
      </c>
      <c r="M1771">
        <v>0</v>
      </c>
    </row>
    <row r="1772" spans="1:13" x14ac:dyDescent="0.25">
      <c r="A1772" t="s">
        <v>1410</v>
      </c>
      <c r="B1772" t="s">
        <v>28</v>
      </c>
      <c r="C1772" t="s">
        <v>14</v>
      </c>
      <c r="D1772" t="s">
        <v>49</v>
      </c>
      <c r="E1772" t="s">
        <v>21</v>
      </c>
      <c r="F1772">
        <v>1</v>
      </c>
      <c r="G1772">
        <v>7</v>
      </c>
      <c r="H1772" s="1">
        <v>45085</v>
      </c>
      <c r="I1772">
        <v>2023</v>
      </c>
      <c r="J1772">
        <v>6</v>
      </c>
      <c r="K1772" t="s">
        <v>16</v>
      </c>
      <c r="L1772">
        <v>1</v>
      </c>
      <c r="M1772">
        <v>1</v>
      </c>
    </row>
    <row r="1773" spans="1:13" x14ac:dyDescent="0.25">
      <c r="A1773" t="s">
        <v>823</v>
      </c>
      <c r="B1773" t="s">
        <v>106</v>
      </c>
      <c r="C1773" t="s">
        <v>48</v>
      </c>
      <c r="D1773" t="s">
        <v>81</v>
      </c>
      <c r="E1773">
        <v>1000</v>
      </c>
      <c r="F1773" t="s">
        <v>21</v>
      </c>
      <c r="G1773">
        <v>5500</v>
      </c>
      <c r="H1773" s="1">
        <v>45084</v>
      </c>
      <c r="I1773">
        <v>2023</v>
      </c>
      <c r="J1773">
        <v>6</v>
      </c>
      <c r="K1773" t="s">
        <v>26</v>
      </c>
      <c r="L1773" t="s">
        <v>21</v>
      </c>
      <c r="M1773">
        <v>1</v>
      </c>
    </row>
    <row r="1774" spans="1:13" x14ac:dyDescent="0.25">
      <c r="A1774" t="s">
        <v>1411</v>
      </c>
      <c r="B1774" t="s">
        <v>77</v>
      </c>
      <c r="C1774" t="s">
        <v>230</v>
      </c>
      <c r="D1774" t="s">
        <v>15</v>
      </c>
      <c r="E1774">
        <v>296</v>
      </c>
      <c r="F1774" t="s">
        <v>21</v>
      </c>
      <c r="G1774">
        <v>4100</v>
      </c>
      <c r="H1774" s="1">
        <v>45084</v>
      </c>
      <c r="I1774">
        <v>2023</v>
      </c>
      <c r="J1774">
        <v>6</v>
      </c>
      <c r="K1774" t="s">
        <v>26</v>
      </c>
      <c r="L1774" t="s">
        <v>21</v>
      </c>
      <c r="M1774">
        <v>1</v>
      </c>
    </row>
    <row r="1775" spans="1:13" x14ac:dyDescent="0.25">
      <c r="A1775" t="s">
        <v>1412</v>
      </c>
      <c r="B1775" t="s">
        <v>38</v>
      </c>
      <c r="C1775" t="s">
        <v>14</v>
      </c>
      <c r="D1775" t="s">
        <v>20</v>
      </c>
      <c r="E1775">
        <v>79</v>
      </c>
      <c r="F1775" t="s">
        <v>21</v>
      </c>
      <c r="G1775">
        <v>340</v>
      </c>
      <c r="H1775" s="1">
        <v>45084</v>
      </c>
      <c r="I1775">
        <v>2023</v>
      </c>
      <c r="J1775">
        <v>6</v>
      </c>
      <c r="K1775" t="s">
        <v>36</v>
      </c>
      <c r="L1775" t="s">
        <v>21</v>
      </c>
      <c r="M1775">
        <v>1</v>
      </c>
    </row>
    <row r="1776" spans="1:13" x14ac:dyDescent="0.25">
      <c r="A1776" t="s">
        <v>1413</v>
      </c>
      <c r="B1776" t="s">
        <v>35</v>
      </c>
      <c r="C1776" t="s">
        <v>14</v>
      </c>
      <c r="D1776" t="s">
        <v>20</v>
      </c>
      <c r="E1776">
        <v>39</v>
      </c>
      <c r="F1776" t="s">
        <v>21</v>
      </c>
      <c r="G1776">
        <v>324</v>
      </c>
      <c r="H1776" s="1">
        <v>45084</v>
      </c>
      <c r="I1776">
        <v>2023</v>
      </c>
      <c r="J1776">
        <v>6</v>
      </c>
      <c r="K1776" t="s">
        <v>36</v>
      </c>
      <c r="L1776" t="s">
        <v>21</v>
      </c>
      <c r="M1776">
        <v>1</v>
      </c>
    </row>
    <row r="1777" spans="1:13" x14ac:dyDescent="0.25">
      <c r="A1777" t="s">
        <v>1183</v>
      </c>
      <c r="B1777" t="s">
        <v>91</v>
      </c>
      <c r="C1777" t="s">
        <v>14</v>
      </c>
      <c r="D1777" t="s">
        <v>22</v>
      </c>
      <c r="E1777" t="s">
        <v>21</v>
      </c>
      <c r="F1777" t="s">
        <v>21</v>
      </c>
      <c r="G1777">
        <v>905</v>
      </c>
      <c r="H1777" s="1">
        <v>45084</v>
      </c>
      <c r="I1777">
        <v>2023</v>
      </c>
      <c r="J1777">
        <v>6</v>
      </c>
      <c r="K1777" t="s">
        <v>36</v>
      </c>
      <c r="L1777" t="s">
        <v>21</v>
      </c>
      <c r="M1777">
        <v>0</v>
      </c>
    </row>
    <row r="1778" spans="1:13" x14ac:dyDescent="0.25">
      <c r="A1778" t="s">
        <v>1414</v>
      </c>
      <c r="B1778" t="s">
        <v>140</v>
      </c>
      <c r="C1778" t="s">
        <v>14</v>
      </c>
      <c r="D1778" t="s">
        <v>15</v>
      </c>
      <c r="E1778" t="s">
        <v>21</v>
      </c>
      <c r="F1778">
        <v>0.08</v>
      </c>
      <c r="G1778">
        <v>349</v>
      </c>
      <c r="H1778" s="1">
        <v>45084</v>
      </c>
      <c r="I1778">
        <v>2023</v>
      </c>
      <c r="J1778">
        <v>6</v>
      </c>
      <c r="K1778" t="s">
        <v>36</v>
      </c>
      <c r="L1778">
        <v>0</v>
      </c>
      <c r="M1778">
        <v>1</v>
      </c>
    </row>
    <row r="1779" spans="1:13" x14ac:dyDescent="0.25">
      <c r="A1779" t="s">
        <v>1415</v>
      </c>
      <c r="B1779" t="s">
        <v>490</v>
      </c>
      <c r="C1779" t="s">
        <v>14</v>
      </c>
      <c r="D1779" t="s">
        <v>55</v>
      </c>
      <c r="E1779" t="s">
        <v>21</v>
      </c>
      <c r="F1779" t="s">
        <v>21</v>
      </c>
      <c r="G1779">
        <v>233</v>
      </c>
      <c r="H1779" s="1">
        <v>45084</v>
      </c>
      <c r="I1779">
        <v>2023</v>
      </c>
      <c r="J1779">
        <v>6</v>
      </c>
      <c r="K1779" t="s">
        <v>36</v>
      </c>
      <c r="L1779" t="s">
        <v>21</v>
      </c>
      <c r="M1779">
        <v>0</v>
      </c>
    </row>
    <row r="1780" spans="1:13" x14ac:dyDescent="0.25">
      <c r="A1780" t="s">
        <v>1416</v>
      </c>
      <c r="B1780" t="s">
        <v>102</v>
      </c>
      <c r="C1780" t="s">
        <v>14</v>
      </c>
      <c r="D1780" t="s">
        <v>15</v>
      </c>
      <c r="E1780">
        <v>196</v>
      </c>
      <c r="F1780" t="s">
        <v>21</v>
      </c>
      <c r="G1780" t="s">
        <v>21</v>
      </c>
      <c r="H1780" s="1">
        <v>45083</v>
      </c>
      <c r="I1780">
        <v>2023</v>
      </c>
      <c r="J1780">
        <v>6</v>
      </c>
      <c r="K1780" t="s">
        <v>22</v>
      </c>
      <c r="L1780" t="s">
        <v>21</v>
      </c>
      <c r="M1780">
        <v>1</v>
      </c>
    </row>
    <row r="1781" spans="1:13" x14ac:dyDescent="0.25">
      <c r="A1781" t="s">
        <v>851</v>
      </c>
      <c r="B1781" t="s">
        <v>140</v>
      </c>
      <c r="C1781" t="s">
        <v>14</v>
      </c>
      <c r="D1781" t="s">
        <v>15</v>
      </c>
      <c r="E1781">
        <v>134</v>
      </c>
      <c r="F1781">
        <v>0.12</v>
      </c>
      <c r="G1781">
        <v>462</v>
      </c>
      <c r="H1781" s="1">
        <v>45083</v>
      </c>
      <c r="I1781">
        <v>2023</v>
      </c>
      <c r="J1781">
        <v>6</v>
      </c>
      <c r="K1781" t="s">
        <v>36</v>
      </c>
      <c r="L1781">
        <v>0</v>
      </c>
      <c r="M1781">
        <v>1</v>
      </c>
    </row>
    <row r="1782" spans="1:13" x14ac:dyDescent="0.25">
      <c r="A1782" t="s">
        <v>1417</v>
      </c>
      <c r="B1782" t="s">
        <v>18</v>
      </c>
      <c r="C1782" t="s">
        <v>14</v>
      </c>
      <c r="D1782" t="s">
        <v>43</v>
      </c>
      <c r="E1782">
        <v>90</v>
      </c>
      <c r="F1782">
        <v>0.05</v>
      </c>
      <c r="G1782">
        <v>1300</v>
      </c>
      <c r="H1782" s="1">
        <v>45083</v>
      </c>
      <c r="I1782">
        <v>2023</v>
      </c>
      <c r="J1782">
        <v>6</v>
      </c>
      <c r="K1782" t="s">
        <v>26</v>
      </c>
      <c r="L1782">
        <v>0</v>
      </c>
      <c r="M1782">
        <v>1</v>
      </c>
    </row>
    <row r="1783" spans="1:13" x14ac:dyDescent="0.25">
      <c r="A1783" t="s">
        <v>1418</v>
      </c>
      <c r="B1783" t="s">
        <v>18</v>
      </c>
      <c r="C1783" t="s">
        <v>42</v>
      </c>
      <c r="D1783" t="s">
        <v>22</v>
      </c>
      <c r="E1783">
        <v>60</v>
      </c>
      <c r="F1783">
        <v>0.27</v>
      </c>
      <c r="G1783">
        <v>165</v>
      </c>
      <c r="H1783" s="1">
        <v>45083</v>
      </c>
      <c r="I1783">
        <v>2023</v>
      </c>
      <c r="J1783">
        <v>6</v>
      </c>
      <c r="K1783" t="s">
        <v>36</v>
      </c>
      <c r="L1783">
        <v>0</v>
      </c>
      <c r="M1783">
        <v>1</v>
      </c>
    </row>
    <row r="1784" spans="1:13" x14ac:dyDescent="0.25">
      <c r="A1784" t="s">
        <v>1419</v>
      </c>
      <c r="B1784" t="s">
        <v>28</v>
      </c>
      <c r="C1784" t="s">
        <v>14</v>
      </c>
      <c r="D1784" t="s">
        <v>55</v>
      </c>
      <c r="E1784">
        <v>50</v>
      </c>
      <c r="F1784">
        <v>0.09</v>
      </c>
      <c r="G1784">
        <v>364</v>
      </c>
      <c r="H1784" s="1">
        <v>45083</v>
      </c>
      <c r="I1784">
        <v>2023</v>
      </c>
      <c r="J1784">
        <v>6</v>
      </c>
      <c r="K1784" t="s">
        <v>36</v>
      </c>
      <c r="L1784">
        <v>0</v>
      </c>
      <c r="M1784">
        <v>1</v>
      </c>
    </row>
    <row r="1785" spans="1:13" x14ac:dyDescent="0.25">
      <c r="A1785" t="s">
        <v>497</v>
      </c>
      <c r="B1785" t="s">
        <v>13</v>
      </c>
      <c r="C1785" t="s">
        <v>14</v>
      </c>
      <c r="D1785" t="s">
        <v>15</v>
      </c>
      <c r="E1785">
        <v>50</v>
      </c>
      <c r="F1785" t="s">
        <v>21</v>
      </c>
      <c r="G1785">
        <v>1300</v>
      </c>
      <c r="H1785" s="1">
        <v>45083</v>
      </c>
      <c r="I1785">
        <v>2023</v>
      </c>
      <c r="J1785">
        <v>6</v>
      </c>
      <c r="K1785" t="s">
        <v>26</v>
      </c>
      <c r="L1785" t="s">
        <v>21</v>
      </c>
      <c r="M1785">
        <v>1</v>
      </c>
    </row>
    <row r="1786" spans="1:13" x14ac:dyDescent="0.25">
      <c r="A1786" t="s">
        <v>1420</v>
      </c>
      <c r="B1786" t="s">
        <v>52</v>
      </c>
      <c r="C1786" t="s">
        <v>184</v>
      </c>
      <c r="D1786" t="s">
        <v>49</v>
      </c>
      <c r="E1786">
        <v>6</v>
      </c>
      <c r="F1786" t="s">
        <v>21</v>
      </c>
      <c r="G1786">
        <v>23</v>
      </c>
      <c r="H1786" s="1">
        <v>45083</v>
      </c>
      <c r="I1786">
        <v>2023</v>
      </c>
      <c r="J1786">
        <v>6</v>
      </c>
      <c r="K1786" t="s">
        <v>30</v>
      </c>
      <c r="L1786" t="s">
        <v>21</v>
      </c>
      <c r="M1786">
        <v>1</v>
      </c>
    </row>
    <row r="1787" spans="1:13" x14ac:dyDescent="0.25">
      <c r="A1787" t="s">
        <v>1421</v>
      </c>
      <c r="B1787" t="s">
        <v>35</v>
      </c>
      <c r="C1787" t="s">
        <v>14</v>
      </c>
      <c r="D1787" t="s">
        <v>22</v>
      </c>
      <c r="E1787" t="s">
        <v>21</v>
      </c>
      <c r="F1787">
        <v>1</v>
      </c>
      <c r="G1787" t="s">
        <v>21</v>
      </c>
      <c r="H1787" s="1">
        <v>45083</v>
      </c>
      <c r="I1787">
        <v>2023</v>
      </c>
      <c r="J1787">
        <v>6</v>
      </c>
      <c r="K1787" t="s">
        <v>22</v>
      </c>
      <c r="L1787">
        <v>1</v>
      </c>
      <c r="M1787">
        <v>1</v>
      </c>
    </row>
    <row r="1788" spans="1:13" x14ac:dyDescent="0.25">
      <c r="A1788" t="s">
        <v>223</v>
      </c>
      <c r="B1788" t="s">
        <v>32</v>
      </c>
      <c r="C1788" t="s">
        <v>161</v>
      </c>
      <c r="D1788" t="s">
        <v>15</v>
      </c>
      <c r="E1788">
        <v>200</v>
      </c>
      <c r="F1788">
        <v>0.02</v>
      </c>
      <c r="G1788">
        <v>2100</v>
      </c>
      <c r="H1788" s="1">
        <v>45082</v>
      </c>
      <c r="I1788">
        <v>2023</v>
      </c>
      <c r="J1788">
        <v>6</v>
      </c>
      <c r="K1788" t="s">
        <v>26</v>
      </c>
      <c r="L1788">
        <v>0</v>
      </c>
      <c r="M1788">
        <v>1</v>
      </c>
    </row>
    <row r="1789" spans="1:13" x14ac:dyDescent="0.25">
      <c r="A1789" t="s">
        <v>1422</v>
      </c>
      <c r="B1789" t="s">
        <v>77</v>
      </c>
      <c r="C1789" t="s">
        <v>14</v>
      </c>
      <c r="D1789" t="s">
        <v>68</v>
      </c>
      <c r="E1789" t="s">
        <v>21</v>
      </c>
      <c r="F1789" t="s">
        <v>21</v>
      </c>
      <c r="G1789">
        <v>19</v>
      </c>
      <c r="H1789" s="1">
        <v>45082</v>
      </c>
      <c r="I1789">
        <v>2023</v>
      </c>
      <c r="J1789">
        <v>6</v>
      </c>
      <c r="K1789" t="s">
        <v>30</v>
      </c>
      <c r="L1789" t="s">
        <v>21</v>
      </c>
      <c r="M1789">
        <v>0</v>
      </c>
    </row>
    <row r="1790" spans="1:13" x14ac:dyDescent="0.25">
      <c r="A1790" t="s">
        <v>1012</v>
      </c>
      <c r="B1790" t="s">
        <v>91</v>
      </c>
      <c r="C1790" t="s">
        <v>14</v>
      </c>
      <c r="D1790" t="s">
        <v>46</v>
      </c>
      <c r="E1790" t="s">
        <v>21</v>
      </c>
      <c r="F1790" t="s">
        <v>21</v>
      </c>
      <c r="G1790">
        <v>310</v>
      </c>
      <c r="H1790" s="1">
        <v>45082</v>
      </c>
      <c r="I1790">
        <v>2023</v>
      </c>
      <c r="J1790">
        <v>6</v>
      </c>
      <c r="K1790" t="s">
        <v>36</v>
      </c>
      <c r="L1790" t="s">
        <v>21</v>
      </c>
      <c r="M1790">
        <v>0</v>
      </c>
    </row>
    <row r="1791" spans="1:13" x14ac:dyDescent="0.25">
      <c r="A1791" t="s">
        <v>1423</v>
      </c>
      <c r="B1791" t="s">
        <v>95</v>
      </c>
      <c r="C1791" t="s">
        <v>14</v>
      </c>
      <c r="D1791" t="s">
        <v>46</v>
      </c>
      <c r="E1791" t="s">
        <v>21</v>
      </c>
      <c r="F1791">
        <v>0.05</v>
      </c>
      <c r="G1791">
        <v>274</v>
      </c>
      <c r="H1791" s="1">
        <v>45080</v>
      </c>
      <c r="I1791">
        <v>2023</v>
      </c>
      <c r="J1791">
        <v>6</v>
      </c>
      <c r="K1791" t="s">
        <v>36</v>
      </c>
      <c r="L1791">
        <v>0</v>
      </c>
      <c r="M1791">
        <v>1</v>
      </c>
    </row>
    <row r="1792" spans="1:13" x14ac:dyDescent="0.25">
      <c r="A1792" t="s">
        <v>151</v>
      </c>
      <c r="B1792" t="s">
        <v>99</v>
      </c>
      <c r="C1792" t="s">
        <v>174</v>
      </c>
      <c r="D1792" t="s">
        <v>15</v>
      </c>
      <c r="E1792">
        <v>120</v>
      </c>
      <c r="F1792">
        <v>0.03</v>
      </c>
      <c r="G1792">
        <v>7</v>
      </c>
      <c r="H1792" s="1">
        <v>45079</v>
      </c>
      <c r="I1792">
        <v>2023</v>
      </c>
      <c r="J1792">
        <v>6</v>
      </c>
      <c r="K1792" t="s">
        <v>16</v>
      </c>
      <c r="L1792">
        <v>0</v>
      </c>
      <c r="M1792">
        <v>1</v>
      </c>
    </row>
    <row r="1793" spans="1:13" x14ac:dyDescent="0.25">
      <c r="A1793" t="s">
        <v>154</v>
      </c>
      <c r="B1793" t="s">
        <v>13</v>
      </c>
      <c r="C1793" t="s">
        <v>83</v>
      </c>
      <c r="D1793" t="s">
        <v>111</v>
      </c>
      <c r="E1793">
        <v>90</v>
      </c>
      <c r="F1793" t="s">
        <v>21</v>
      </c>
      <c r="G1793">
        <v>307</v>
      </c>
      <c r="H1793" s="1">
        <v>45079</v>
      </c>
      <c r="I1793">
        <v>2023</v>
      </c>
      <c r="J1793">
        <v>6</v>
      </c>
      <c r="K1793" t="s">
        <v>36</v>
      </c>
      <c r="L1793" t="s">
        <v>21</v>
      </c>
      <c r="M1793">
        <v>1</v>
      </c>
    </row>
    <row r="1794" spans="1:13" x14ac:dyDescent="0.25">
      <c r="A1794" t="s">
        <v>1424</v>
      </c>
      <c r="B1794" t="s">
        <v>95</v>
      </c>
      <c r="C1794" t="s">
        <v>14</v>
      </c>
      <c r="D1794" t="s">
        <v>22</v>
      </c>
      <c r="E1794" t="s">
        <v>21</v>
      </c>
      <c r="F1794">
        <v>1</v>
      </c>
      <c r="G1794">
        <v>423</v>
      </c>
      <c r="H1794" s="1">
        <v>45079</v>
      </c>
      <c r="I1794">
        <v>2023</v>
      </c>
      <c r="J1794">
        <v>6</v>
      </c>
      <c r="K1794" t="s">
        <v>36</v>
      </c>
      <c r="L1794">
        <v>1</v>
      </c>
      <c r="M1794">
        <v>1</v>
      </c>
    </row>
    <row r="1795" spans="1:13" x14ac:dyDescent="0.25">
      <c r="A1795" t="s">
        <v>1425</v>
      </c>
      <c r="B1795" t="s">
        <v>77</v>
      </c>
      <c r="C1795" t="s">
        <v>14</v>
      </c>
      <c r="D1795" t="s">
        <v>97</v>
      </c>
      <c r="E1795">
        <v>280</v>
      </c>
      <c r="F1795">
        <v>0.7</v>
      </c>
      <c r="G1795" t="s">
        <v>21</v>
      </c>
      <c r="H1795" s="1">
        <v>45078</v>
      </c>
      <c r="I1795">
        <v>2023</v>
      </c>
      <c r="J1795">
        <v>6</v>
      </c>
      <c r="K1795" t="s">
        <v>22</v>
      </c>
      <c r="L1795">
        <v>0</v>
      </c>
      <c r="M1795">
        <v>1</v>
      </c>
    </row>
    <row r="1796" spans="1:13" x14ac:dyDescent="0.25">
      <c r="A1796" t="s">
        <v>1426</v>
      </c>
      <c r="B1796" t="s">
        <v>114</v>
      </c>
      <c r="C1796" t="s">
        <v>14</v>
      </c>
      <c r="D1796" t="s">
        <v>46</v>
      </c>
      <c r="E1796">
        <v>170</v>
      </c>
      <c r="F1796" t="s">
        <v>21</v>
      </c>
      <c r="G1796">
        <v>192</v>
      </c>
      <c r="H1796" s="1">
        <v>45078</v>
      </c>
      <c r="I1796">
        <v>2023</v>
      </c>
      <c r="J1796">
        <v>6</v>
      </c>
      <c r="K1796" t="s">
        <v>36</v>
      </c>
      <c r="L1796" t="s">
        <v>21</v>
      </c>
      <c r="M1796">
        <v>1</v>
      </c>
    </row>
    <row r="1797" spans="1:13" x14ac:dyDescent="0.25">
      <c r="A1797" t="s">
        <v>1427</v>
      </c>
      <c r="B1797" t="s">
        <v>35</v>
      </c>
      <c r="C1797" t="s">
        <v>48</v>
      </c>
      <c r="D1797" t="s">
        <v>33</v>
      </c>
      <c r="E1797">
        <v>160</v>
      </c>
      <c r="F1797" t="s">
        <v>21</v>
      </c>
      <c r="G1797">
        <v>9</v>
      </c>
      <c r="H1797" s="1">
        <v>45078</v>
      </c>
      <c r="I1797">
        <v>2023</v>
      </c>
      <c r="J1797">
        <v>6</v>
      </c>
      <c r="K1797" t="s">
        <v>16</v>
      </c>
      <c r="L1797" t="s">
        <v>21</v>
      </c>
      <c r="M1797">
        <v>1</v>
      </c>
    </row>
    <row r="1798" spans="1:13" x14ac:dyDescent="0.25">
      <c r="A1798" t="s">
        <v>503</v>
      </c>
      <c r="B1798" t="s">
        <v>54</v>
      </c>
      <c r="C1798" t="s">
        <v>14</v>
      </c>
      <c r="D1798" t="s">
        <v>15</v>
      </c>
      <c r="E1798">
        <v>90</v>
      </c>
      <c r="F1798">
        <v>0.1</v>
      </c>
      <c r="G1798">
        <v>394</v>
      </c>
      <c r="H1798" s="1">
        <v>45078</v>
      </c>
      <c r="I1798">
        <v>2023</v>
      </c>
      <c r="J1798">
        <v>6</v>
      </c>
      <c r="K1798" t="s">
        <v>36</v>
      </c>
      <c r="L1798">
        <v>0</v>
      </c>
      <c r="M1798">
        <v>1</v>
      </c>
    </row>
    <row r="1799" spans="1:13" x14ac:dyDescent="0.25">
      <c r="A1799" t="s">
        <v>1428</v>
      </c>
      <c r="B1799" t="s">
        <v>117</v>
      </c>
      <c r="C1799" t="s">
        <v>14</v>
      </c>
      <c r="D1799" t="s">
        <v>33</v>
      </c>
      <c r="E1799" t="s">
        <v>21</v>
      </c>
      <c r="F1799" t="s">
        <v>21</v>
      </c>
      <c r="G1799">
        <v>141</v>
      </c>
      <c r="H1799" s="1">
        <v>45078</v>
      </c>
      <c r="I1799">
        <v>2023</v>
      </c>
      <c r="J1799">
        <v>6</v>
      </c>
      <c r="K1799" t="s">
        <v>36</v>
      </c>
      <c r="L1799" t="s">
        <v>21</v>
      </c>
      <c r="M1799">
        <v>0</v>
      </c>
    </row>
    <row r="1800" spans="1:13" x14ac:dyDescent="0.25">
      <c r="A1800" t="s">
        <v>1429</v>
      </c>
      <c r="B1800" t="s">
        <v>40</v>
      </c>
      <c r="C1800" t="s">
        <v>83</v>
      </c>
      <c r="D1800" t="s">
        <v>46</v>
      </c>
      <c r="E1800" t="s">
        <v>21</v>
      </c>
      <c r="F1800">
        <v>0.1</v>
      </c>
      <c r="G1800">
        <v>332</v>
      </c>
      <c r="H1800" s="1">
        <v>45078</v>
      </c>
      <c r="I1800">
        <v>2023</v>
      </c>
      <c r="J1800">
        <v>6</v>
      </c>
      <c r="K1800" t="s">
        <v>36</v>
      </c>
      <c r="L1800">
        <v>0</v>
      </c>
      <c r="M1800">
        <v>1</v>
      </c>
    </row>
    <row r="1801" spans="1:13" x14ac:dyDescent="0.25">
      <c r="A1801" t="s">
        <v>1430</v>
      </c>
      <c r="B1801" t="s">
        <v>13</v>
      </c>
      <c r="C1801" t="s">
        <v>14</v>
      </c>
      <c r="D1801" t="s">
        <v>22</v>
      </c>
      <c r="E1801" t="s">
        <v>21</v>
      </c>
      <c r="F1801" t="s">
        <v>21</v>
      </c>
      <c r="G1801" t="s">
        <v>21</v>
      </c>
      <c r="H1801" s="1">
        <v>45078</v>
      </c>
      <c r="I1801">
        <v>2023</v>
      </c>
      <c r="J1801">
        <v>6</v>
      </c>
      <c r="K1801" t="s">
        <v>22</v>
      </c>
      <c r="L1801" t="s">
        <v>21</v>
      </c>
      <c r="M1801">
        <v>0</v>
      </c>
    </row>
    <row r="1802" spans="1:13" x14ac:dyDescent="0.25">
      <c r="A1802" t="s">
        <v>120</v>
      </c>
      <c r="B1802" t="s">
        <v>28</v>
      </c>
      <c r="C1802" t="s">
        <v>14</v>
      </c>
      <c r="D1802" t="s">
        <v>15</v>
      </c>
      <c r="E1802" t="s">
        <v>21</v>
      </c>
      <c r="F1802">
        <v>0.05</v>
      </c>
      <c r="G1802">
        <v>696</v>
      </c>
      <c r="H1802" s="1">
        <v>45078</v>
      </c>
      <c r="I1802">
        <v>2023</v>
      </c>
      <c r="J1802">
        <v>6</v>
      </c>
      <c r="K1802" t="s">
        <v>36</v>
      </c>
      <c r="L1802">
        <v>0</v>
      </c>
      <c r="M1802">
        <v>1</v>
      </c>
    </row>
    <row r="1803" spans="1:13" x14ac:dyDescent="0.25">
      <c r="A1803" t="s">
        <v>1431</v>
      </c>
      <c r="B1803" t="s">
        <v>77</v>
      </c>
      <c r="C1803" t="s">
        <v>14</v>
      </c>
      <c r="D1803" t="s">
        <v>55</v>
      </c>
      <c r="E1803" t="s">
        <v>21</v>
      </c>
      <c r="F1803">
        <v>0.19</v>
      </c>
      <c r="G1803">
        <v>161</v>
      </c>
      <c r="H1803" s="1">
        <v>45078</v>
      </c>
      <c r="I1803">
        <v>2023</v>
      </c>
      <c r="J1803">
        <v>6</v>
      </c>
      <c r="K1803" t="s">
        <v>36</v>
      </c>
      <c r="L1803">
        <v>0</v>
      </c>
      <c r="M1803">
        <v>1</v>
      </c>
    </row>
    <row r="1804" spans="1:13" x14ac:dyDescent="0.25">
      <c r="A1804" t="s">
        <v>221</v>
      </c>
      <c r="B1804" t="s">
        <v>89</v>
      </c>
      <c r="C1804" t="s">
        <v>14</v>
      </c>
      <c r="D1804" t="s">
        <v>20</v>
      </c>
      <c r="E1804">
        <v>320</v>
      </c>
      <c r="F1804">
        <v>0.08</v>
      </c>
      <c r="G1804">
        <v>85</v>
      </c>
      <c r="H1804" s="1">
        <v>45077</v>
      </c>
      <c r="I1804">
        <v>2023</v>
      </c>
      <c r="J1804">
        <v>5</v>
      </c>
      <c r="K1804" t="s">
        <v>30</v>
      </c>
      <c r="L1804">
        <v>0</v>
      </c>
      <c r="M1804">
        <v>1</v>
      </c>
    </row>
    <row r="1805" spans="1:13" x14ac:dyDescent="0.25">
      <c r="A1805" t="s">
        <v>357</v>
      </c>
      <c r="B1805" t="s">
        <v>45</v>
      </c>
      <c r="C1805" t="s">
        <v>14</v>
      </c>
      <c r="D1805" t="s">
        <v>15</v>
      </c>
      <c r="E1805">
        <v>270</v>
      </c>
      <c r="F1805">
        <v>0.2</v>
      </c>
      <c r="G1805">
        <v>769</v>
      </c>
      <c r="H1805" s="1">
        <v>45077</v>
      </c>
      <c r="I1805">
        <v>2023</v>
      </c>
      <c r="J1805">
        <v>5</v>
      </c>
      <c r="K1805" t="s">
        <v>36</v>
      </c>
      <c r="L1805">
        <v>0</v>
      </c>
      <c r="M1805">
        <v>1</v>
      </c>
    </row>
    <row r="1806" spans="1:13" x14ac:dyDescent="0.25">
      <c r="A1806" t="s">
        <v>960</v>
      </c>
      <c r="B1806" t="s">
        <v>13</v>
      </c>
      <c r="C1806" t="s">
        <v>14</v>
      </c>
      <c r="D1806" t="s">
        <v>33</v>
      </c>
      <c r="E1806">
        <v>100</v>
      </c>
      <c r="F1806">
        <v>0.25</v>
      </c>
      <c r="G1806">
        <v>216</v>
      </c>
      <c r="H1806" s="1">
        <v>45077</v>
      </c>
      <c r="I1806">
        <v>2023</v>
      </c>
      <c r="J1806">
        <v>5</v>
      </c>
      <c r="K1806" t="s">
        <v>36</v>
      </c>
      <c r="L1806">
        <v>0</v>
      </c>
      <c r="M1806">
        <v>1</v>
      </c>
    </row>
    <row r="1807" spans="1:13" x14ac:dyDescent="0.25">
      <c r="A1807" t="s">
        <v>1047</v>
      </c>
      <c r="B1807" t="s">
        <v>91</v>
      </c>
      <c r="C1807" t="s">
        <v>83</v>
      </c>
      <c r="D1807" t="s">
        <v>22</v>
      </c>
      <c r="E1807">
        <v>60</v>
      </c>
      <c r="F1807" t="s">
        <v>21</v>
      </c>
      <c r="G1807">
        <v>214</v>
      </c>
      <c r="H1807" s="1">
        <v>45077</v>
      </c>
      <c r="I1807">
        <v>2023</v>
      </c>
      <c r="J1807">
        <v>5</v>
      </c>
      <c r="K1807" t="s">
        <v>36</v>
      </c>
      <c r="L1807" t="s">
        <v>21</v>
      </c>
      <c r="M1807">
        <v>1</v>
      </c>
    </row>
    <row r="1808" spans="1:13" x14ac:dyDescent="0.25">
      <c r="A1808" t="s">
        <v>1432</v>
      </c>
      <c r="B1808" t="s">
        <v>140</v>
      </c>
      <c r="C1808" t="s">
        <v>14</v>
      </c>
      <c r="D1808" t="s">
        <v>55</v>
      </c>
      <c r="E1808">
        <v>40</v>
      </c>
      <c r="F1808">
        <v>0.3</v>
      </c>
      <c r="G1808">
        <v>173</v>
      </c>
      <c r="H1808" s="1">
        <v>45077</v>
      </c>
      <c r="I1808">
        <v>2023</v>
      </c>
      <c r="J1808">
        <v>5</v>
      </c>
      <c r="K1808" t="s">
        <v>36</v>
      </c>
      <c r="L1808">
        <v>0</v>
      </c>
      <c r="M1808">
        <v>1</v>
      </c>
    </row>
    <row r="1809" spans="1:13" x14ac:dyDescent="0.25">
      <c r="A1809" t="s">
        <v>883</v>
      </c>
      <c r="B1809" t="s">
        <v>24</v>
      </c>
      <c r="C1809" t="s">
        <v>14</v>
      </c>
      <c r="D1809" t="s">
        <v>55</v>
      </c>
      <c r="E1809">
        <v>22</v>
      </c>
      <c r="F1809">
        <v>0.08</v>
      </c>
      <c r="G1809">
        <v>181</v>
      </c>
      <c r="H1809" s="1">
        <v>45077</v>
      </c>
      <c r="I1809">
        <v>2023</v>
      </c>
      <c r="J1809">
        <v>5</v>
      </c>
      <c r="K1809" t="s">
        <v>36</v>
      </c>
      <c r="L1809">
        <v>0</v>
      </c>
      <c r="M1809">
        <v>1</v>
      </c>
    </row>
    <row r="1810" spans="1:13" x14ac:dyDescent="0.25">
      <c r="A1810" t="s">
        <v>1433</v>
      </c>
      <c r="B1810" t="s">
        <v>77</v>
      </c>
      <c r="C1810" t="s">
        <v>83</v>
      </c>
      <c r="D1810" t="s">
        <v>55</v>
      </c>
      <c r="E1810">
        <v>120</v>
      </c>
      <c r="F1810">
        <v>0.2</v>
      </c>
      <c r="G1810">
        <v>330</v>
      </c>
      <c r="H1810" s="1">
        <v>45076</v>
      </c>
      <c r="I1810">
        <v>2023</v>
      </c>
      <c r="J1810">
        <v>5</v>
      </c>
      <c r="K1810" t="s">
        <v>36</v>
      </c>
      <c r="L1810">
        <v>0</v>
      </c>
      <c r="M1810">
        <v>1</v>
      </c>
    </row>
    <row r="1811" spans="1:13" x14ac:dyDescent="0.25">
      <c r="A1811" t="s">
        <v>1434</v>
      </c>
      <c r="B1811" t="s">
        <v>24</v>
      </c>
      <c r="C1811" t="s">
        <v>48</v>
      </c>
      <c r="D1811" t="s">
        <v>22</v>
      </c>
      <c r="E1811">
        <v>30</v>
      </c>
      <c r="F1811" t="s">
        <v>21</v>
      </c>
      <c r="G1811">
        <v>254</v>
      </c>
      <c r="H1811" s="1">
        <v>45076</v>
      </c>
      <c r="I1811">
        <v>2023</v>
      </c>
      <c r="J1811">
        <v>5</v>
      </c>
      <c r="K1811" t="s">
        <v>36</v>
      </c>
      <c r="L1811" t="s">
        <v>21</v>
      </c>
      <c r="M1811">
        <v>1</v>
      </c>
    </row>
    <row r="1812" spans="1:13" x14ac:dyDescent="0.25">
      <c r="A1812" t="s">
        <v>1435</v>
      </c>
      <c r="B1812" t="s">
        <v>77</v>
      </c>
      <c r="C1812" t="s">
        <v>14</v>
      </c>
      <c r="D1812" t="s">
        <v>20</v>
      </c>
      <c r="E1812" t="s">
        <v>21</v>
      </c>
      <c r="F1812" t="s">
        <v>21</v>
      </c>
      <c r="G1812">
        <v>219</v>
      </c>
      <c r="H1812" s="1">
        <v>45076</v>
      </c>
      <c r="I1812">
        <v>2023</v>
      </c>
      <c r="J1812">
        <v>5</v>
      </c>
      <c r="K1812" t="s">
        <v>36</v>
      </c>
      <c r="L1812" t="s">
        <v>21</v>
      </c>
      <c r="M1812">
        <v>0</v>
      </c>
    </row>
    <row r="1813" spans="1:13" x14ac:dyDescent="0.25">
      <c r="A1813" t="s">
        <v>1436</v>
      </c>
      <c r="B1813" t="s">
        <v>52</v>
      </c>
      <c r="C1813" t="s">
        <v>64</v>
      </c>
      <c r="D1813" t="s">
        <v>33</v>
      </c>
      <c r="E1813" t="s">
        <v>21</v>
      </c>
      <c r="F1813" t="s">
        <v>21</v>
      </c>
      <c r="G1813">
        <v>88</v>
      </c>
      <c r="H1813" s="1">
        <v>45076</v>
      </c>
      <c r="I1813">
        <v>2023</v>
      </c>
      <c r="J1813">
        <v>5</v>
      </c>
      <c r="K1813" t="s">
        <v>30</v>
      </c>
      <c r="L1813" t="s">
        <v>21</v>
      </c>
      <c r="M1813">
        <v>0</v>
      </c>
    </row>
    <row r="1814" spans="1:13" x14ac:dyDescent="0.25">
      <c r="A1814" t="s">
        <v>674</v>
      </c>
      <c r="B1814" t="s">
        <v>140</v>
      </c>
      <c r="C1814" t="s">
        <v>14</v>
      </c>
      <c r="D1814" t="s">
        <v>22</v>
      </c>
      <c r="E1814" t="s">
        <v>21</v>
      </c>
      <c r="F1814" t="s">
        <v>21</v>
      </c>
      <c r="G1814">
        <v>109</v>
      </c>
      <c r="H1814" s="1">
        <v>45076</v>
      </c>
      <c r="I1814">
        <v>2023</v>
      </c>
      <c r="J1814">
        <v>5</v>
      </c>
      <c r="K1814" t="s">
        <v>36</v>
      </c>
      <c r="L1814" t="s">
        <v>21</v>
      </c>
      <c r="M1814">
        <v>0</v>
      </c>
    </row>
    <row r="1815" spans="1:13" x14ac:dyDescent="0.25">
      <c r="A1815" t="s">
        <v>1169</v>
      </c>
      <c r="B1815" t="s">
        <v>73</v>
      </c>
      <c r="C1815" t="s">
        <v>14</v>
      </c>
      <c r="D1815" t="s">
        <v>43</v>
      </c>
      <c r="E1815">
        <v>164</v>
      </c>
      <c r="F1815">
        <v>0.14000000000000001</v>
      </c>
      <c r="G1815">
        <v>224</v>
      </c>
      <c r="H1815" s="1">
        <v>45075</v>
      </c>
      <c r="I1815">
        <v>2023</v>
      </c>
      <c r="J1815">
        <v>5</v>
      </c>
      <c r="K1815" t="s">
        <v>36</v>
      </c>
      <c r="L1815">
        <v>0</v>
      </c>
      <c r="M1815">
        <v>1</v>
      </c>
    </row>
    <row r="1816" spans="1:13" x14ac:dyDescent="0.25">
      <c r="A1816" t="s">
        <v>1166</v>
      </c>
      <c r="B1816" t="s">
        <v>117</v>
      </c>
      <c r="C1816" t="s">
        <v>14</v>
      </c>
      <c r="D1816" t="s">
        <v>22</v>
      </c>
      <c r="E1816">
        <v>130</v>
      </c>
      <c r="F1816">
        <v>0.1</v>
      </c>
      <c r="G1816">
        <v>817</v>
      </c>
      <c r="H1816" s="1">
        <v>45072</v>
      </c>
      <c r="I1816">
        <v>2023</v>
      </c>
      <c r="J1816">
        <v>5</v>
      </c>
      <c r="K1816" t="s">
        <v>36</v>
      </c>
      <c r="L1816">
        <v>0</v>
      </c>
      <c r="M1816">
        <v>1</v>
      </c>
    </row>
    <row r="1817" spans="1:13" x14ac:dyDescent="0.25">
      <c r="A1817" t="s">
        <v>1437</v>
      </c>
      <c r="B1817" t="s">
        <v>45</v>
      </c>
      <c r="C1817" t="s">
        <v>14</v>
      </c>
      <c r="D1817" t="s">
        <v>15</v>
      </c>
      <c r="E1817">
        <v>53</v>
      </c>
      <c r="F1817">
        <v>0.1</v>
      </c>
      <c r="G1817" t="s">
        <v>21</v>
      </c>
      <c r="H1817" s="1">
        <v>45072</v>
      </c>
      <c r="I1817">
        <v>2023</v>
      </c>
      <c r="J1817">
        <v>5</v>
      </c>
      <c r="K1817" t="s">
        <v>22</v>
      </c>
      <c r="L1817">
        <v>0</v>
      </c>
      <c r="M1817">
        <v>1</v>
      </c>
    </row>
    <row r="1818" spans="1:13" x14ac:dyDescent="0.25">
      <c r="A1818" t="s">
        <v>1438</v>
      </c>
      <c r="B1818" t="s">
        <v>35</v>
      </c>
      <c r="C1818" t="s">
        <v>80</v>
      </c>
      <c r="D1818" t="s">
        <v>81</v>
      </c>
      <c r="E1818">
        <v>180</v>
      </c>
      <c r="F1818" t="s">
        <v>21</v>
      </c>
      <c r="G1818">
        <v>292</v>
      </c>
      <c r="H1818" s="1">
        <v>45071</v>
      </c>
      <c r="I1818">
        <v>2023</v>
      </c>
      <c r="J1818">
        <v>5</v>
      </c>
      <c r="K1818" t="s">
        <v>36</v>
      </c>
      <c r="L1818" t="s">
        <v>21</v>
      </c>
      <c r="M1818">
        <v>1</v>
      </c>
    </row>
    <row r="1819" spans="1:13" x14ac:dyDescent="0.25">
      <c r="A1819" t="s">
        <v>835</v>
      </c>
      <c r="B1819" t="s">
        <v>54</v>
      </c>
      <c r="C1819" t="s">
        <v>48</v>
      </c>
      <c r="D1819" t="s">
        <v>33</v>
      </c>
      <c r="E1819">
        <v>75</v>
      </c>
      <c r="F1819">
        <v>0.3</v>
      </c>
      <c r="G1819">
        <v>50</v>
      </c>
      <c r="H1819" s="1">
        <v>45071</v>
      </c>
      <c r="I1819">
        <v>2023</v>
      </c>
      <c r="J1819">
        <v>5</v>
      </c>
      <c r="K1819" t="s">
        <v>30</v>
      </c>
      <c r="L1819">
        <v>0</v>
      </c>
      <c r="M1819">
        <v>1</v>
      </c>
    </row>
    <row r="1820" spans="1:13" x14ac:dyDescent="0.25">
      <c r="A1820" t="s">
        <v>1439</v>
      </c>
      <c r="B1820" t="s">
        <v>95</v>
      </c>
      <c r="C1820" t="s">
        <v>83</v>
      </c>
      <c r="D1820" t="s">
        <v>49</v>
      </c>
      <c r="E1820">
        <v>35</v>
      </c>
      <c r="F1820" t="s">
        <v>21</v>
      </c>
      <c r="G1820">
        <v>12</v>
      </c>
      <c r="H1820" s="1">
        <v>45071</v>
      </c>
      <c r="I1820">
        <v>2023</v>
      </c>
      <c r="J1820">
        <v>5</v>
      </c>
      <c r="K1820" t="s">
        <v>30</v>
      </c>
      <c r="L1820" t="s">
        <v>21</v>
      </c>
      <c r="M1820">
        <v>1</v>
      </c>
    </row>
    <row r="1821" spans="1:13" x14ac:dyDescent="0.25">
      <c r="A1821" t="s">
        <v>604</v>
      </c>
      <c r="B1821" t="s">
        <v>32</v>
      </c>
      <c r="C1821" t="s">
        <v>539</v>
      </c>
      <c r="D1821" t="s">
        <v>46</v>
      </c>
      <c r="E1821">
        <v>13</v>
      </c>
      <c r="F1821" t="s">
        <v>21</v>
      </c>
      <c r="G1821">
        <v>22</v>
      </c>
      <c r="H1821" s="1">
        <v>45071</v>
      </c>
      <c r="I1821">
        <v>2023</v>
      </c>
      <c r="J1821">
        <v>5</v>
      </c>
      <c r="K1821" t="s">
        <v>30</v>
      </c>
      <c r="L1821" t="s">
        <v>21</v>
      </c>
      <c r="M1821">
        <v>1</v>
      </c>
    </row>
    <row r="1822" spans="1:13" x14ac:dyDescent="0.25">
      <c r="A1822" t="s">
        <v>1440</v>
      </c>
      <c r="B1822" t="s">
        <v>18</v>
      </c>
      <c r="C1822" t="s">
        <v>14</v>
      </c>
      <c r="D1822" t="s">
        <v>20</v>
      </c>
      <c r="E1822" t="s">
        <v>21</v>
      </c>
      <c r="F1822">
        <v>0.12</v>
      </c>
      <c r="G1822">
        <v>244</v>
      </c>
      <c r="H1822" s="1">
        <v>45071</v>
      </c>
      <c r="I1822">
        <v>2023</v>
      </c>
      <c r="J1822">
        <v>5</v>
      </c>
      <c r="K1822" t="s">
        <v>36</v>
      </c>
      <c r="L1822">
        <v>0</v>
      </c>
      <c r="M1822">
        <v>1</v>
      </c>
    </row>
    <row r="1823" spans="1:13" x14ac:dyDescent="0.25">
      <c r="A1823" t="s">
        <v>759</v>
      </c>
      <c r="B1823" t="s">
        <v>106</v>
      </c>
      <c r="C1823" t="s">
        <v>14</v>
      </c>
      <c r="D1823" t="s">
        <v>43</v>
      </c>
      <c r="E1823">
        <v>172</v>
      </c>
      <c r="F1823">
        <v>0.12</v>
      </c>
      <c r="G1823">
        <v>643</v>
      </c>
      <c r="H1823" s="1">
        <v>45070</v>
      </c>
      <c r="I1823">
        <v>2023</v>
      </c>
      <c r="J1823">
        <v>5</v>
      </c>
      <c r="K1823" t="s">
        <v>36</v>
      </c>
      <c r="L1823">
        <v>0</v>
      </c>
      <c r="M1823">
        <v>1</v>
      </c>
    </row>
    <row r="1824" spans="1:13" x14ac:dyDescent="0.25">
      <c r="A1824" t="s">
        <v>1441</v>
      </c>
      <c r="B1824" t="s">
        <v>54</v>
      </c>
      <c r="C1824" t="s">
        <v>14</v>
      </c>
      <c r="D1824" t="s">
        <v>20</v>
      </c>
      <c r="E1824">
        <v>120</v>
      </c>
      <c r="F1824">
        <v>0.11</v>
      </c>
      <c r="G1824" t="s">
        <v>21</v>
      </c>
      <c r="H1824" s="1">
        <v>45070</v>
      </c>
      <c r="I1824">
        <v>2023</v>
      </c>
      <c r="J1824">
        <v>5</v>
      </c>
      <c r="K1824" t="s">
        <v>22</v>
      </c>
      <c r="L1824">
        <v>0</v>
      </c>
      <c r="M1824">
        <v>1</v>
      </c>
    </row>
    <row r="1825" spans="1:13" x14ac:dyDescent="0.25">
      <c r="A1825" t="s">
        <v>1442</v>
      </c>
      <c r="B1825" t="s">
        <v>95</v>
      </c>
      <c r="C1825" t="s">
        <v>83</v>
      </c>
      <c r="D1825" t="s">
        <v>33</v>
      </c>
      <c r="E1825">
        <v>100</v>
      </c>
      <c r="F1825">
        <v>0.16</v>
      </c>
      <c r="G1825">
        <v>1000</v>
      </c>
      <c r="H1825" s="1">
        <v>45070</v>
      </c>
      <c r="I1825">
        <v>2023</v>
      </c>
      <c r="J1825">
        <v>5</v>
      </c>
      <c r="K1825" t="s">
        <v>26</v>
      </c>
      <c r="L1825">
        <v>0</v>
      </c>
      <c r="M1825">
        <v>1</v>
      </c>
    </row>
    <row r="1826" spans="1:13" x14ac:dyDescent="0.25">
      <c r="A1826" t="s">
        <v>1399</v>
      </c>
      <c r="B1826" t="s">
        <v>70</v>
      </c>
      <c r="C1826" t="s">
        <v>29</v>
      </c>
      <c r="D1826" t="s">
        <v>15</v>
      </c>
      <c r="E1826">
        <v>60</v>
      </c>
      <c r="F1826">
        <v>7.0000000000000007E-2</v>
      </c>
      <c r="G1826">
        <v>900</v>
      </c>
      <c r="H1826" s="1">
        <v>45070</v>
      </c>
      <c r="I1826">
        <v>2023</v>
      </c>
      <c r="J1826">
        <v>5</v>
      </c>
      <c r="K1826" t="s">
        <v>36</v>
      </c>
      <c r="L1826">
        <v>0</v>
      </c>
      <c r="M1826">
        <v>1</v>
      </c>
    </row>
    <row r="1827" spans="1:13" x14ac:dyDescent="0.25">
      <c r="A1827" t="s">
        <v>1443</v>
      </c>
      <c r="B1827" t="s">
        <v>38</v>
      </c>
      <c r="C1827" t="s">
        <v>657</v>
      </c>
      <c r="D1827" t="s">
        <v>97</v>
      </c>
      <c r="E1827" t="s">
        <v>21</v>
      </c>
      <c r="F1827">
        <v>7.0000000000000007E-2</v>
      </c>
      <c r="G1827" t="s">
        <v>21</v>
      </c>
      <c r="H1827" s="1">
        <v>45070</v>
      </c>
      <c r="I1827">
        <v>2023</v>
      </c>
      <c r="J1827">
        <v>5</v>
      </c>
      <c r="K1827" t="s">
        <v>22</v>
      </c>
      <c r="L1827">
        <v>0</v>
      </c>
      <c r="M1827">
        <v>1</v>
      </c>
    </row>
    <row r="1828" spans="1:13" x14ac:dyDescent="0.25">
      <c r="A1828" t="s">
        <v>1444</v>
      </c>
      <c r="B1828" t="s">
        <v>106</v>
      </c>
      <c r="C1828" t="s">
        <v>870</v>
      </c>
      <c r="D1828" t="s">
        <v>55</v>
      </c>
      <c r="E1828" t="s">
        <v>21</v>
      </c>
      <c r="F1828">
        <v>0.3</v>
      </c>
      <c r="G1828">
        <v>148</v>
      </c>
      <c r="H1828" s="1">
        <v>45070</v>
      </c>
      <c r="I1828">
        <v>2023</v>
      </c>
      <c r="J1828">
        <v>5</v>
      </c>
      <c r="K1828" t="s">
        <v>36</v>
      </c>
      <c r="L1828">
        <v>0</v>
      </c>
      <c r="M1828">
        <v>1</v>
      </c>
    </row>
    <row r="1829" spans="1:13" x14ac:dyDescent="0.25">
      <c r="A1829" t="s">
        <v>1445</v>
      </c>
      <c r="B1829" t="s">
        <v>95</v>
      </c>
      <c r="C1829" t="s">
        <v>48</v>
      </c>
      <c r="D1829" t="s">
        <v>97</v>
      </c>
      <c r="E1829">
        <v>1000</v>
      </c>
      <c r="F1829" t="s">
        <v>21</v>
      </c>
      <c r="G1829" t="s">
        <v>21</v>
      </c>
      <c r="H1829" s="1">
        <v>45069</v>
      </c>
      <c r="I1829">
        <v>2023</v>
      </c>
      <c r="J1829">
        <v>5</v>
      </c>
      <c r="K1829" t="s">
        <v>22</v>
      </c>
      <c r="L1829" t="s">
        <v>21</v>
      </c>
      <c r="M1829">
        <v>1</v>
      </c>
    </row>
    <row r="1830" spans="1:13" x14ac:dyDescent="0.25">
      <c r="A1830" t="s">
        <v>199</v>
      </c>
      <c r="B1830" t="s">
        <v>70</v>
      </c>
      <c r="C1830" t="s">
        <v>29</v>
      </c>
      <c r="D1830" t="s">
        <v>15</v>
      </c>
      <c r="E1830">
        <v>30</v>
      </c>
      <c r="F1830" t="s">
        <v>21</v>
      </c>
      <c r="G1830" t="s">
        <v>21</v>
      </c>
      <c r="H1830" s="1">
        <v>45069</v>
      </c>
      <c r="I1830">
        <v>2023</v>
      </c>
      <c r="J1830">
        <v>5</v>
      </c>
      <c r="K1830" t="s">
        <v>22</v>
      </c>
      <c r="L1830" t="s">
        <v>21</v>
      </c>
      <c r="M1830">
        <v>1</v>
      </c>
    </row>
    <row r="1831" spans="1:13" x14ac:dyDescent="0.25">
      <c r="A1831" t="s">
        <v>1446</v>
      </c>
      <c r="B1831" t="s">
        <v>18</v>
      </c>
      <c r="C1831" t="s">
        <v>83</v>
      </c>
      <c r="D1831" t="s">
        <v>22</v>
      </c>
      <c r="E1831" t="s">
        <v>21</v>
      </c>
      <c r="F1831">
        <v>0.08</v>
      </c>
      <c r="G1831">
        <v>542</v>
      </c>
      <c r="H1831" s="1">
        <v>45069</v>
      </c>
      <c r="I1831">
        <v>2023</v>
      </c>
      <c r="J1831">
        <v>5</v>
      </c>
      <c r="K1831" t="s">
        <v>36</v>
      </c>
      <c r="L1831">
        <v>0</v>
      </c>
      <c r="M1831">
        <v>1</v>
      </c>
    </row>
    <row r="1832" spans="1:13" x14ac:dyDescent="0.25">
      <c r="A1832" t="s">
        <v>1447</v>
      </c>
      <c r="B1832" t="s">
        <v>77</v>
      </c>
      <c r="C1832" t="s">
        <v>80</v>
      </c>
      <c r="D1832" t="s">
        <v>55</v>
      </c>
      <c r="E1832" t="s">
        <v>21</v>
      </c>
      <c r="F1832" t="s">
        <v>21</v>
      </c>
      <c r="G1832">
        <v>119</v>
      </c>
      <c r="H1832" s="1">
        <v>45069</v>
      </c>
      <c r="I1832">
        <v>2023</v>
      </c>
      <c r="J1832">
        <v>5</v>
      </c>
      <c r="K1832" t="s">
        <v>36</v>
      </c>
      <c r="L1832" t="s">
        <v>21</v>
      </c>
      <c r="M1832">
        <v>0</v>
      </c>
    </row>
    <row r="1833" spans="1:13" x14ac:dyDescent="0.25">
      <c r="A1833" t="s">
        <v>1232</v>
      </c>
      <c r="B1833" t="s">
        <v>91</v>
      </c>
      <c r="C1833" t="s">
        <v>14</v>
      </c>
      <c r="D1833" t="s">
        <v>15</v>
      </c>
      <c r="E1833">
        <v>62</v>
      </c>
      <c r="F1833" t="s">
        <v>21</v>
      </c>
      <c r="G1833">
        <v>30</v>
      </c>
      <c r="H1833" s="1">
        <v>45068</v>
      </c>
      <c r="I1833">
        <v>2023</v>
      </c>
      <c r="J1833">
        <v>5</v>
      </c>
      <c r="K1833" t="s">
        <v>30</v>
      </c>
      <c r="L1833" t="s">
        <v>21</v>
      </c>
      <c r="M1833">
        <v>1</v>
      </c>
    </row>
    <row r="1834" spans="1:13" x14ac:dyDescent="0.25">
      <c r="A1834" t="s">
        <v>1448</v>
      </c>
      <c r="B1834" t="s">
        <v>77</v>
      </c>
      <c r="C1834" t="s">
        <v>14</v>
      </c>
      <c r="D1834" t="s">
        <v>68</v>
      </c>
      <c r="E1834" t="s">
        <v>21</v>
      </c>
      <c r="F1834">
        <v>1</v>
      </c>
      <c r="G1834">
        <v>20</v>
      </c>
      <c r="H1834" s="1">
        <v>45068</v>
      </c>
      <c r="I1834">
        <v>2023</v>
      </c>
      <c r="J1834">
        <v>5</v>
      </c>
      <c r="K1834" t="s">
        <v>30</v>
      </c>
      <c r="L1834">
        <v>1</v>
      </c>
      <c r="M1834">
        <v>1</v>
      </c>
    </row>
    <row r="1835" spans="1:13" x14ac:dyDescent="0.25">
      <c r="A1835" t="s">
        <v>1449</v>
      </c>
      <c r="B1835" t="s">
        <v>35</v>
      </c>
      <c r="C1835" t="s">
        <v>14</v>
      </c>
      <c r="D1835" t="s">
        <v>22</v>
      </c>
      <c r="E1835" t="s">
        <v>21</v>
      </c>
      <c r="F1835">
        <v>1</v>
      </c>
      <c r="G1835" t="s">
        <v>21</v>
      </c>
      <c r="H1835" s="1">
        <v>45068</v>
      </c>
      <c r="I1835">
        <v>2023</v>
      </c>
      <c r="J1835">
        <v>5</v>
      </c>
      <c r="K1835" t="s">
        <v>22</v>
      </c>
      <c r="L1835">
        <v>1</v>
      </c>
      <c r="M1835">
        <v>1</v>
      </c>
    </row>
    <row r="1836" spans="1:13" x14ac:dyDescent="0.25">
      <c r="A1836" t="s">
        <v>1450</v>
      </c>
      <c r="B1836" t="s">
        <v>102</v>
      </c>
      <c r="C1836" t="s">
        <v>14</v>
      </c>
      <c r="D1836" t="s">
        <v>33</v>
      </c>
      <c r="E1836" t="s">
        <v>21</v>
      </c>
      <c r="F1836" t="s">
        <v>21</v>
      </c>
      <c r="G1836">
        <v>30</v>
      </c>
      <c r="H1836" s="1">
        <v>45068</v>
      </c>
      <c r="I1836">
        <v>2023</v>
      </c>
      <c r="J1836">
        <v>5</v>
      </c>
      <c r="K1836" t="s">
        <v>30</v>
      </c>
      <c r="L1836" t="s">
        <v>21</v>
      </c>
      <c r="M1836">
        <v>0</v>
      </c>
    </row>
    <row r="1837" spans="1:13" x14ac:dyDescent="0.25">
      <c r="A1837" t="s">
        <v>1451</v>
      </c>
      <c r="B1837" t="s">
        <v>35</v>
      </c>
      <c r="C1837" t="s">
        <v>14</v>
      </c>
      <c r="D1837" t="s">
        <v>20</v>
      </c>
      <c r="E1837" t="s">
        <v>21</v>
      </c>
      <c r="F1837" t="s">
        <v>21</v>
      </c>
      <c r="G1837" t="s">
        <v>21</v>
      </c>
      <c r="H1837" s="1">
        <v>45066</v>
      </c>
      <c r="I1837">
        <v>2023</v>
      </c>
      <c r="J1837">
        <v>5</v>
      </c>
      <c r="K1837" t="s">
        <v>22</v>
      </c>
      <c r="L1837" t="s">
        <v>21</v>
      </c>
      <c r="M1837">
        <v>0</v>
      </c>
    </row>
    <row r="1838" spans="1:13" x14ac:dyDescent="0.25">
      <c r="A1838" t="s">
        <v>1452</v>
      </c>
      <c r="B1838" t="s">
        <v>77</v>
      </c>
      <c r="C1838" t="s">
        <v>83</v>
      </c>
      <c r="D1838" t="s">
        <v>33</v>
      </c>
      <c r="E1838">
        <v>30</v>
      </c>
      <c r="F1838" t="s">
        <v>21</v>
      </c>
      <c r="G1838">
        <v>150</v>
      </c>
      <c r="H1838" s="1">
        <v>45065</v>
      </c>
      <c r="I1838">
        <v>2023</v>
      </c>
      <c r="J1838">
        <v>5</v>
      </c>
      <c r="K1838" t="s">
        <v>36</v>
      </c>
      <c r="L1838" t="s">
        <v>21</v>
      </c>
      <c r="M1838">
        <v>1</v>
      </c>
    </row>
    <row r="1839" spans="1:13" x14ac:dyDescent="0.25">
      <c r="A1839" t="s">
        <v>1453</v>
      </c>
      <c r="B1839" t="s">
        <v>77</v>
      </c>
      <c r="C1839" t="s">
        <v>14</v>
      </c>
      <c r="D1839" t="s">
        <v>55</v>
      </c>
      <c r="E1839">
        <v>63</v>
      </c>
      <c r="F1839">
        <v>0.14000000000000001</v>
      </c>
      <c r="G1839">
        <v>621</v>
      </c>
      <c r="H1839" s="1">
        <v>45064</v>
      </c>
      <c r="I1839">
        <v>2023</v>
      </c>
      <c r="J1839">
        <v>5</v>
      </c>
      <c r="K1839" t="s">
        <v>36</v>
      </c>
      <c r="L1839">
        <v>0</v>
      </c>
      <c r="M1839">
        <v>1</v>
      </c>
    </row>
    <row r="1840" spans="1:13" x14ac:dyDescent="0.25">
      <c r="A1840" t="s">
        <v>1454</v>
      </c>
      <c r="B1840" t="s">
        <v>99</v>
      </c>
      <c r="C1840" t="s">
        <v>14</v>
      </c>
      <c r="D1840" t="s">
        <v>68</v>
      </c>
      <c r="E1840" t="s">
        <v>21</v>
      </c>
      <c r="F1840" t="s">
        <v>21</v>
      </c>
      <c r="G1840">
        <v>17</v>
      </c>
      <c r="H1840" s="1">
        <v>45064</v>
      </c>
      <c r="I1840">
        <v>2023</v>
      </c>
      <c r="J1840">
        <v>5</v>
      </c>
      <c r="K1840" t="s">
        <v>30</v>
      </c>
      <c r="L1840" t="s">
        <v>21</v>
      </c>
      <c r="M1840">
        <v>0</v>
      </c>
    </row>
    <row r="1841" spans="1:13" x14ac:dyDescent="0.25">
      <c r="A1841" t="s">
        <v>1455</v>
      </c>
      <c r="B1841" t="s">
        <v>38</v>
      </c>
      <c r="C1841" t="s">
        <v>14</v>
      </c>
      <c r="D1841" t="s">
        <v>55</v>
      </c>
      <c r="E1841" t="s">
        <v>21</v>
      </c>
      <c r="F1841">
        <v>0.15</v>
      </c>
      <c r="G1841">
        <v>414</v>
      </c>
      <c r="H1841" s="1">
        <v>45064</v>
      </c>
      <c r="I1841">
        <v>2023</v>
      </c>
      <c r="J1841">
        <v>5</v>
      </c>
      <c r="K1841" t="s">
        <v>36</v>
      </c>
      <c r="L1841">
        <v>0</v>
      </c>
      <c r="M1841">
        <v>1</v>
      </c>
    </row>
    <row r="1842" spans="1:13" x14ac:dyDescent="0.25">
      <c r="A1842" t="s">
        <v>1456</v>
      </c>
      <c r="B1842" t="s">
        <v>13</v>
      </c>
      <c r="C1842" t="s">
        <v>29</v>
      </c>
      <c r="D1842" t="s">
        <v>49</v>
      </c>
      <c r="E1842" t="s">
        <v>21</v>
      </c>
      <c r="F1842">
        <v>1</v>
      </c>
      <c r="G1842">
        <v>15</v>
      </c>
      <c r="H1842" s="1">
        <v>45064</v>
      </c>
      <c r="I1842">
        <v>2023</v>
      </c>
      <c r="J1842">
        <v>5</v>
      </c>
      <c r="K1842" t="s">
        <v>30</v>
      </c>
      <c r="L1842">
        <v>1</v>
      </c>
      <c r="M1842">
        <v>1</v>
      </c>
    </row>
    <row r="1843" spans="1:13" x14ac:dyDescent="0.25">
      <c r="A1843" t="s">
        <v>1457</v>
      </c>
      <c r="B1843" t="s">
        <v>95</v>
      </c>
      <c r="C1843" t="s">
        <v>14</v>
      </c>
      <c r="D1843" t="s">
        <v>46</v>
      </c>
      <c r="E1843" t="s">
        <v>21</v>
      </c>
      <c r="F1843" t="s">
        <v>21</v>
      </c>
      <c r="G1843">
        <v>150</v>
      </c>
      <c r="H1843" s="1">
        <v>45064</v>
      </c>
      <c r="I1843">
        <v>2023</v>
      </c>
      <c r="J1843">
        <v>5</v>
      </c>
      <c r="K1843" t="s">
        <v>36</v>
      </c>
      <c r="L1843" t="s">
        <v>21</v>
      </c>
      <c r="M1843">
        <v>0</v>
      </c>
    </row>
    <row r="1844" spans="1:13" x14ac:dyDescent="0.25">
      <c r="A1844" t="s">
        <v>1032</v>
      </c>
      <c r="B1844" t="s">
        <v>66</v>
      </c>
      <c r="C1844" t="s">
        <v>14</v>
      </c>
      <c r="D1844" t="s">
        <v>15</v>
      </c>
      <c r="E1844" t="s">
        <v>21</v>
      </c>
      <c r="F1844">
        <v>0.3</v>
      </c>
      <c r="G1844">
        <v>648</v>
      </c>
      <c r="H1844" s="1">
        <v>45064</v>
      </c>
      <c r="I1844">
        <v>2023</v>
      </c>
      <c r="J1844">
        <v>5</v>
      </c>
      <c r="K1844" t="s">
        <v>36</v>
      </c>
      <c r="L1844">
        <v>0</v>
      </c>
      <c r="M1844">
        <v>1</v>
      </c>
    </row>
    <row r="1845" spans="1:13" x14ac:dyDescent="0.25">
      <c r="A1845" t="s">
        <v>557</v>
      </c>
      <c r="B1845" t="s">
        <v>77</v>
      </c>
      <c r="C1845" t="s">
        <v>14</v>
      </c>
      <c r="D1845" t="s">
        <v>22</v>
      </c>
      <c r="E1845">
        <v>40</v>
      </c>
      <c r="F1845">
        <v>0.1</v>
      </c>
      <c r="G1845">
        <v>480</v>
      </c>
      <c r="H1845" s="1">
        <v>45063</v>
      </c>
      <c r="I1845">
        <v>2023</v>
      </c>
      <c r="J1845">
        <v>5</v>
      </c>
      <c r="K1845" t="s">
        <v>36</v>
      </c>
      <c r="L1845">
        <v>0</v>
      </c>
      <c r="M1845">
        <v>1</v>
      </c>
    </row>
    <row r="1846" spans="1:13" x14ac:dyDescent="0.25">
      <c r="A1846" t="s">
        <v>1458</v>
      </c>
      <c r="B1846" t="s">
        <v>13</v>
      </c>
      <c r="C1846" t="s">
        <v>14</v>
      </c>
      <c r="D1846" t="s">
        <v>81</v>
      </c>
      <c r="E1846" t="s">
        <v>21</v>
      </c>
      <c r="F1846">
        <v>0.4</v>
      </c>
      <c r="G1846">
        <v>425</v>
      </c>
      <c r="H1846" s="1">
        <v>45063</v>
      </c>
      <c r="I1846">
        <v>2023</v>
      </c>
      <c r="J1846">
        <v>5</v>
      </c>
      <c r="K1846" t="s">
        <v>36</v>
      </c>
      <c r="L1846">
        <v>0</v>
      </c>
      <c r="M1846">
        <v>1</v>
      </c>
    </row>
    <row r="1847" spans="1:13" x14ac:dyDescent="0.25">
      <c r="A1847" t="s">
        <v>1396</v>
      </c>
      <c r="B1847" t="s">
        <v>35</v>
      </c>
      <c r="C1847" t="s">
        <v>14</v>
      </c>
      <c r="D1847" t="s">
        <v>20</v>
      </c>
      <c r="E1847">
        <v>3000</v>
      </c>
      <c r="F1847">
        <v>0.11</v>
      </c>
      <c r="G1847" t="s">
        <v>21</v>
      </c>
      <c r="H1847" s="1">
        <v>45062</v>
      </c>
      <c r="I1847">
        <v>2023</v>
      </c>
      <c r="J1847">
        <v>5</v>
      </c>
      <c r="K1847" t="s">
        <v>22</v>
      </c>
      <c r="L1847">
        <v>0</v>
      </c>
      <c r="M1847">
        <v>1</v>
      </c>
    </row>
    <row r="1848" spans="1:13" x14ac:dyDescent="0.25">
      <c r="A1848" t="s">
        <v>495</v>
      </c>
      <c r="B1848" t="s">
        <v>77</v>
      </c>
      <c r="C1848" t="s">
        <v>80</v>
      </c>
      <c r="D1848" t="s">
        <v>111</v>
      </c>
      <c r="E1848">
        <v>420</v>
      </c>
      <c r="F1848">
        <v>0.26</v>
      </c>
      <c r="G1848">
        <v>700</v>
      </c>
      <c r="H1848" s="1">
        <v>45062</v>
      </c>
      <c r="I1848">
        <v>2023</v>
      </c>
      <c r="J1848">
        <v>5</v>
      </c>
      <c r="K1848" t="s">
        <v>36</v>
      </c>
      <c r="L1848">
        <v>0</v>
      </c>
      <c r="M1848">
        <v>1</v>
      </c>
    </row>
    <row r="1849" spans="1:13" x14ac:dyDescent="0.25">
      <c r="A1849" t="s">
        <v>1459</v>
      </c>
      <c r="B1849" t="s">
        <v>77</v>
      </c>
      <c r="C1849" t="s">
        <v>14</v>
      </c>
      <c r="D1849" t="s">
        <v>15</v>
      </c>
      <c r="E1849">
        <v>45</v>
      </c>
      <c r="F1849">
        <v>0.03</v>
      </c>
      <c r="G1849">
        <v>481</v>
      </c>
      <c r="H1849" s="1">
        <v>45062</v>
      </c>
      <c r="I1849">
        <v>2023</v>
      </c>
      <c r="J1849">
        <v>5</v>
      </c>
      <c r="K1849" t="s">
        <v>36</v>
      </c>
      <c r="L1849">
        <v>0</v>
      </c>
      <c r="M1849">
        <v>1</v>
      </c>
    </row>
    <row r="1850" spans="1:13" x14ac:dyDescent="0.25">
      <c r="A1850" t="s">
        <v>1460</v>
      </c>
      <c r="B1850" t="s">
        <v>117</v>
      </c>
      <c r="C1850" t="s">
        <v>14</v>
      </c>
      <c r="D1850" t="s">
        <v>22</v>
      </c>
      <c r="E1850" t="s">
        <v>21</v>
      </c>
      <c r="F1850" t="s">
        <v>21</v>
      </c>
      <c r="G1850">
        <v>7</v>
      </c>
      <c r="H1850" s="1">
        <v>45062</v>
      </c>
      <c r="I1850">
        <v>2023</v>
      </c>
      <c r="J1850">
        <v>5</v>
      </c>
      <c r="K1850" t="s">
        <v>16</v>
      </c>
      <c r="L1850" t="s">
        <v>21</v>
      </c>
      <c r="M1850">
        <v>0</v>
      </c>
    </row>
    <row r="1851" spans="1:13" x14ac:dyDescent="0.25">
      <c r="A1851" t="s">
        <v>1461</v>
      </c>
      <c r="B1851" t="s">
        <v>77</v>
      </c>
      <c r="C1851" t="s">
        <v>230</v>
      </c>
      <c r="D1851" t="s">
        <v>68</v>
      </c>
      <c r="E1851" t="s">
        <v>21</v>
      </c>
      <c r="F1851">
        <v>0.85</v>
      </c>
      <c r="G1851">
        <v>20</v>
      </c>
      <c r="H1851" s="1">
        <v>45062</v>
      </c>
      <c r="I1851">
        <v>2023</v>
      </c>
      <c r="J1851">
        <v>5</v>
      </c>
      <c r="K1851" t="s">
        <v>30</v>
      </c>
      <c r="L1851">
        <v>0</v>
      </c>
      <c r="M1851">
        <v>1</v>
      </c>
    </row>
    <row r="1852" spans="1:13" x14ac:dyDescent="0.25">
      <c r="A1852" t="s">
        <v>1462</v>
      </c>
      <c r="B1852" t="s">
        <v>95</v>
      </c>
      <c r="C1852" t="s">
        <v>14</v>
      </c>
      <c r="D1852" t="s">
        <v>22</v>
      </c>
      <c r="E1852" t="s">
        <v>21</v>
      </c>
      <c r="F1852">
        <v>1</v>
      </c>
      <c r="G1852">
        <v>30</v>
      </c>
      <c r="H1852" s="1">
        <v>45059</v>
      </c>
      <c r="I1852">
        <v>2023</v>
      </c>
      <c r="J1852">
        <v>5</v>
      </c>
      <c r="K1852" t="s">
        <v>30</v>
      </c>
      <c r="L1852">
        <v>1</v>
      </c>
      <c r="M1852">
        <v>1</v>
      </c>
    </row>
    <row r="1853" spans="1:13" x14ac:dyDescent="0.25">
      <c r="A1853" t="s">
        <v>1463</v>
      </c>
      <c r="B1853" t="s">
        <v>66</v>
      </c>
      <c r="C1853" t="s">
        <v>14</v>
      </c>
      <c r="D1853" t="s">
        <v>55</v>
      </c>
      <c r="E1853">
        <v>340</v>
      </c>
      <c r="F1853">
        <v>0.3</v>
      </c>
      <c r="G1853">
        <v>2100</v>
      </c>
      <c r="H1853" s="1">
        <v>45058</v>
      </c>
      <c r="I1853">
        <v>2023</v>
      </c>
      <c r="J1853">
        <v>5</v>
      </c>
      <c r="K1853" t="s">
        <v>26</v>
      </c>
      <c r="L1853">
        <v>0</v>
      </c>
      <c r="M1853">
        <v>1</v>
      </c>
    </row>
    <row r="1854" spans="1:13" x14ac:dyDescent="0.25">
      <c r="A1854" t="s">
        <v>1464</v>
      </c>
      <c r="B1854" t="s">
        <v>66</v>
      </c>
      <c r="C1854" t="s">
        <v>1060</v>
      </c>
      <c r="D1854" t="s">
        <v>15</v>
      </c>
      <c r="E1854">
        <v>172</v>
      </c>
      <c r="F1854" t="s">
        <v>21</v>
      </c>
      <c r="G1854">
        <v>30</v>
      </c>
      <c r="H1854" s="1">
        <v>45058</v>
      </c>
      <c r="I1854">
        <v>2023</v>
      </c>
      <c r="J1854">
        <v>5</v>
      </c>
      <c r="K1854" t="s">
        <v>30</v>
      </c>
      <c r="L1854" t="s">
        <v>21</v>
      </c>
      <c r="M1854">
        <v>1</v>
      </c>
    </row>
    <row r="1855" spans="1:13" x14ac:dyDescent="0.25">
      <c r="A1855" t="s">
        <v>1465</v>
      </c>
      <c r="B1855" t="s">
        <v>77</v>
      </c>
      <c r="C1855" t="s">
        <v>48</v>
      </c>
      <c r="D1855" t="s">
        <v>20</v>
      </c>
      <c r="E1855">
        <v>160</v>
      </c>
      <c r="F1855">
        <v>0.35</v>
      </c>
      <c r="G1855">
        <v>21</v>
      </c>
      <c r="H1855" s="1">
        <v>45058</v>
      </c>
      <c r="I1855">
        <v>2023</v>
      </c>
      <c r="J1855">
        <v>5</v>
      </c>
      <c r="K1855" t="s">
        <v>30</v>
      </c>
      <c r="L1855">
        <v>0</v>
      </c>
      <c r="M1855">
        <v>1</v>
      </c>
    </row>
    <row r="1856" spans="1:13" x14ac:dyDescent="0.25">
      <c r="A1856" t="s">
        <v>1466</v>
      </c>
      <c r="B1856" t="s">
        <v>24</v>
      </c>
      <c r="C1856" t="s">
        <v>14</v>
      </c>
      <c r="D1856" t="s">
        <v>22</v>
      </c>
      <c r="E1856">
        <v>79</v>
      </c>
      <c r="F1856">
        <v>0.33</v>
      </c>
      <c r="G1856" t="s">
        <v>21</v>
      </c>
      <c r="H1856" s="1">
        <v>45058</v>
      </c>
      <c r="I1856">
        <v>2023</v>
      </c>
      <c r="J1856">
        <v>5</v>
      </c>
      <c r="K1856" t="s">
        <v>22</v>
      </c>
      <c r="L1856">
        <v>0</v>
      </c>
      <c r="M1856">
        <v>1</v>
      </c>
    </row>
    <row r="1857" spans="1:13" x14ac:dyDescent="0.25">
      <c r="A1857" t="s">
        <v>1467</v>
      </c>
      <c r="B1857" t="s">
        <v>35</v>
      </c>
      <c r="C1857" t="s">
        <v>48</v>
      </c>
      <c r="D1857" t="s">
        <v>46</v>
      </c>
      <c r="E1857">
        <v>20</v>
      </c>
      <c r="F1857" t="s">
        <v>21</v>
      </c>
      <c r="G1857">
        <v>87</v>
      </c>
      <c r="H1857" s="1">
        <v>45058</v>
      </c>
      <c r="I1857">
        <v>2023</v>
      </c>
      <c r="J1857">
        <v>5</v>
      </c>
      <c r="K1857" t="s">
        <v>30</v>
      </c>
      <c r="L1857" t="s">
        <v>21</v>
      </c>
      <c r="M1857">
        <v>1</v>
      </c>
    </row>
    <row r="1858" spans="1:13" x14ac:dyDescent="0.25">
      <c r="A1858" t="s">
        <v>1468</v>
      </c>
      <c r="B1858" t="s">
        <v>342</v>
      </c>
      <c r="C1858" t="s">
        <v>14</v>
      </c>
      <c r="D1858" t="s">
        <v>55</v>
      </c>
      <c r="E1858" t="s">
        <v>21</v>
      </c>
      <c r="F1858">
        <v>0.1</v>
      </c>
      <c r="G1858">
        <v>298</v>
      </c>
      <c r="H1858" s="1">
        <v>45058</v>
      </c>
      <c r="I1858">
        <v>2023</v>
      </c>
      <c r="J1858">
        <v>5</v>
      </c>
      <c r="K1858" t="s">
        <v>36</v>
      </c>
      <c r="L1858">
        <v>0</v>
      </c>
      <c r="M1858">
        <v>1</v>
      </c>
    </row>
    <row r="1859" spans="1:13" x14ac:dyDescent="0.25">
      <c r="A1859" t="s">
        <v>1469</v>
      </c>
      <c r="B1859" t="s">
        <v>52</v>
      </c>
      <c r="C1859" t="s">
        <v>14</v>
      </c>
      <c r="D1859" t="s">
        <v>68</v>
      </c>
      <c r="E1859" t="s">
        <v>21</v>
      </c>
      <c r="F1859">
        <v>1</v>
      </c>
      <c r="G1859">
        <v>43</v>
      </c>
      <c r="H1859" s="1">
        <v>45058</v>
      </c>
      <c r="I1859">
        <v>2023</v>
      </c>
      <c r="J1859">
        <v>5</v>
      </c>
      <c r="K1859" t="s">
        <v>30</v>
      </c>
      <c r="L1859">
        <v>1</v>
      </c>
      <c r="M1859">
        <v>1</v>
      </c>
    </row>
    <row r="1860" spans="1:13" x14ac:dyDescent="0.25">
      <c r="A1860" t="s">
        <v>811</v>
      </c>
      <c r="B1860" t="s">
        <v>95</v>
      </c>
      <c r="C1860" t="s">
        <v>812</v>
      </c>
      <c r="D1860" t="s">
        <v>20</v>
      </c>
      <c r="E1860">
        <v>250</v>
      </c>
      <c r="F1860">
        <v>0.11</v>
      </c>
      <c r="G1860">
        <v>31</v>
      </c>
      <c r="H1860" s="1">
        <v>45057</v>
      </c>
      <c r="I1860">
        <v>2023</v>
      </c>
      <c r="J1860">
        <v>5</v>
      </c>
      <c r="K1860" t="s">
        <v>30</v>
      </c>
      <c r="L1860">
        <v>0</v>
      </c>
      <c r="M1860">
        <v>1</v>
      </c>
    </row>
    <row r="1861" spans="1:13" x14ac:dyDescent="0.25">
      <c r="A1861" t="s">
        <v>1470</v>
      </c>
      <c r="B1861" t="s">
        <v>77</v>
      </c>
      <c r="C1861" t="s">
        <v>14</v>
      </c>
      <c r="D1861" t="s">
        <v>111</v>
      </c>
      <c r="E1861">
        <v>97</v>
      </c>
      <c r="F1861" t="s">
        <v>21</v>
      </c>
      <c r="G1861">
        <v>992</v>
      </c>
      <c r="H1861" s="1">
        <v>45057</v>
      </c>
      <c r="I1861">
        <v>2023</v>
      </c>
      <c r="J1861">
        <v>5</v>
      </c>
      <c r="K1861" t="s">
        <v>36</v>
      </c>
      <c r="L1861" t="s">
        <v>21</v>
      </c>
      <c r="M1861">
        <v>1</v>
      </c>
    </row>
    <row r="1862" spans="1:13" x14ac:dyDescent="0.25">
      <c r="A1862" t="s">
        <v>1471</v>
      </c>
      <c r="B1862" t="s">
        <v>342</v>
      </c>
      <c r="C1862" t="s">
        <v>14</v>
      </c>
      <c r="D1862" t="s">
        <v>15</v>
      </c>
      <c r="E1862" t="s">
        <v>21</v>
      </c>
      <c r="F1862">
        <v>0.08</v>
      </c>
      <c r="G1862">
        <v>233</v>
      </c>
      <c r="H1862" s="1">
        <v>45057</v>
      </c>
      <c r="I1862">
        <v>2023</v>
      </c>
      <c r="J1862">
        <v>5</v>
      </c>
      <c r="K1862" t="s">
        <v>36</v>
      </c>
      <c r="L1862">
        <v>0</v>
      </c>
      <c r="M1862">
        <v>1</v>
      </c>
    </row>
    <row r="1863" spans="1:13" x14ac:dyDescent="0.25">
      <c r="A1863" t="s">
        <v>12</v>
      </c>
      <c r="B1863" t="s">
        <v>13</v>
      </c>
      <c r="C1863" t="s">
        <v>14</v>
      </c>
      <c r="D1863" t="s">
        <v>15</v>
      </c>
      <c r="E1863">
        <v>158</v>
      </c>
      <c r="F1863" t="s">
        <v>21</v>
      </c>
      <c r="G1863">
        <v>1</v>
      </c>
      <c r="H1863" s="1">
        <v>45056</v>
      </c>
      <c r="I1863">
        <v>2023</v>
      </c>
      <c r="J1863">
        <v>5</v>
      </c>
      <c r="K1863" t="s">
        <v>16</v>
      </c>
      <c r="L1863" t="s">
        <v>21</v>
      </c>
      <c r="M1863">
        <v>1</v>
      </c>
    </row>
    <row r="1864" spans="1:13" x14ac:dyDescent="0.25">
      <c r="A1864" t="s">
        <v>1472</v>
      </c>
      <c r="B1864" t="s">
        <v>24</v>
      </c>
      <c r="C1864" t="s">
        <v>42</v>
      </c>
      <c r="D1864" t="s">
        <v>15</v>
      </c>
      <c r="E1864">
        <v>70</v>
      </c>
      <c r="F1864">
        <v>0.23</v>
      </c>
      <c r="G1864">
        <v>55</v>
      </c>
      <c r="H1864" s="1">
        <v>45056</v>
      </c>
      <c r="I1864">
        <v>2023</v>
      </c>
      <c r="J1864">
        <v>5</v>
      </c>
      <c r="K1864" t="s">
        <v>30</v>
      </c>
      <c r="L1864">
        <v>0</v>
      </c>
      <c r="M1864">
        <v>1</v>
      </c>
    </row>
    <row r="1865" spans="1:13" x14ac:dyDescent="0.25">
      <c r="A1865" t="s">
        <v>1473</v>
      </c>
      <c r="B1865" t="s">
        <v>13</v>
      </c>
      <c r="C1865" t="s">
        <v>14</v>
      </c>
      <c r="D1865" t="s">
        <v>15</v>
      </c>
      <c r="E1865">
        <v>60</v>
      </c>
      <c r="F1865">
        <v>0.06</v>
      </c>
      <c r="G1865">
        <v>235</v>
      </c>
      <c r="H1865" s="1">
        <v>45056</v>
      </c>
      <c r="I1865">
        <v>2023</v>
      </c>
      <c r="J1865">
        <v>5</v>
      </c>
      <c r="K1865" t="s">
        <v>36</v>
      </c>
      <c r="L1865">
        <v>0</v>
      </c>
      <c r="M1865">
        <v>1</v>
      </c>
    </row>
    <row r="1866" spans="1:13" x14ac:dyDescent="0.25">
      <c r="A1866" t="s">
        <v>1116</v>
      </c>
      <c r="B1866" t="s">
        <v>45</v>
      </c>
      <c r="C1866" t="s">
        <v>14</v>
      </c>
      <c r="D1866" t="s">
        <v>20</v>
      </c>
      <c r="E1866">
        <v>58</v>
      </c>
      <c r="F1866">
        <v>0.1</v>
      </c>
      <c r="G1866">
        <v>153</v>
      </c>
      <c r="H1866" s="1">
        <v>45056</v>
      </c>
      <c r="I1866">
        <v>2023</v>
      </c>
      <c r="J1866">
        <v>5</v>
      </c>
      <c r="K1866" t="s">
        <v>36</v>
      </c>
      <c r="L1866">
        <v>0</v>
      </c>
      <c r="M1866">
        <v>1</v>
      </c>
    </row>
    <row r="1867" spans="1:13" x14ac:dyDescent="0.25">
      <c r="A1867" t="s">
        <v>583</v>
      </c>
      <c r="B1867" t="s">
        <v>28</v>
      </c>
      <c r="C1867" t="s">
        <v>14</v>
      </c>
      <c r="D1867" t="s">
        <v>15</v>
      </c>
      <c r="E1867">
        <v>290</v>
      </c>
      <c r="F1867">
        <v>0.03</v>
      </c>
      <c r="G1867">
        <v>35</v>
      </c>
      <c r="H1867" s="1">
        <v>45055</v>
      </c>
      <c r="I1867">
        <v>2023</v>
      </c>
      <c r="J1867">
        <v>5</v>
      </c>
      <c r="K1867" t="s">
        <v>30</v>
      </c>
      <c r="L1867">
        <v>0</v>
      </c>
      <c r="M1867">
        <v>1</v>
      </c>
    </row>
    <row r="1868" spans="1:13" x14ac:dyDescent="0.25">
      <c r="A1868" t="s">
        <v>1474</v>
      </c>
      <c r="B1868" t="s">
        <v>28</v>
      </c>
      <c r="C1868" t="s">
        <v>14</v>
      </c>
      <c r="D1868" t="s">
        <v>20</v>
      </c>
      <c r="E1868">
        <v>100</v>
      </c>
      <c r="F1868">
        <v>0.14000000000000001</v>
      </c>
      <c r="G1868">
        <v>154</v>
      </c>
      <c r="H1868" s="1">
        <v>45055</v>
      </c>
      <c r="I1868">
        <v>2023</v>
      </c>
      <c r="J1868">
        <v>5</v>
      </c>
      <c r="K1868" t="s">
        <v>36</v>
      </c>
      <c r="L1868">
        <v>0</v>
      </c>
      <c r="M1868">
        <v>1</v>
      </c>
    </row>
    <row r="1869" spans="1:13" x14ac:dyDescent="0.25">
      <c r="A1869" t="s">
        <v>1319</v>
      </c>
      <c r="B1869" t="s">
        <v>13</v>
      </c>
      <c r="C1869" t="s">
        <v>29</v>
      </c>
      <c r="D1869" t="s">
        <v>15</v>
      </c>
      <c r="E1869">
        <v>80</v>
      </c>
      <c r="F1869">
        <v>0.06</v>
      </c>
      <c r="G1869">
        <v>91</v>
      </c>
      <c r="H1869" s="1">
        <v>45055</v>
      </c>
      <c r="I1869">
        <v>2023</v>
      </c>
      <c r="J1869">
        <v>5</v>
      </c>
      <c r="K1869" t="s">
        <v>30</v>
      </c>
      <c r="L1869">
        <v>0</v>
      </c>
      <c r="M1869">
        <v>1</v>
      </c>
    </row>
    <row r="1870" spans="1:13" x14ac:dyDescent="0.25">
      <c r="A1870" t="s">
        <v>1352</v>
      </c>
      <c r="B1870" t="s">
        <v>32</v>
      </c>
      <c r="C1870" t="s">
        <v>14</v>
      </c>
      <c r="D1870" t="s">
        <v>22</v>
      </c>
      <c r="E1870" t="s">
        <v>21</v>
      </c>
      <c r="F1870" t="s">
        <v>21</v>
      </c>
      <c r="G1870">
        <v>32</v>
      </c>
      <c r="H1870" s="1">
        <v>45055</v>
      </c>
      <c r="I1870">
        <v>2023</v>
      </c>
      <c r="J1870">
        <v>5</v>
      </c>
      <c r="K1870" t="s">
        <v>30</v>
      </c>
      <c r="L1870" t="s">
        <v>21</v>
      </c>
      <c r="M1870">
        <v>0</v>
      </c>
    </row>
    <row r="1871" spans="1:13" x14ac:dyDescent="0.25">
      <c r="A1871" t="s">
        <v>1475</v>
      </c>
      <c r="B1871" t="s">
        <v>77</v>
      </c>
      <c r="C1871" t="s">
        <v>14</v>
      </c>
      <c r="D1871" t="s">
        <v>15</v>
      </c>
      <c r="E1871" t="s">
        <v>21</v>
      </c>
      <c r="F1871">
        <v>0.15</v>
      </c>
      <c r="G1871">
        <v>530</v>
      </c>
      <c r="H1871" s="1">
        <v>45055</v>
      </c>
      <c r="I1871">
        <v>2023</v>
      </c>
      <c r="J1871">
        <v>5</v>
      </c>
      <c r="K1871" t="s">
        <v>36</v>
      </c>
      <c r="L1871">
        <v>0</v>
      </c>
      <c r="M1871">
        <v>1</v>
      </c>
    </row>
    <row r="1872" spans="1:13" x14ac:dyDescent="0.25">
      <c r="A1872" t="s">
        <v>141</v>
      </c>
      <c r="B1872" t="s">
        <v>45</v>
      </c>
      <c r="C1872" t="s">
        <v>14</v>
      </c>
      <c r="D1872" t="s">
        <v>20</v>
      </c>
      <c r="E1872">
        <v>716</v>
      </c>
      <c r="F1872">
        <v>0.04</v>
      </c>
      <c r="G1872">
        <v>154</v>
      </c>
      <c r="H1872" s="1">
        <v>45054</v>
      </c>
      <c r="I1872">
        <v>2023</v>
      </c>
      <c r="J1872">
        <v>5</v>
      </c>
      <c r="K1872" t="s">
        <v>36</v>
      </c>
      <c r="L1872">
        <v>0</v>
      </c>
      <c r="M1872">
        <v>1</v>
      </c>
    </row>
    <row r="1873" spans="1:13" x14ac:dyDescent="0.25">
      <c r="A1873" t="s">
        <v>1210</v>
      </c>
      <c r="B1873" t="s">
        <v>106</v>
      </c>
      <c r="C1873" t="s">
        <v>48</v>
      </c>
      <c r="D1873" t="s">
        <v>22</v>
      </c>
      <c r="E1873">
        <v>100</v>
      </c>
      <c r="F1873" t="s">
        <v>21</v>
      </c>
      <c r="G1873">
        <v>121</v>
      </c>
      <c r="H1873" s="1">
        <v>45054</v>
      </c>
      <c r="I1873">
        <v>2023</v>
      </c>
      <c r="J1873">
        <v>5</v>
      </c>
      <c r="K1873" t="s">
        <v>36</v>
      </c>
      <c r="L1873" t="s">
        <v>21</v>
      </c>
      <c r="M1873">
        <v>1</v>
      </c>
    </row>
    <row r="1874" spans="1:13" x14ac:dyDescent="0.25">
      <c r="A1874" t="s">
        <v>1476</v>
      </c>
      <c r="B1874" t="s">
        <v>35</v>
      </c>
      <c r="C1874" t="s">
        <v>29</v>
      </c>
      <c r="D1874" t="s">
        <v>55</v>
      </c>
      <c r="E1874">
        <v>70</v>
      </c>
      <c r="F1874">
        <v>0.6</v>
      </c>
      <c r="G1874" t="s">
        <v>21</v>
      </c>
      <c r="H1874" s="1">
        <v>45054</v>
      </c>
      <c r="I1874">
        <v>2023</v>
      </c>
      <c r="J1874">
        <v>5</v>
      </c>
      <c r="K1874" t="s">
        <v>22</v>
      </c>
      <c r="L1874">
        <v>0</v>
      </c>
      <c r="M1874">
        <v>1</v>
      </c>
    </row>
    <row r="1875" spans="1:13" x14ac:dyDescent="0.25">
      <c r="A1875" t="s">
        <v>1477</v>
      </c>
      <c r="B1875" t="s">
        <v>77</v>
      </c>
      <c r="C1875" t="s">
        <v>14</v>
      </c>
      <c r="D1875" t="s">
        <v>49</v>
      </c>
      <c r="E1875">
        <v>5</v>
      </c>
      <c r="F1875" t="s">
        <v>21</v>
      </c>
      <c r="G1875">
        <v>11</v>
      </c>
      <c r="H1875" s="1">
        <v>45054</v>
      </c>
      <c r="I1875">
        <v>2023</v>
      </c>
      <c r="J1875">
        <v>5</v>
      </c>
      <c r="K1875" t="s">
        <v>30</v>
      </c>
      <c r="L1875" t="s">
        <v>21</v>
      </c>
      <c r="M1875">
        <v>1</v>
      </c>
    </row>
    <row r="1876" spans="1:13" x14ac:dyDescent="0.25">
      <c r="A1876" t="s">
        <v>1478</v>
      </c>
      <c r="B1876" t="s">
        <v>52</v>
      </c>
      <c r="C1876" t="s">
        <v>42</v>
      </c>
      <c r="D1876" t="s">
        <v>22</v>
      </c>
      <c r="E1876" t="s">
        <v>21</v>
      </c>
      <c r="F1876">
        <v>1</v>
      </c>
      <c r="G1876">
        <v>27</v>
      </c>
      <c r="H1876" s="1">
        <v>45054</v>
      </c>
      <c r="I1876">
        <v>2023</v>
      </c>
      <c r="J1876">
        <v>5</v>
      </c>
      <c r="K1876" t="s">
        <v>30</v>
      </c>
      <c r="L1876">
        <v>1</v>
      </c>
      <c r="M1876">
        <v>1</v>
      </c>
    </row>
    <row r="1877" spans="1:13" x14ac:dyDescent="0.25">
      <c r="A1877" t="s">
        <v>1479</v>
      </c>
      <c r="B1877" t="s">
        <v>35</v>
      </c>
      <c r="C1877" t="s">
        <v>14</v>
      </c>
      <c r="D1877" t="s">
        <v>15</v>
      </c>
      <c r="E1877">
        <v>270</v>
      </c>
      <c r="F1877">
        <v>0.25</v>
      </c>
      <c r="G1877">
        <v>503</v>
      </c>
      <c r="H1877" s="1">
        <v>45051</v>
      </c>
      <c r="I1877">
        <v>2023</v>
      </c>
      <c r="J1877">
        <v>5</v>
      </c>
      <c r="K1877" t="s">
        <v>36</v>
      </c>
      <c r="L1877">
        <v>0</v>
      </c>
      <c r="M1877">
        <v>1</v>
      </c>
    </row>
    <row r="1878" spans="1:13" x14ac:dyDescent="0.25">
      <c r="A1878" t="s">
        <v>1480</v>
      </c>
      <c r="B1878" t="s">
        <v>24</v>
      </c>
      <c r="C1878" t="s">
        <v>48</v>
      </c>
      <c r="D1878" t="s">
        <v>43</v>
      </c>
      <c r="E1878">
        <v>251</v>
      </c>
      <c r="F1878">
        <v>0.15</v>
      </c>
      <c r="G1878">
        <v>1100</v>
      </c>
      <c r="H1878" s="1">
        <v>45051</v>
      </c>
      <c r="I1878">
        <v>2023</v>
      </c>
      <c r="J1878">
        <v>5</v>
      </c>
      <c r="K1878" t="s">
        <v>26</v>
      </c>
      <c r="L1878">
        <v>0</v>
      </c>
      <c r="M1878">
        <v>1</v>
      </c>
    </row>
    <row r="1879" spans="1:13" x14ac:dyDescent="0.25">
      <c r="A1879" t="s">
        <v>1481</v>
      </c>
      <c r="B1879" t="s">
        <v>106</v>
      </c>
      <c r="C1879" t="s">
        <v>48</v>
      </c>
      <c r="D1879" t="s">
        <v>33</v>
      </c>
      <c r="E1879">
        <v>70</v>
      </c>
      <c r="F1879" t="s">
        <v>21</v>
      </c>
      <c r="G1879">
        <v>118</v>
      </c>
      <c r="H1879" s="1">
        <v>45051</v>
      </c>
      <c r="I1879">
        <v>2023</v>
      </c>
      <c r="J1879">
        <v>5</v>
      </c>
      <c r="K1879" t="s">
        <v>36</v>
      </c>
      <c r="L1879" t="s">
        <v>21</v>
      </c>
      <c r="M1879">
        <v>1</v>
      </c>
    </row>
    <row r="1880" spans="1:13" x14ac:dyDescent="0.25">
      <c r="A1880" t="s">
        <v>1482</v>
      </c>
      <c r="B1880" t="s">
        <v>77</v>
      </c>
      <c r="C1880" t="s">
        <v>14</v>
      </c>
      <c r="D1880" t="s">
        <v>33</v>
      </c>
      <c r="E1880" t="s">
        <v>21</v>
      </c>
      <c r="F1880">
        <v>0.33</v>
      </c>
      <c r="G1880">
        <v>45</v>
      </c>
      <c r="H1880" s="1">
        <v>45051</v>
      </c>
      <c r="I1880">
        <v>2023</v>
      </c>
      <c r="J1880">
        <v>5</v>
      </c>
      <c r="K1880" t="s">
        <v>30</v>
      </c>
      <c r="L1880">
        <v>0</v>
      </c>
      <c r="M1880">
        <v>1</v>
      </c>
    </row>
    <row r="1881" spans="1:13" x14ac:dyDescent="0.25">
      <c r="A1881" t="s">
        <v>173</v>
      </c>
      <c r="B1881" t="s">
        <v>24</v>
      </c>
      <c r="C1881" t="s">
        <v>174</v>
      </c>
      <c r="D1881" t="s">
        <v>15</v>
      </c>
      <c r="E1881">
        <v>2300</v>
      </c>
      <c r="F1881">
        <v>0.2</v>
      </c>
      <c r="G1881">
        <v>122</v>
      </c>
      <c r="H1881" s="1">
        <v>45050</v>
      </c>
      <c r="I1881">
        <v>2023</v>
      </c>
      <c r="J1881">
        <v>5</v>
      </c>
      <c r="K1881" t="s">
        <v>36</v>
      </c>
      <c r="L1881">
        <v>0</v>
      </c>
      <c r="M1881">
        <v>1</v>
      </c>
    </row>
    <row r="1882" spans="1:13" x14ac:dyDescent="0.25">
      <c r="A1882" t="s">
        <v>1483</v>
      </c>
      <c r="B1882" t="s">
        <v>73</v>
      </c>
      <c r="C1882" t="s">
        <v>14</v>
      </c>
      <c r="D1882" t="s">
        <v>15</v>
      </c>
      <c r="E1882">
        <v>1100</v>
      </c>
      <c r="F1882">
        <v>0.15</v>
      </c>
      <c r="G1882">
        <v>1700</v>
      </c>
      <c r="H1882" s="1">
        <v>45050</v>
      </c>
      <c r="I1882">
        <v>2023</v>
      </c>
      <c r="J1882">
        <v>5</v>
      </c>
      <c r="K1882" t="s">
        <v>26</v>
      </c>
      <c r="L1882">
        <v>0</v>
      </c>
      <c r="M1882">
        <v>1</v>
      </c>
    </row>
    <row r="1883" spans="1:13" x14ac:dyDescent="0.25">
      <c r="A1883" t="s">
        <v>1484</v>
      </c>
      <c r="B1883" t="s">
        <v>54</v>
      </c>
      <c r="C1883" t="s">
        <v>14</v>
      </c>
      <c r="D1883" t="s">
        <v>22</v>
      </c>
      <c r="E1883">
        <v>90</v>
      </c>
      <c r="F1883">
        <v>1</v>
      </c>
      <c r="G1883" t="s">
        <v>21</v>
      </c>
      <c r="H1883" s="1">
        <v>45050</v>
      </c>
      <c r="I1883">
        <v>2023</v>
      </c>
      <c r="J1883">
        <v>5</v>
      </c>
      <c r="K1883" t="s">
        <v>22</v>
      </c>
      <c r="L1883">
        <v>1</v>
      </c>
      <c r="M1883">
        <v>1</v>
      </c>
    </row>
    <row r="1884" spans="1:13" x14ac:dyDescent="0.25">
      <c r="A1884" t="s">
        <v>1485</v>
      </c>
      <c r="B1884" t="s">
        <v>52</v>
      </c>
      <c r="C1884" t="s">
        <v>14</v>
      </c>
      <c r="D1884" t="s">
        <v>33</v>
      </c>
      <c r="E1884">
        <v>30</v>
      </c>
      <c r="F1884">
        <v>0.33</v>
      </c>
      <c r="G1884">
        <v>205</v>
      </c>
      <c r="H1884" s="1">
        <v>45050</v>
      </c>
      <c r="I1884">
        <v>2023</v>
      </c>
      <c r="J1884">
        <v>5</v>
      </c>
      <c r="K1884" t="s">
        <v>36</v>
      </c>
      <c r="L1884">
        <v>0</v>
      </c>
      <c r="M1884">
        <v>1</v>
      </c>
    </row>
    <row r="1885" spans="1:13" x14ac:dyDescent="0.25">
      <c r="A1885" t="s">
        <v>1486</v>
      </c>
      <c r="B1885" t="s">
        <v>77</v>
      </c>
      <c r="C1885" t="s">
        <v>29</v>
      </c>
      <c r="D1885" t="s">
        <v>22</v>
      </c>
      <c r="E1885">
        <v>30</v>
      </c>
      <c r="F1885">
        <v>0.1</v>
      </c>
      <c r="G1885">
        <v>100</v>
      </c>
      <c r="H1885" s="1">
        <v>45050</v>
      </c>
      <c r="I1885">
        <v>2023</v>
      </c>
      <c r="J1885">
        <v>5</v>
      </c>
      <c r="K1885" t="s">
        <v>36</v>
      </c>
      <c r="L1885">
        <v>0</v>
      </c>
      <c r="M1885">
        <v>1</v>
      </c>
    </row>
    <row r="1886" spans="1:13" x14ac:dyDescent="0.25">
      <c r="A1886" t="s">
        <v>1487</v>
      </c>
      <c r="B1886" t="s">
        <v>24</v>
      </c>
      <c r="C1886" t="s">
        <v>29</v>
      </c>
      <c r="D1886" t="s">
        <v>68</v>
      </c>
      <c r="E1886">
        <v>20</v>
      </c>
      <c r="F1886">
        <v>0.28000000000000003</v>
      </c>
      <c r="G1886">
        <v>34</v>
      </c>
      <c r="H1886" s="1">
        <v>45050</v>
      </c>
      <c r="I1886">
        <v>2023</v>
      </c>
      <c r="J1886">
        <v>5</v>
      </c>
      <c r="K1886" t="s">
        <v>30</v>
      </c>
      <c r="L1886">
        <v>0</v>
      </c>
      <c r="M1886">
        <v>1</v>
      </c>
    </row>
    <row r="1887" spans="1:13" x14ac:dyDescent="0.25">
      <c r="A1887" t="s">
        <v>1488</v>
      </c>
      <c r="B1887" t="s">
        <v>38</v>
      </c>
      <c r="C1887" t="s">
        <v>80</v>
      </c>
      <c r="D1887" t="s">
        <v>46</v>
      </c>
      <c r="E1887" t="s">
        <v>21</v>
      </c>
      <c r="F1887">
        <v>0.14000000000000001</v>
      </c>
      <c r="G1887">
        <v>70</v>
      </c>
      <c r="H1887" s="1">
        <v>45050</v>
      </c>
      <c r="I1887">
        <v>2023</v>
      </c>
      <c r="J1887">
        <v>5</v>
      </c>
      <c r="K1887" t="s">
        <v>30</v>
      </c>
      <c r="L1887">
        <v>0</v>
      </c>
      <c r="M1887">
        <v>1</v>
      </c>
    </row>
    <row r="1888" spans="1:13" x14ac:dyDescent="0.25">
      <c r="A1888" t="s">
        <v>497</v>
      </c>
      <c r="B1888" t="s">
        <v>13</v>
      </c>
      <c r="C1888" t="s">
        <v>14</v>
      </c>
      <c r="D1888" t="s">
        <v>15</v>
      </c>
      <c r="E1888">
        <v>600</v>
      </c>
      <c r="F1888">
        <v>0.08</v>
      </c>
      <c r="G1888">
        <v>1300</v>
      </c>
      <c r="H1888" s="1">
        <v>45049</v>
      </c>
      <c r="I1888">
        <v>2023</v>
      </c>
      <c r="J1888">
        <v>5</v>
      </c>
      <c r="K1888" t="s">
        <v>26</v>
      </c>
      <c r="L1888">
        <v>0</v>
      </c>
      <c r="M1888">
        <v>1</v>
      </c>
    </row>
    <row r="1889" spans="1:13" x14ac:dyDescent="0.25">
      <c r="A1889" t="s">
        <v>159</v>
      </c>
      <c r="B1889" t="s">
        <v>13</v>
      </c>
      <c r="C1889" t="s">
        <v>14</v>
      </c>
      <c r="D1889" t="s">
        <v>15</v>
      </c>
      <c r="E1889">
        <v>137</v>
      </c>
      <c r="F1889">
        <v>0.15</v>
      </c>
      <c r="G1889">
        <v>168</v>
      </c>
      <c r="H1889" s="1">
        <v>45049</v>
      </c>
      <c r="I1889">
        <v>2023</v>
      </c>
      <c r="J1889">
        <v>5</v>
      </c>
      <c r="K1889" t="s">
        <v>36</v>
      </c>
      <c r="L1889">
        <v>0</v>
      </c>
      <c r="M1889">
        <v>1</v>
      </c>
    </row>
    <row r="1890" spans="1:13" x14ac:dyDescent="0.25">
      <c r="A1890" t="s">
        <v>420</v>
      </c>
      <c r="B1890" t="s">
        <v>66</v>
      </c>
      <c r="C1890" t="s">
        <v>25</v>
      </c>
      <c r="D1890" t="s">
        <v>194</v>
      </c>
      <c r="E1890">
        <v>100</v>
      </c>
      <c r="F1890" t="s">
        <v>21</v>
      </c>
      <c r="G1890">
        <v>1300</v>
      </c>
      <c r="H1890" s="1">
        <v>45049</v>
      </c>
      <c r="I1890">
        <v>2023</v>
      </c>
      <c r="J1890">
        <v>5</v>
      </c>
      <c r="K1890" t="s">
        <v>26</v>
      </c>
      <c r="L1890" t="s">
        <v>21</v>
      </c>
      <c r="M1890">
        <v>1</v>
      </c>
    </row>
    <row r="1891" spans="1:13" x14ac:dyDescent="0.25">
      <c r="A1891" t="s">
        <v>464</v>
      </c>
      <c r="B1891" t="s">
        <v>54</v>
      </c>
      <c r="C1891" t="s">
        <v>14</v>
      </c>
      <c r="D1891" t="s">
        <v>15</v>
      </c>
      <c r="E1891">
        <v>70</v>
      </c>
      <c r="F1891">
        <v>0.1</v>
      </c>
      <c r="G1891">
        <v>145</v>
      </c>
      <c r="H1891" s="1">
        <v>45049</v>
      </c>
      <c r="I1891">
        <v>2023</v>
      </c>
      <c r="J1891">
        <v>5</v>
      </c>
      <c r="K1891" t="s">
        <v>36</v>
      </c>
      <c r="L1891">
        <v>0</v>
      </c>
      <c r="M1891">
        <v>1</v>
      </c>
    </row>
    <row r="1892" spans="1:13" x14ac:dyDescent="0.25">
      <c r="A1892" t="s">
        <v>633</v>
      </c>
      <c r="B1892" t="s">
        <v>35</v>
      </c>
      <c r="C1892" t="s">
        <v>29</v>
      </c>
      <c r="D1892" t="s">
        <v>55</v>
      </c>
      <c r="E1892">
        <v>70</v>
      </c>
      <c r="F1892">
        <v>0.33</v>
      </c>
      <c r="G1892">
        <v>185</v>
      </c>
      <c r="H1892" s="1">
        <v>45049</v>
      </c>
      <c r="I1892">
        <v>2023</v>
      </c>
      <c r="J1892">
        <v>5</v>
      </c>
      <c r="K1892" t="s">
        <v>36</v>
      </c>
      <c r="L1892">
        <v>0</v>
      </c>
      <c r="M1892">
        <v>1</v>
      </c>
    </row>
    <row r="1893" spans="1:13" x14ac:dyDescent="0.25">
      <c r="A1893" t="s">
        <v>1489</v>
      </c>
      <c r="B1893" t="s">
        <v>13</v>
      </c>
      <c r="C1893" t="s">
        <v>14</v>
      </c>
      <c r="D1893" t="s">
        <v>20</v>
      </c>
      <c r="E1893">
        <v>27</v>
      </c>
      <c r="F1893" t="s">
        <v>21</v>
      </c>
      <c r="G1893">
        <v>974</v>
      </c>
      <c r="H1893" s="1">
        <v>45049</v>
      </c>
      <c r="I1893">
        <v>2023</v>
      </c>
      <c r="J1893">
        <v>5</v>
      </c>
      <c r="K1893" t="s">
        <v>36</v>
      </c>
      <c r="L1893" t="s">
        <v>21</v>
      </c>
      <c r="M1893">
        <v>1</v>
      </c>
    </row>
    <row r="1894" spans="1:13" x14ac:dyDescent="0.25">
      <c r="A1894" t="s">
        <v>1490</v>
      </c>
      <c r="B1894" t="s">
        <v>32</v>
      </c>
      <c r="C1894" t="s">
        <v>14</v>
      </c>
      <c r="D1894" t="s">
        <v>46</v>
      </c>
      <c r="E1894">
        <v>22</v>
      </c>
      <c r="F1894">
        <v>0.13</v>
      </c>
      <c r="G1894">
        <v>28</v>
      </c>
      <c r="H1894" s="1">
        <v>45049</v>
      </c>
      <c r="I1894">
        <v>2023</v>
      </c>
      <c r="J1894">
        <v>5</v>
      </c>
      <c r="K1894" t="s">
        <v>30</v>
      </c>
      <c r="L1894">
        <v>0</v>
      </c>
      <c r="M1894">
        <v>1</v>
      </c>
    </row>
    <row r="1895" spans="1:13" x14ac:dyDescent="0.25">
      <c r="A1895" t="s">
        <v>1491</v>
      </c>
      <c r="B1895" t="s">
        <v>35</v>
      </c>
      <c r="C1895" t="s">
        <v>14</v>
      </c>
      <c r="D1895" t="s">
        <v>46</v>
      </c>
      <c r="E1895" t="s">
        <v>21</v>
      </c>
      <c r="F1895">
        <v>0.2</v>
      </c>
      <c r="G1895">
        <v>212</v>
      </c>
      <c r="H1895" s="1">
        <v>45049</v>
      </c>
      <c r="I1895">
        <v>2023</v>
      </c>
      <c r="J1895">
        <v>5</v>
      </c>
      <c r="K1895" t="s">
        <v>36</v>
      </c>
      <c r="L1895">
        <v>0</v>
      </c>
      <c r="M1895">
        <v>1</v>
      </c>
    </row>
    <row r="1896" spans="1:13" x14ac:dyDescent="0.25">
      <c r="A1896" t="s">
        <v>1492</v>
      </c>
      <c r="B1896" t="s">
        <v>28</v>
      </c>
      <c r="C1896" t="s">
        <v>14</v>
      </c>
      <c r="D1896" t="s">
        <v>33</v>
      </c>
      <c r="E1896">
        <v>50</v>
      </c>
      <c r="F1896">
        <v>0.13</v>
      </c>
      <c r="G1896">
        <v>146</v>
      </c>
      <c r="H1896" s="1">
        <v>45048</v>
      </c>
      <c r="I1896">
        <v>2023</v>
      </c>
      <c r="J1896">
        <v>5</v>
      </c>
      <c r="K1896" t="s">
        <v>36</v>
      </c>
      <c r="L1896">
        <v>0</v>
      </c>
      <c r="M1896">
        <v>1</v>
      </c>
    </row>
    <row r="1897" spans="1:13" x14ac:dyDescent="0.25">
      <c r="A1897" t="s">
        <v>1493</v>
      </c>
      <c r="B1897" t="s">
        <v>66</v>
      </c>
      <c r="C1897" t="s">
        <v>42</v>
      </c>
      <c r="D1897" t="s">
        <v>33</v>
      </c>
      <c r="E1897">
        <v>27</v>
      </c>
      <c r="F1897">
        <v>0.08</v>
      </c>
      <c r="G1897">
        <v>105</v>
      </c>
      <c r="H1897" s="1">
        <v>45048</v>
      </c>
      <c r="I1897">
        <v>2023</v>
      </c>
      <c r="J1897">
        <v>5</v>
      </c>
      <c r="K1897" t="s">
        <v>36</v>
      </c>
      <c r="L1897">
        <v>0</v>
      </c>
      <c r="M1897">
        <v>1</v>
      </c>
    </row>
    <row r="1898" spans="1:13" x14ac:dyDescent="0.25">
      <c r="A1898" t="s">
        <v>1494</v>
      </c>
      <c r="B1898" t="s">
        <v>38</v>
      </c>
      <c r="C1898" t="s">
        <v>539</v>
      </c>
      <c r="D1898" t="s">
        <v>49</v>
      </c>
      <c r="E1898" t="s">
        <v>21</v>
      </c>
      <c r="F1898">
        <v>1</v>
      </c>
      <c r="G1898" t="s">
        <v>21</v>
      </c>
      <c r="H1898" s="1">
        <v>45048</v>
      </c>
      <c r="I1898">
        <v>2023</v>
      </c>
      <c r="J1898">
        <v>5</v>
      </c>
      <c r="K1898" t="s">
        <v>22</v>
      </c>
      <c r="L1898">
        <v>1</v>
      </c>
      <c r="M1898">
        <v>1</v>
      </c>
    </row>
    <row r="1899" spans="1:13" x14ac:dyDescent="0.25">
      <c r="A1899" t="s">
        <v>37</v>
      </c>
      <c r="B1899" t="s">
        <v>38</v>
      </c>
      <c r="C1899" t="s">
        <v>14</v>
      </c>
      <c r="D1899" t="s">
        <v>22</v>
      </c>
      <c r="E1899">
        <v>250</v>
      </c>
      <c r="F1899" t="s">
        <v>21</v>
      </c>
      <c r="G1899" t="s">
        <v>21</v>
      </c>
      <c r="H1899" s="1">
        <v>45047</v>
      </c>
      <c r="I1899">
        <v>2023</v>
      </c>
      <c r="J1899">
        <v>5</v>
      </c>
      <c r="K1899" t="s">
        <v>22</v>
      </c>
      <c r="L1899" t="s">
        <v>21</v>
      </c>
      <c r="M1899">
        <v>1</v>
      </c>
    </row>
    <row r="1900" spans="1:13" x14ac:dyDescent="0.25">
      <c r="A1900" t="s">
        <v>1495</v>
      </c>
      <c r="B1900" t="s">
        <v>91</v>
      </c>
      <c r="C1900" t="s">
        <v>14</v>
      </c>
      <c r="D1900" t="s">
        <v>33</v>
      </c>
      <c r="E1900">
        <v>34</v>
      </c>
      <c r="F1900" t="s">
        <v>21</v>
      </c>
      <c r="G1900">
        <v>114</v>
      </c>
      <c r="H1900" s="1">
        <v>45047</v>
      </c>
      <c r="I1900">
        <v>2023</v>
      </c>
      <c r="J1900">
        <v>5</v>
      </c>
      <c r="K1900" t="s">
        <v>36</v>
      </c>
      <c r="L1900" t="s">
        <v>21</v>
      </c>
      <c r="M1900">
        <v>1</v>
      </c>
    </row>
    <row r="1901" spans="1:13" x14ac:dyDescent="0.25">
      <c r="A1901" t="s">
        <v>1496</v>
      </c>
      <c r="B1901" t="s">
        <v>35</v>
      </c>
      <c r="C1901" t="s">
        <v>48</v>
      </c>
      <c r="D1901" t="s">
        <v>22</v>
      </c>
      <c r="E1901" t="s">
        <v>21</v>
      </c>
      <c r="F1901" t="s">
        <v>21</v>
      </c>
      <c r="G1901">
        <v>1600</v>
      </c>
      <c r="H1901" s="1">
        <v>45047</v>
      </c>
      <c r="I1901">
        <v>2023</v>
      </c>
      <c r="J1901">
        <v>5</v>
      </c>
      <c r="K1901" t="s">
        <v>26</v>
      </c>
      <c r="L1901" t="s">
        <v>21</v>
      </c>
      <c r="M1901">
        <v>0</v>
      </c>
    </row>
    <row r="1902" spans="1:13" x14ac:dyDescent="0.25">
      <c r="A1902" t="s">
        <v>1497</v>
      </c>
      <c r="B1902" t="s">
        <v>106</v>
      </c>
      <c r="C1902" t="s">
        <v>48</v>
      </c>
      <c r="D1902" t="s">
        <v>49</v>
      </c>
      <c r="E1902">
        <v>150</v>
      </c>
      <c r="F1902" t="s">
        <v>21</v>
      </c>
      <c r="G1902">
        <v>2</v>
      </c>
      <c r="H1902" s="1">
        <v>45046</v>
      </c>
      <c r="I1902">
        <v>2023</v>
      </c>
      <c r="J1902">
        <v>4</v>
      </c>
      <c r="K1902" t="s">
        <v>16</v>
      </c>
      <c r="L1902" t="s">
        <v>21</v>
      </c>
      <c r="M1902">
        <v>1</v>
      </c>
    </row>
    <row r="1903" spans="1:13" x14ac:dyDescent="0.25">
      <c r="A1903" t="s">
        <v>1498</v>
      </c>
      <c r="B1903" t="s">
        <v>38</v>
      </c>
      <c r="C1903" t="s">
        <v>48</v>
      </c>
      <c r="D1903" t="s">
        <v>22</v>
      </c>
      <c r="E1903">
        <v>177</v>
      </c>
      <c r="F1903" t="s">
        <v>21</v>
      </c>
      <c r="G1903" t="s">
        <v>21</v>
      </c>
      <c r="H1903" s="1">
        <v>45045</v>
      </c>
      <c r="I1903">
        <v>2023</v>
      </c>
      <c r="J1903">
        <v>4</v>
      </c>
      <c r="K1903" t="s">
        <v>22</v>
      </c>
      <c r="L1903" t="s">
        <v>21</v>
      </c>
      <c r="M1903">
        <v>1</v>
      </c>
    </row>
    <row r="1904" spans="1:13" x14ac:dyDescent="0.25">
      <c r="A1904" t="s">
        <v>760</v>
      </c>
      <c r="B1904" t="s">
        <v>35</v>
      </c>
      <c r="C1904" t="s">
        <v>14</v>
      </c>
      <c r="D1904" t="s">
        <v>15</v>
      </c>
      <c r="E1904">
        <v>326</v>
      </c>
      <c r="F1904">
        <v>0.3</v>
      </c>
      <c r="G1904">
        <v>899</v>
      </c>
      <c r="H1904" s="1">
        <v>45044</v>
      </c>
      <c r="I1904">
        <v>2023</v>
      </c>
      <c r="J1904">
        <v>4</v>
      </c>
      <c r="K1904" t="s">
        <v>36</v>
      </c>
      <c r="L1904">
        <v>0</v>
      </c>
      <c r="M1904">
        <v>1</v>
      </c>
    </row>
    <row r="1905" spans="1:13" x14ac:dyDescent="0.25">
      <c r="A1905" t="s">
        <v>1144</v>
      </c>
      <c r="B1905" t="s">
        <v>77</v>
      </c>
      <c r="C1905" t="s">
        <v>83</v>
      </c>
      <c r="D1905" t="s">
        <v>111</v>
      </c>
      <c r="E1905">
        <v>71</v>
      </c>
      <c r="F1905">
        <v>0.04</v>
      </c>
      <c r="G1905">
        <v>1700</v>
      </c>
      <c r="H1905" s="1">
        <v>45044</v>
      </c>
      <c r="I1905">
        <v>2023</v>
      </c>
      <c r="J1905">
        <v>4</v>
      </c>
      <c r="K1905" t="s">
        <v>26</v>
      </c>
      <c r="L1905">
        <v>0</v>
      </c>
      <c r="M1905">
        <v>1</v>
      </c>
    </row>
    <row r="1906" spans="1:13" x14ac:dyDescent="0.25">
      <c r="A1906" t="s">
        <v>1499</v>
      </c>
      <c r="B1906" t="s">
        <v>35</v>
      </c>
      <c r="C1906" t="s">
        <v>14</v>
      </c>
      <c r="D1906" t="s">
        <v>33</v>
      </c>
      <c r="E1906">
        <v>28</v>
      </c>
      <c r="F1906" t="s">
        <v>21</v>
      </c>
      <c r="G1906">
        <v>94</v>
      </c>
      <c r="H1906" s="1">
        <v>45044</v>
      </c>
      <c r="I1906">
        <v>2023</v>
      </c>
      <c r="J1906">
        <v>4</v>
      </c>
      <c r="K1906" t="s">
        <v>30</v>
      </c>
      <c r="L1906" t="s">
        <v>21</v>
      </c>
      <c r="M1906">
        <v>1</v>
      </c>
    </row>
    <row r="1907" spans="1:13" x14ac:dyDescent="0.25">
      <c r="A1907" t="s">
        <v>1500</v>
      </c>
      <c r="B1907" t="s">
        <v>18</v>
      </c>
      <c r="C1907" t="s">
        <v>14</v>
      </c>
      <c r="D1907" t="s">
        <v>68</v>
      </c>
      <c r="E1907" t="s">
        <v>21</v>
      </c>
      <c r="F1907">
        <v>1</v>
      </c>
      <c r="G1907">
        <v>15</v>
      </c>
      <c r="H1907" s="1">
        <v>45044</v>
      </c>
      <c r="I1907">
        <v>2023</v>
      </c>
      <c r="J1907">
        <v>4</v>
      </c>
      <c r="K1907" t="s">
        <v>30</v>
      </c>
      <c r="L1907">
        <v>1</v>
      </c>
      <c r="M1907">
        <v>1</v>
      </c>
    </row>
    <row r="1908" spans="1:13" x14ac:dyDescent="0.25">
      <c r="A1908" t="s">
        <v>1501</v>
      </c>
      <c r="B1908" t="s">
        <v>95</v>
      </c>
      <c r="C1908" t="s">
        <v>42</v>
      </c>
      <c r="D1908" t="s">
        <v>22</v>
      </c>
      <c r="E1908" t="s">
        <v>21</v>
      </c>
      <c r="F1908">
        <v>1</v>
      </c>
      <c r="G1908" t="s">
        <v>21</v>
      </c>
      <c r="H1908" s="1">
        <v>45044</v>
      </c>
      <c r="I1908">
        <v>2023</v>
      </c>
      <c r="J1908">
        <v>4</v>
      </c>
      <c r="K1908" t="s">
        <v>22</v>
      </c>
      <c r="L1908">
        <v>1</v>
      </c>
      <c r="M1908">
        <v>1</v>
      </c>
    </row>
    <row r="1909" spans="1:13" x14ac:dyDescent="0.25">
      <c r="A1909" t="s">
        <v>594</v>
      </c>
      <c r="B1909" t="s">
        <v>13</v>
      </c>
      <c r="C1909" t="s">
        <v>14</v>
      </c>
      <c r="D1909" t="s">
        <v>15</v>
      </c>
      <c r="E1909">
        <v>500</v>
      </c>
      <c r="F1909">
        <v>0.16</v>
      </c>
      <c r="G1909">
        <v>1700</v>
      </c>
      <c r="H1909" s="1">
        <v>45043</v>
      </c>
      <c r="I1909">
        <v>2023</v>
      </c>
      <c r="J1909">
        <v>4</v>
      </c>
      <c r="K1909" t="s">
        <v>26</v>
      </c>
      <c r="L1909">
        <v>0</v>
      </c>
      <c r="M1909">
        <v>1</v>
      </c>
    </row>
    <row r="1910" spans="1:13" x14ac:dyDescent="0.25">
      <c r="A1910" t="s">
        <v>1502</v>
      </c>
      <c r="B1910" t="s">
        <v>38</v>
      </c>
      <c r="C1910" t="s">
        <v>14</v>
      </c>
      <c r="D1910" t="s">
        <v>15</v>
      </c>
      <c r="E1910">
        <v>320</v>
      </c>
      <c r="F1910">
        <v>0.11</v>
      </c>
      <c r="G1910">
        <v>613</v>
      </c>
      <c r="H1910" s="1">
        <v>45043</v>
      </c>
      <c r="I1910">
        <v>2023</v>
      </c>
      <c r="J1910">
        <v>4</v>
      </c>
      <c r="K1910" t="s">
        <v>36</v>
      </c>
      <c r="L1910">
        <v>0</v>
      </c>
      <c r="M1910">
        <v>1</v>
      </c>
    </row>
    <row r="1911" spans="1:13" x14ac:dyDescent="0.25">
      <c r="A1911" t="s">
        <v>939</v>
      </c>
      <c r="B1911" t="s">
        <v>66</v>
      </c>
      <c r="C1911" t="s">
        <v>14</v>
      </c>
      <c r="D1911" t="s">
        <v>15</v>
      </c>
      <c r="E1911">
        <v>120</v>
      </c>
      <c r="F1911">
        <v>0.11</v>
      </c>
      <c r="G1911">
        <v>1300</v>
      </c>
      <c r="H1911" s="1">
        <v>45043</v>
      </c>
      <c r="I1911">
        <v>2023</v>
      </c>
      <c r="J1911">
        <v>4</v>
      </c>
      <c r="K1911" t="s">
        <v>26</v>
      </c>
      <c r="L1911">
        <v>0</v>
      </c>
      <c r="M1911">
        <v>1</v>
      </c>
    </row>
    <row r="1912" spans="1:13" x14ac:dyDescent="0.25">
      <c r="A1912" t="s">
        <v>1503</v>
      </c>
      <c r="B1912" t="s">
        <v>45</v>
      </c>
      <c r="C1912" t="s">
        <v>14</v>
      </c>
      <c r="D1912" t="s">
        <v>81</v>
      </c>
      <c r="E1912">
        <v>100</v>
      </c>
      <c r="F1912">
        <v>0.12</v>
      </c>
      <c r="G1912">
        <v>110</v>
      </c>
      <c r="H1912" s="1">
        <v>45043</v>
      </c>
      <c r="I1912">
        <v>2023</v>
      </c>
      <c r="J1912">
        <v>4</v>
      </c>
      <c r="K1912" t="s">
        <v>36</v>
      </c>
      <c r="L1912">
        <v>0</v>
      </c>
      <c r="M1912">
        <v>1</v>
      </c>
    </row>
    <row r="1913" spans="1:13" x14ac:dyDescent="0.25">
      <c r="A1913" t="s">
        <v>1504</v>
      </c>
      <c r="B1913" t="s">
        <v>38</v>
      </c>
      <c r="C1913" t="s">
        <v>14</v>
      </c>
      <c r="D1913" t="s">
        <v>33</v>
      </c>
      <c r="E1913">
        <v>90</v>
      </c>
      <c r="F1913" t="s">
        <v>21</v>
      </c>
      <c r="G1913">
        <v>150</v>
      </c>
      <c r="H1913" s="1">
        <v>45043</v>
      </c>
      <c r="I1913">
        <v>2023</v>
      </c>
      <c r="J1913">
        <v>4</v>
      </c>
      <c r="K1913" t="s">
        <v>36</v>
      </c>
      <c r="L1913" t="s">
        <v>21</v>
      </c>
      <c r="M1913">
        <v>1</v>
      </c>
    </row>
    <row r="1914" spans="1:13" x14ac:dyDescent="0.25">
      <c r="A1914" t="s">
        <v>1505</v>
      </c>
      <c r="B1914" t="s">
        <v>40</v>
      </c>
      <c r="C1914" t="s">
        <v>14</v>
      </c>
      <c r="D1914" t="s">
        <v>20</v>
      </c>
      <c r="E1914">
        <v>85</v>
      </c>
      <c r="F1914" t="s">
        <v>21</v>
      </c>
      <c r="G1914">
        <v>30</v>
      </c>
      <c r="H1914" s="1">
        <v>45043</v>
      </c>
      <c r="I1914">
        <v>2023</v>
      </c>
      <c r="J1914">
        <v>4</v>
      </c>
      <c r="K1914" t="s">
        <v>30</v>
      </c>
      <c r="L1914" t="s">
        <v>21</v>
      </c>
      <c r="M1914">
        <v>1</v>
      </c>
    </row>
    <row r="1915" spans="1:13" x14ac:dyDescent="0.25">
      <c r="A1915" t="s">
        <v>1506</v>
      </c>
      <c r="B1915" t="s">
        <v>140</v>
      </c>
      <c r="C1915" t="s">
        <v>42</v>
      </c>
      <c r="D1915" t="s">
        <v>15</v>
      </c>
      <c r="E1915">
        <v>50</v>
      </c>
      <c r="F1915">
        <v>0.16</v>
      </c>
      <c r="G1915">
        <v>98</v>
      </c>
      <c r="H1915" s="1">
        <v>45043</v>
      </c>
      <c r="I1915">
        <v>2023</v>
      </c>
      <c r="J1915">
        <v>4</v>
      </c>
      <c r="K1915" t="s">
        <v>30</v>
      </c>
      <c r="L1915">
        <v>0</v>
      </c>
      <c r="M1915">
        <v>1</v>
      </c>
    </row>
    <row r="1916" spans="1:13" x14ac:dyDescent="0.25">
      <c r="A1916" t="s">
        <v>1507</v>
      </c>
      <c r="B1916" t="s">
        <v>24</v>
      </c>
      <c r="C1916" t="s">
        <v>42</v>
      </c>
      <c r="D1916" t="s">
        <v>46</v>
      </c>
      <c r="E1916">
        <v>45</v>
      </c>
      <c r="F1916">
        <v>0.2</v>
      </c>
      <c r="G1916">
        <v>26</v>
      </c>
      <c r="H1916" s="1">
        <v>45043</v>
      </c>
      <c r="I1916">
        <v>2023</v>
      </c>
      <c r="J1916">
        <v>4</v>
      </c>
      <c r="K1916" t="s">
        <v>30</v>
      </c>
      <c r="L1916">
        <v>0</v>
      </c>
      <c r="M1916">
        <v>1</v>
      </c>
    </row>
    <row r="1917" spans="1:13" x14ac:dyDescent="0.25">
      <c r="A1917" t="s">
        <v>605</v>
      </c>
      <c r="B1917" t="s">
        <v>13</v>
      </c>
      <c r="C1917" t="s">
        <v>14</v>
      </c>
      <c r="D1917" t="s">
        <v>33</v>
      </c>
      <c r="E1917">
        <v>43</v>
      </c>
      <c r="F1917">
        <v>0.14000000000000001</v>
      </c>
      <c r="G1917">
        <v>140</v>
      </c>
      <c r="H1917" s="1">
        <v>45043</v>
      </c>
      <c r="I1917">
        <v>2023</v>
      </c>
      <c r="J1917">
        <v>4</v>
      </c>
      <c r="K1917" t="s">
        <v>36</v>
      </c>
      <c r="L1917">
        <v>0</v>
      </c>
      <c r="M1917">
        <v>1</v>
      </c>
    </row>
    <row r="1918" spans="1:13" x14ac:dyDescent="0.25">
      <c r="A1918" t="s">
        <v>1508</v>
      </c>
      <c r="B1918" t="s">
        <v>77</v>
      </c>
      <c r="C1918" t="s">
        <v>48</v>
      </c>
      <c r="D1918" t="s">
        <v>49</v>
      </c>
      <c r="E1918">
        <v>29</v>
      </c>
      <c r="F1918">
        <v>0.28999999999999998</v>
      </c>
      <c r="G1918">
        <v>5</v>
      </c>
      <c r="H1918" s="1">
        <v>45043</v>
      </c>
      <c r="I1918">
        <v>2023</v>
      </c>
      <c r="J1918">
        <v>4</v>
      </c>
      <c r="K1918" t="s">
        <v>16</v>
      </c>
      <c r="L1918">
        <v>0</v>
      </c>
      <c r="M1918">
        <v>1</v>
      </c>
    </row>
    <row r="1919" spans="1:13" x14ac:dyDescent="0.25">
      <c r="A1919" t="s">
        <v>1509</v>
      </c>
      <c r="B1919" t="s">
        <v>18</v>
      </c>
      <c r="C1919" t="s">
        <v>14</v>
      </c>
      <c r="D1919" t="s">
        <v>46</v>
      </c>
      <c r="E1919" t="s">
        <v>21</v>
      </c>
      <c r="F1919">
        <v>0.5</v>
      </c>
      <c r="G1919">
        <v>110</v>
      </c>
      <c r="H1919" s="1">
        <v>45043</v>
      </c>
      <c r="I1919">
        <v>2023</v>
      </c>
      <c r="J1919">
        <v>4</v>
      </c>
      <c r="K1919" t="s">
        <v>36</v>
      </c>
      <c r="L1919">
        <v>0</v>
      </c>
      <c r="M1919">
        <v>1</v>
      </c>
    </row>
    <row r="1920" spans="1:13" x14ac:dyDescent="0.25">
      <c r="A1920" t="s">
        <v>1510</v>
      </c>
      <c r="B1920" t="s">
        <v>95</v>
      </c>
      <c r="C1920" t="s">
        <v>64</v>
      </c>
      <c r="D1920" t="s">
        <v>33</v>
      </c>
      <c r="E1920" t="s">
        <v>21</v>
      </c>
      <c r="F1920">
        <v>0.25</v>
      </c>
      <c r="G1920">
        <v>9</v>
      </c>
      <c r="H1920" s="1">
        <v>45043</v>
      </c>
      <c r="I1920">
        <v>2023</v>
      </c>
      <c r="J1920">
        <v>4</v>
      </c>
      <c r="K1920" t="s">
        <v>16</v>
      </c>
      <c r="L1920">
        <v>0</v>
      </c>
      <c r="M1920">
        <v>1</v>
      </c>
    </row>
    <row r="1921" spans="1:13" x14ac:dyDescent="0.25">
      <c r="A1921" t="s">
        <v>691</v>
      </c>
      <c r="B1921" t="s">
        <v>66</v>
      </c>
      <c r="C1921" t="s">
        <v>14</v>
      </c>
      <c r="D1921" t="s">
        <v>55</v>
      </c>
      <c r="E1921" t="s">
        <v>21</v>
      </c>
      <c r="F1921" t="s">
        <v>21</v>
      </c>
      <c r="G1921">
        <v>329</v>
      </c>
      <c r="H1921" s="1">
        <v>45043</v>
      </c>
      <c r="I1921">
        <v>2023</v>
      </c>
      <c r="J1921">
        <v>4</v>
      </c>
      <c r="K1921" t="s">
        <v>36</v>
      </c>
      <c r="L1921" t="s">
        <v>21</v>
      </c>
      <c r="M1921">
        <v>0</v>
      </c>
    </row>
    <row r="1922" spans="1:13" x14ac:dyDescent="0.25">
      <c r="A1922" t="s">
        <v>1511</v>
      </c>
      <c r="B1922" t="s">
        <v>106</v>
      </c>
      <c r="C1922" t="s">
        <v>48</v>
      </c>
      <c r="D1922" t="s">
        <v>22</v>
      </c>
      <c r="E1922">
        <v>300</v>
      </c>
      <c r="F1922" t="s">
        <v>21</v>
      </c>
      <c r="G1922" t="s">
        <v>21</v>
      </c>
      <c r="H1922" s="1">
        <v>45042</v>
      </c>
      <c r="I1922">
        <v>2023</v>
      </c>
      <c r="J1922">
        <v>4</v>
      </c>
      <c r="K1922" t="s">
        <v>22</v>
      </c>
      <c r="L1922" t="s">
        <v>21</v>
      </c>
      <c r="M1922">
        <v>1</v>
      </c>
    </row>
    <row r="1923" spans="1:13" x14ac:dyDescent="0.25">
      <c r="A1923" t="s">
        <v>1512</v>
      </c>
      <c r="B1923" t="s">
        <v>77</v>
      </c>
      <c r="C1923" t="s">
        <v>14</v>
      </c>
      <c r="D1923" t="s">
        <v>33</v>
      </c>
      <c r="E1923">
        <v>30</v>
      </c>
      <c r="F1923">
        <v>0.33</v>
      </c>
      <c r="G1923">
        <v>79</v>
      </c>
      <c r="H1923" s="1">
        <v>45042</v>
      </c>
      <c r="I1923">
        <v>2023</v>
      </c>
      <c r="J1923">
        <v>4</v>
      </c>
      <c r="K1923" t="s">
        <v>30</v>
      </c>
      <c r="L1923">
        <v>0</v>
      </c>
      <c r="M1923">
        <v>1</v>
      </c>
    </row>
    <row r="1924" spans="1:13" x14ac:dyDescent="0.25">
      <c r="A1924" t="s">
        <v>1513</v>
      </c>
      <c r="B1924" t="s">
        <v>533</v>
      </c>
      <c r="C1924" t="s">
        <v>174</v>
      </c>
      <c r="D1924" t="s">
        <v>33</v>
      </c>
      <c r="E1924" t="s">
        <v>21</v>
      </c>
      <c r="F1924">
        <v>1</v>
      </c>
      <c r="G1924">
        <v>163</v>
      </c>
      <c r="H1924" s="1">
        <v>45042</v>
      </c>
      <c r="I1924">
        <v>2023</v>
      </c>
      <c r="J1924">
        <v>4</v>
      </c>
      <c r="K1924" t="s">
        <v>36</v>
      </c>
      <c r="L1924">
        <v>1</v>
      </c>
      <c r="M1924">
        <v>1</v>
      </c>
    </row>
    <row r="1925" spans="1:13" x14ac:dyDescent="0.25">
      <c r="A1925" t="s">
        <v>1318</v>
      </c>
      <c r="B1925" t="s">
        <v>106</v>
      </c>
      <c r="C1925" t="s">
        <v>48</v>
      </c>
      <c r="D1925" t="s">
        <v>68</v>
      </c>
      <c r="E1925">
        <v>400</v>
      </c>
      <c r="F1925" t="s">
        <v>21</v>
      </c>
      <c r="G1925">
        <v>17</v>
      </c>
      <c r="H1925" s="1">
        <v>45041</v>
      </c>
      <c r="I1925">
        <v>2023</v>
      </c>
      <c r="J1925">
        <v>4</v>
      </c>
      <c r="K1925" t="s">
        <v>30</v>
      </c>
      <c r="L1925" t="s">
        <v>21</v>
      </c>
      <c r="M1925">
        <v>1</v>
      </c>
    </row>
    <row r="1926" spans="1:13" x14ac:dyDescent="0.25">
      <c r="A1926" t="s">
        <v>1514</v>
      </c>
      <c r="B1926" t="s">
        <v>77</v>
      </c>
      <c r="C1926" t="s">
        <v>14</v>
      </c>
      <c r="D1926" t="s">
        <v>55</v>
      </c>
      <c r="E1926">
        <v>115</v>
      </c>
      <c r="F1926">
        <v>0.5</v>
      </c>
      <c r="G1926">
        <v>272</v>
      </c>
      <c r="H1926" s="1">
        <v>45041</v>
      </c>
      <c r="I1926">
        <v>2023</v>
      </c>
      <c r="J1926">
        <v>4</v>
      </c>
      <c r="K1926" t="s">
        <v>36</v>
      </c>
      <c r="L1926">
        <v>0</v>
      </c>
      <c r="M1926">
        <v>1</v>
      </c>
    </row>
    <row r="1927" spans="1:13" x14ac:dyDescent="0.25">
      <c r="A1927" t="s">
        <v>1514</v>
      </c>
      <c r="B1927" t="s">
        <v>77</v>
      </c>
      <c r="C1927" t="s">
        <v>14</v>
      </c>
      <c r="D1927" t="s">
        <v>55</v>
      </c>
      <c r="E1927">
        <v>70</v>
      </c>
      <c r="F1927">
        <v>0.3</v>
      </c>
      <c r="G1927">
        <v>272</v>
      </c>
      <c r="H1927" s="1">
        <v>45041</v>
      </c>
      <c r="I1927">
        <v>2023</v>
      </c>
      <c r="J1927">
        <v>4</v>
      </c>
      <c r="K1927" t="s">
        <v>36</v>
      </c>
      <c r="L1927">
        <v>0</v>
      </c>
      <c r="M1927">
        <v>1</v>
      </c>
    </row>
    <row r="1928" spans="1:13" x14ac:dyDescent="0.25">
      <c r="A1928" t="s">
        <v>1442</v>
      </c>
      <c r="B1928" t="s">
        <v>95</v>
      </c>
      <c r="C1928" t="s">
        <v>83</v>
      </c>
      <c r="D1928" t="s">
        <v>33</v>
      </c>
      <c r="E1928">
        <v>8000</v>
      </c>
      <c r="F1928">
        <v>0.4</v>
      </c>
      <c r="G1928">
        <v>1000</v>
      </c>
      <c r="H1928" s="1">
        <v>45040</v>
      </c>
      <c r="I1928">
        <v>2023</v>
      </c>
      <c r="J1928">
        <v>4</v>
      </c>
      <c r="K1928" t="s">
        <v>26</v>
      </c>
      <c r="L1928">
        <v>0</v>
      </c>
      <c r="M1928">
        <v>1</v>
      </c>
    </row>
    <row r="1929" spans="1:13" x14ac:dyDescent="0.25">
      <c r="A1929" t="s">
        <v>1515</v>
      </c>
      <c r="B1929" t="s">
        <v>13</v>
      </c>
      <c r="C1929" t="s">
        <v>14</v>
      </c>
      <c r="D1929" t="s">
        <v>20</v>
      </c>
      <c r="E1929">
        <v>760</v>
      </c>
      <c r="F1929">
        <v>0.04</v>
      </c>
      <c r="G1929" t="s">
        <v>21</v>
      </c>
      <c r="H1929" s="1">
        <v>45040</v>
      </c>
      <c r="I1929">
        <v>2023</v>
      </c>
      <c r="J1929">
        <v>4</v>
      </c>
      <c r="K1929" t="s">
        <v>22</v>
      </c>
      <c r="L1929">
        <v>0</v>
      </c>
      <c r="M1929">
        <v>1</v>
      </c>
    </row>
    <row r="1930" spans="1:13" x14ac:dyDescent="0.25">
      <c r="A1930" t="s">
        <v>1516</v>
      </c>
      <c r="B1930" t="s">
        <v>140</v>
      </c>
      <c r="C1930" t="s">
        <v>14</v>
      </c>
      <c r="D1930" t="s">
        <v>111</v>
      </c>
      <c r="E1930">
        <v>40</v>
      </c>
      <c r="F1930">
        <v>0.13</v>
      </c>
      <c r="G1930">
        <v>337</v>
      </c>
      <c r="H1930" s="1">
        <v>45040</v>
      </c>
      <c r="I1930">
        <v>2023</v>
      </c>
      <c r="J1930">
        <v>4</v>
      </c>
      <c r="K1930" t="s">
        <v>36</v>
      </c>
      <c r="L1930">
        <v>0</v>
      </c>
      <c r="M1930">
        <v>1</v>
      </c>
    </row>
    <row r="1931" spans="1:13" x14ac:dyDescent="0.25">
      <c r="A1931" t="s">
        <v>651</v>
      </c>
      <c r="B1931" t="s">
        <v>66</v>
      </c>
      <c r="C1931" t="s">
        <v>14</v>
      </c>
      <c r="D1931" t="s">
        <v>15</v>
      </c>
      <c r="E1931">
        <v>1072</v>
      </c>
      <c r="F1931">
        <v>0.26</v>
      </c>
      <c r="G1931">
        <v>4900</v>
      </c>
      <c r="H1931" s="1">
        <v>45037</v>
      </c>
      <c r="I1931">
        <v>2023</v>
      </c>
      <c r="J1931">
        <v>4</v>
      </c>
      <c r="K1931" t="s">
        <v>26</v>
      </c>
      <c r="L1931">
        <v>0</v>
      </c>
      <c r="M1931">
        <v>1</v>
      </c>
    </row>
    <row r="1932" spans="1:13" x14ac:dyDescent="0.25">
      <c r="A1932" t="s">
        <v>1517</v>
      </c>
      <c r="B1932" t="s">
        <v>13</v>
      </c>
      <c r="C1932" t="s">
        <v>14</v>
      </c>
      <c r="D1932" t="s">
        <v>43</v>
      </c>
      <c r="E1932">
        <v>74</v>
      </c>
      <c r="F1932">
        <v>0.09</v>
      </c>
      <c r="G1932">
        <v>411</v>
      </c>
      <c r="H1932" s="1">
        <v>45037</v>
      </c>
      <c r="I1932">
        <v>2023</v>
      </c>
      <c r="J1932">
        <v>4</v>
      </c>
      <c r="K1932" t="s">
        <v>36</v>
      </c>
      <c r="L1932">
        <v>0</v>
      </c>
      <c r="M1932">
        <v>1</v>
      </c>
    </row>
    <row r="1933" spans="1:13" x14ac:dyDescent="0.25">
      <c r="A1933" t="s">
        <v>413</v>
      </c>
      <c r="B1933" t="s">
        <v>106</v>
      </c>
      <c r="C1933" t="s">
        <v>14</v>
      </c>
      <c r="D1933" t="s">
        <v>20</v>
      </c>
      <c r="E1933" t="s">
        <v>21</v>
      </c>
      <c r="F1933" t="s">
        <v>21</v>
      </c>
      <c r="G1933">
        <v>192</v>
      </c>
      <c r="H1933" s="1">
        <v>45037</v>
      </c>
      <c r="I1933">
        <v>2023</v>
      </c>
      <c r="J1933">
        <v>4</v>
      </c>
      <c r="K1933" t="s">
        <v>36</v>
      </c>
      <c r="L1933" t="s">
        <v>21</v>
      </c>
      <c r="M1933">
        <v>0</v>
      </c>
    </row>
    <row r="1934" spans="1:13" x14ac:dyDescent="0.25">
      <c r="A1934" t="s">
        <v>868</v>
      </c>
      <c r="B1934" t="s">
        <v>32</v>
      </c>
      <c r="C1934" t="s">
        <v>14</v>
      </c>
      <c r="D1934" t="s">
        <v>15</v>
      </c>
      <c r="E1934">
        <v>180</v>
      </c>
      <c r="F1934">
        <v>0.15</v>
      </c>
      <c r="G1934">
        <v>696</v>
      </c>
      <c r="H1934" s="1">
        <v>45036</v>
      </c>
      <c r="I1934">
        <v>2023</v>
      </c>
      <c r="J1934">
        <v>4</v>
      </c>
      <c r="K1934" t="s">
        <v>36</v>
      </c>
      <c r="L1934">
        <v>0</v>
      </c>
      <c r="M1934">
        <v>1</v>
      </c>
    </row>
    <row r="1935" spans="1:13" x14ac:dyDescent="0.25">
      <c r="A1935" t="s">
        <v>714</v>
      </c>
      <c r="B1935" t="s">
        <v>18</v>
      </c>
      <c r="C1935" t="s">
        <v>48</v>
      </c>
      <c r="D1935" t="s">
        <v>33</v>
      </c>
      <c r="E1935">
        <v>78</v>
      </c>
      <c r="F1935">
        <v>0.3</v>
      </c>
      <c r="G1935">
        <v>50</v>
      </c>
      <c r="H1935" s="1">
        <v>45036</v>
      </c>
      <c r="I1935">
        <v>2023</v>
      </c>
      <c r="J1935">
        <v>4</v>
      </c>
      <c r="K1935" t="s">
        <v>30</v>
      </c>
      <c r="L1935">
        <v>0</v>
      </c>
      <c r="M1935">
        <v>1</v>
      </c>
    </row>
    <row r="1936" spans="1:13" x14ac:dyDescent="0.25">
      <c r="A1936" t="s">
        <v>1518</v>
      </c>
      <c r="B1936" t="s">
        <v>77</v>
      </c>
      <c r="C1936" t="s">
        <v>48</v>
      </c>
      <c r="D1936" t="s">
        <v>55</v>
      </c>
      <c r="E1936">
        <v>47</v>
      </c>
      <c r="F1936" t="s">
        <v>21</v>
      </c>
      <c r="G1936">
        <v>190</v>
      </c>
      <c r="H1936" s="1">
        <v>45036</v>
      </c>
      <c r="I1936">
        <v>2023</v>
      </c>
      <c r="J1936">
        <v>4</v>
      </c>
      <c r="K1936" t="s">
        <v>36</v>
      </c>
      <c r="L1936" t="s">
        <v>21</v>
      </c>
      <c r="M1936">
        <v>1</v>
      </c>
    </row>
    <row r="1937" spans="1:13" x14ac:dyDescent="0.25">
      <c r="A1937" t="s">
        <v>1519</v>
      </c>
      <c r="B1937" t="s">
        <v>40</v>
      </c>
      <c r="C1937" t="s">
        <v>14</v>
      </c>
      <c r="D1937" t="s">
        <v>55</v>
      </c>
      <c r="E1937">
        <v>35</v>
      </c>
      <c r="F1937">
        <v>0.12</v>
      </c>
      <c r="G1937">
        <v>192</v>
      </c>
      <c r="H1937" s="1">
        <v>45036</v>
      </c>
      <c r="I1937">
        <v>2023</v>
      </c>
      <c r="J1937">
        <v>4</v>
      </c>
      <c r="K1937" t="s">
        <v>36</v>
      </c>
      <c r="L1937">
        <v>0</v>
      </c>
      <c r="M1937">
        <v>1</v>
      </c>
    </row>
    <row r="1938" spans="1:13" x14ac:dyDescent="0.25">
      <c r="A1938" t="s">
        <v>1520</v>
      </c>
      <c r="B1938" t="s">
        <v>32</v>
      </c>
      <c r="C1938" t="s">
        <v>14</v>
      </c>
      <c r="D1938" t="s">
        <v>22</v>
      </c>
      <c r="E1938" t="s">
        <v>21</v>
      </c>
      <c r="F1938">
        <v>0.1</v>
      </c>
      <c r="G1938" t="s">
        <v>21</v>
      </c>
      <c r="H1938" s="1">
        <v>45036</v>
      </c>
      <c r="I1938">
        <v>2023</v>
      </c>
      <c r="J1938">
        <v>4</v>
      </c>
      <c r="K1938" t="s">
        <v>22</v>
      </c>
      <c r="L1938">
        <v>0</v>
      </c>
      <c r="M1938">
        <v>1</v>
      </c>
    </row>
    <row r="1939" spans="1:13" x14ac:dyDescent="0.25">
      <c r="A1939" t="s">
        <v>1521</v>
      </c>
      <c r="B1939" t="s">
        <v>77</v>
      </c>
      <c r="C1939" t="s">
        <v>42</v>
      </c>
      <c r="D1939" t="s">
        <v>22</v>
      </c>
      <c r="E1939" t="s">
        <v>21</v>
      </c>
      <c r="F1939">
        <v>0.1</v>
      </c>
      <c r="G1939" t="s">
        <v>21</v>
      </c>
      <c r="H1939" s="1">
        <v>45036</v>
      </c>
      <c r="I1939">
        <v>2023</v>
      </c>
      <c r="J1939">
        <v>4</v>
      </c>
      <c r="K1939" t="s">
        <v>22</v>
      </c>
      <c r="L1939">
        <v>0</v>
      </c>
      <c r="M1939">
        <v>1</v>
      </c>
    </row>
    <row r="1940" spans="1:13" x14ac:dyDescent="0.25">
      <c r="A1940" t="s">
        <v>398</v>
      </c>
      <c r="B1940" t="s">
        <v>70</v>
      </c>
      <c r="C1940" t="s">
        <v>14</v>
      </c>
      <c r="D1940" t="s">
        <v>15</v>
      </c>
      <c r="E1940" t="s">
        <v>21</v>
      </c>
      <c r="F1940" t="s">
        <v>21</v>
      </c>
      <c r="G1940">
        <v>850</v>
      </c>
      <c r="H1940" s="1">
        <v>45036</v>
      </c>
      <c r="I1940">
        <v>2023</v>
      </c>
      <c r="J1940">
        <v>4</v>
      </c>
      <c r="K1940" t="s">
        <v>36</v>
      </c>
      <c r="L1940" t="s">
        <v>21</v>
      </c>
      <c r="M1940">
        <v>0</v>
      </c>
    </row>
    <row r="1941" spans="1:13" x14ac:dyDescent="0.25">
      <c r="A1941" t="s">
        <v>377</v>
      </c>
      <c r="B1941" t="s">
        <v>28</v>
      </c>
      <c r="C1941" t="s">
        <v>14</v>
      </c>
      <c r="D1941" t="s">
        <v>15</v>
      </c>
      <c r="E1941">
        <v>623</v>
      </c>
      <c r="F1941">
        <v>0.09</v>
      </c>
      <c r="G1941" t="s">
        <v>21</v>
      </c>
      <c r="H1941" s="1">
        <v>45035</v>
      </c>
      <c r="I1941">
        <v>2023</v>
      </c>
      <c r="J1941">
        <v>4</v>
      </c>
      <c r="K1941" t="s">
        <v>22</v>
      </c>
      <c r="L1941">
        <v>0</v>
      </c>
      <c r="M1941">
        <v>1</v>
      </c>
    </row>
    <row r="1942" spans="1:13" x14ac:dyDescent="0.25">
      <c r="A1942" t="s">
        <v>1522</v>
      </c>
      <c r="B1942" t="s">
        <v>13</v>
      </c>
      <c r="C1942" t="s">
        <v>14</v>
      </c>
      <c r="D1942" t="s">
        <v>15</v>
      </c>
      <c r="E1942">
        <v>112</v>
      </c>
      <c r="F1942">
        <v>0.1</v>
      </c>
      <c r="G1942">
        <v>307</v>
      </c>
      <c r="H1942" s="1">
        <v>45035</v>
      </c>
      <c r="I1942">
        <v>2023</v>
      </c>
      <c r="J1942">
        <v>4</v>
      </c>
      <c r="K1942" t="s">
        <v>36</v>
      </c>
      <c r="L1942">
        <v>0</v>
      </c>
      <c r="M1942">
        <v>1</v>
      </c>
    </row>
    <row r="1943" spans="1:13" x14ac:dyDescent="0.25">
      <c r="A1943" t="s">
        <v>90</v>
      </c>
      <c r="B1943" t="s">
        <v>91</v>
      </c>
      <c r="C1943" t="s">
        <v>14</v>
      </c>
      <c r="D1943" t="s">
        <v>15</v>
      </c>
      <c r="E1943">
        <v>560</v>
      </c>
      <c r="F1943">
        <v>0.22</v>
      </c>
      <c r="G1943">
        <v>1900</v>
      </c>
      <c r="H1943" s="1">
        <v>45034</v>
      </c>
      <c r="I1943">
        <v>2023</v>
      </c>
      <c r="J1943">
        <v>4</v>
      </c>
      <c r="K1943" t="s">
        <v>26</v>
      </c>
      <c r="L1943">
        <v>0</v>
      </c>
      <c r="M1943">
        <v>1</v>
      </c>
    </row>
    <row r="1944" spans="1:13" x14ac:dyDescent="0.25">
      <c r="A1944" t="s">
        <v>1523</v>
      </c>
      <c r="B1944" t="s">
        <v>24</v>
      </c>
      <c r="C1944" t="s">
        <v>1524</v>
      </c>
      <c r="D1944" t="s">
        <v>22</v>
      </c>
      <c r="E1944">
        <v>340</v>
      </c>
      <c r="F1944">
        <v>0.1</v>
      </c>
      <c r="G1944" t="s">
        <v>21</v>
      </c>
      <c r="H1944" s="1">
        <v>45034</v>
      </c>
      <c r="I1944">
        <v>2023</v>
      </c>
      <c r="J1944">
        <v>4</v>
      </c>
      <c r="K1944" t="s">
        <v>22</v>
      </c>
      <c r="L1944">
        <v>0</v>
      </c>
      <c r="M1944">
        <v>1</v>
      </c>
    </row>
    <row r="1945" spans="1:13" x14ac:dyDescent="0.25">
      <c r="A1945" t="s">
        <v>41</v>
      </c>
      <c r="B1945" t="s">
        <v>40</v>
      </c>
      <c r="C1945" t="s">
        <v>42</v>
      </c>
      <c r="D1945" t="s">
        <v>43</v>
      </c>
      <c r="E1945">
        <v>90</v>
      </c>
      <c r="F1945">
        <v>0.09</v>
      </c>
      <c r="G1945">
        <v>257</v>
      </c>
      <c r="H1945" s="1">
        <v>45034</v>
      </c>
      <c r="I1945">
        <v>2023</v>
      </c>
      <c r="J1945">
        <v>4</v>
      </c>
      <c r="K1945" t="s">
        <v>36</v>
      </c>
      <c r="L1945">
        <v>0</v>
      </c>
      <c r="M1945">
        <v>1</v>
      </c>
    </row>
    <row r="1946" spans="1:13" x14ac:dyDescent="0.25">
      <c r="A1946" t="s">
        <v>1525</v>
      </c>
      <c r="B1946" t="s">
        <v>52</v>
      </c>
      <c r="C1946" t="s">
        <v>14</v>
      </c>
      <c r="D1946" t="s">
        <v>33</v>
      </c>
      <c r="E1946">
        <v>16</v>
      </c>
      <c r="F1946">
        <v>0.09</v>
      </c>
      <c r="G1946">
        <v>149</v>
      </c>
      <c r="H1946" s="1">
        <v>45034</v>
      </c>
      <c r="I1946">
        <v>2023</v>
      </c>
      <c r="J1946">
        <v>4</v>
      </c>
      <c r="K1946" t="s">
        <v>36</v>
      </c>
      <c r="L1946">
        <v>0</v>
      </c>
      <c r="M1946">
        <v>1</v>
      </c>
    </row>
    <row r="1947" spans="1:13" x14ac:dyDescent="0.25">
      <c r="A1947" t="s">
        <v>1526</v>
      </c>
      <c r="B1947" t="s">
        <v>95</v>
      </c>
      <c r="C1947" t="s">
        <v>42</v>
      </c>
      <c r="D1947" t="s">
        <v>49</v>
      </c>
      <c r="E1947" t="s">
        <v>21</v>
      </c>
      <c r="F1947">
        <v>1</v>
      </c>
      <c r="G1947">
        <v>3</v>
      </c>
      <c r="H1947" s="1">
        <v>45034</v>
      </c>
      <c r="I1947">
        <v>2023</v>
      </c>
      <c r="J1947">
        <v>4</v>
      </c>
      <c r="K1947" t="s">
        <v>16</v>
      </c>
      <c r="L1947">
        <v>1</v>
      </c>
      <c r="M1947">
        <v>1</v>
      </c>
    </row>
    <row r="1948" spans="1:13" x14ac:dyDescent="0.25">
      <c r="A1948" t="s">
        <v>1527</v>
      </c>
      <c r="B1948" t="s">
        <v>18</v>
      </c>
      <c r="C1948" t="s">
        <v>870</v>
      </c>
      <c r="D1948" t="s">
        <v>49</v>
      </c>
      <c r="E1948">
        <v>120</v>
      </c>
      <c r="F1948">
        <v>0.25</v>
      </c>
      <c r="G1948" t="s">
        <v>21</v>
      </c>
      <c r="H1948" s="1">
        <v>45033</v>
      </c>
      <c r="I1948">
        <v>2023</v>
      </c>
      <c r="J1948">
        <v>4</v>
      </c>
      <c r="K1948" t="s">
        <v>22</v>
      </c>
      <c r="L1948">
        <v>0</v>
      </c>
      <c r="M1948">
        <v>1</v>
      </c>
    </row>
    <row r="1949" spans="1:13" x14ac:dyDescent="0.25">
      <c r="A1949" t="s">
        <v>1194</v>
      </c>
      <c r="B1949" t="s">
        <v>77</v>
      </c>
      <c r="C1949" t="s">
        <v>14</v>
      </c>
      <c r="D1949" t="s">
        <v>55</v>
      </c>
      <c r="E1949">
        <v>81</v>
      </c>
      <c r="F1949">
        <v>0.15</v>
      </c>
      <c r="G1949">
        <v>304</v>
      </c>
      <c r="H1949" s="1">
        <v>45033</v>
      </c>
      <c r="I1949">
        <v>2023</v>
      </c>
      <c r="J1949">
        <v>4</v>
      </c>
      <c r="K1949" t="s">
        <v>36</v>
      </c>
      <c r="L1949">
        <v>0</v>
      </c>
      <c r="M1949">
        <v>1</v>
      </c>
    </row>
    <row r="1950" spans="1:13" x14ac:dyDescent="0.25">
      <c r="A1950" t="s">
        <v>667</v>
      </c>
      <c r="B1950" t="s">
        <v>106</v>
      </c>
      <c r="C1950" t="s">
        <v>174</v>
      </c>
      <c r="D1950" t="s">
        <v>55</v>
      </c>
      <c r="E1950">
        <v>81</v>
      </c>
      <c r="F1950">
        <v>0.03</v>
      </c>
      <c r="G1950">
        <v>389</v>
      </c>
      <c r="H1950" s="1">
        <v>45033</v>
      </c>
      <c r="I1950">
        <v>2023</v>
      </c>
      <c r="J1950">
        <v>4</v>
      </c>
      <c r="K1950" t="s">
        <v>36</v>
      </c>
      <c r="L1950">
        <v>0</v>
      </c>
      <c r="M1950">
        <v>1</v>
      </c>
    </row>
    <row r="1951" spans="1:13" x14ac:dyDescent="0.25">
      <c r="A1951" t="s">
        <v>1528</v>
      </c>
      <c r="B1951" t="s">
        <v>95</v>
      </c>
      <c r="C1951" t="s">
        <v>539</v>
      </c>
      <c r="D1951" t="s">
        <v>55</v>
      </c>
      <c r="E1951">
        <v>17</v>
      </c>
      <c r="F1951">
        <v>0.25</v>
      </c>
      <c r="G1951">
        <v>579</v>
      </c>
      <c r="H1951" s="1">
        <v>45033</v>
      </c>
      <c r="I1951">
        <v>2023</v>
      </c>
      <c r="J1951">
        <v>4</v>
      </c>
      <c r="K1951" t="s">
        <v>36</v>
      </c>
      <c r="L1951">
        <v>0</v>
      </c>
      <c r="M1951">
        <v>1</v>
      </c>
    </row>
    <row r="1952" spans="1:13" x14ac:dyDescent="0.25">
      <c r="A1952" t="s">
        <v>1269</v>
      </c>
      <c r="B1952" t="s">
        <v>77</v>
      </c>
      <c r="C1952" t="s">
        <v>48</v>
      </c>
      <c r="D1952" t="s">
        <v>68</v>
      </c>
      <c r="E1952" t="s">
        <v>21</v>
      </c>
      <c r="F1952" t="s">
        <v>21</v>
      </c>
      <c r="G1952">
        <v>42</v>
      </c>
      <c r="H1952" s="1">
        <v>45033</v>
      </c>
      <c r="I1952">
        <v>2023</v>
      </c>
      <c r="J1952">
        <v>4</v>
      </c>
      <c r="K1952" t="s">
        <v>30</v>
      </c>
      <c r="L1952" t="s">
        <v>21</v>
      </c>
      <c r="M1952">
        <v>0</v>
      </c>
    </row>
    <row r="1953" spans="1:13" x14ac:dyDescent="0.25">
      <c r="A1953" t="s">
        <v>1529</v>
      </c>
      <c r="B1953" t="s">
        <v>32</v>
      </c>
      <c r="C1953" t="s">
        <v>1530</v>
      </c>
      <c r="D1953" t="s">
        <v>46</v>
      </c>
      <c r="E1953" t="s">
        <v>21</v>
      </c>
      <c r="F1953" t="s">
        <v>21</v>
      </c>
      <c r="G1953">
        <v>94</v>
      </c>
      <c r="H1953" s="1">
        <v>45033</v>
      </c>
      <c r="I1953">
        <v>2023</v>
      </c>
      <c r="J1953">
        <v>4</v>
      </c>
      <c r="K1953" t="s">
        <v>30</v>
      </c>
      <c r="L1953" t="s">
        <v>21</v>
      </c>
      <c r="M1953">
        <v>0</v>
      </c>
    </row>
    <row r="1954" spans="1:13" x14ac:dyDescent="0.25">
      <c r="A1954" t="s">
        <v>1531</v>
      </c>
      <c r="B1954" t="s">
        <v>13</v>
      </c>
      <c r="C1954" t="s">
        <v>62</v>
      </c>
      <c r="D1954" t="s">
        <v>33</v>
      </c>
      <c r="E1954" t="s">
        <v>21</v>
      </c>
      <c r="F1954">
        <v>0.15</v>
      </c>
      <c r="G1954" t="s">
        <v>21</v>
      </c>
      <c r="H1954" s="1">
        <v>45033</v>
      </c>
      <c r="I1954">
        <v>2023</v>
      </c>
      <c r="J1954">
        <v>4</v>
      </c>
      <c r="K1954" t="s">
        <v>22</v>
      </c>
      <c r="L1954">
        <v>0</v>
      </c>
      <c r="M1954">
        <v>1</v>
      </c>
    </row>
    <row r="1955" spans="1:13" x14ac:dyDescent="0.25">
      <c r="A1955" t="s">
        <v>1532</v>
      </c>
      <c r="B1955" t="s">
        <v>28</v>
      </c>
      <c r="C1955" t="s">
        <v>29</v>
      </c>
      <c r="D1955" t="s">
        <v>22</v>
      </c>
      <c r="E1955" t="s">
        <v>21</v>
      </c>
      <c r="F1955">
        <v>1</v>
      </c>
      <c r="G1955" t="s">
        <v>21</v>
      </c>
      <c r="H1955" s="1">
        <v>45032</v>
      </c>
      <c r="I1955">
        <v>2023</v>
      </c>
      <c r="J1955">
        <v>4</v>
      </c>
      <c r="K1955" t="s">
        <v>22</v>
      </c>
      <c r="L1955">
        <v>1</v>
      </c>
      <c r="M1955">
        <v>1</v>
      </c>
    </row>
    <row r="1956" spans="1:13" x14ac:dyDescent="0.25">
      <c r="A1956" t="s">
        <v>1533</v>
      </c>
      <c r="B1956" t="s">
        <v>77</v>
      </c>
      <c r="C1956" t="s">
        <v>14</v>
      </c>
      <c r="D1956" t="s">
        <v>46</v>
      </c>
      <c r="E1956">
        <v>75</v>
      </c>
      <c r="F1956">
        <v>0.2</v>
      </c>
      <c r="G1956">
        <v>85</v>
      </c>
      <c r="H1956" s="1">
        <v>45030</v>
      </c>
      <c r="I1956">
        <v>2023</v>
      </c>
      <c r="J1956">
        <v>4</v>
      </c>
      <c r="K1956" t="s">
        <v>30</v>
      </c>
      <c r="L1956">
        <v>0</v>
      </c>
      <c r="M1956">
        <v>1</v>
      </c>
    </row>
    <row r="1957" spans="1:13" x14ac:dyDescent="0.25">
      <c r="A1957" t="s">
        <v>1534</v>
      </c>
      <c r="B1957" t="s">
        <v>52</v>
      </c>
      <c r="C1957" t="s">
        <v>14</v>
      </c>
      <c r="D1957" t="s">
        <v>68</v>
      </c>
      <c r="E1957">
        <v>17</v>
      </c>
      <c r="F1957">
        <v>0.17</v>
      </c>
      <c r="G1957">
        <v>18</v>
      </c>
      <c r="H1957" s="1">
        <v>45030</v>
      </c>
      <c r="I1957">
        <v>2023</v>
      </c>
      <c r="J1957">
        <v>4</v>
      </c>
      <c r="K1957" t="s">
        <v>30</v>
      </c>
      <c r="L1957">
        <v>0</v>
      </c>
      <c r="M1957">
        <v>1</v>
      </c>
    </row>
    <row r="1958" spans="1:13" x14ac:dyDescent="0.25">
      <c r="A1958" t="s">
        <v>1535</v>
      </c>
      <c r="B1958" t="s">
        <v>35</v>
      </c>
      <c r="C1958" t="s">
        <v>14</v>
      </c>
      <c r="D1958" t="s">
        <v>33</v>
      </c>
      <c r="E1958" t="s">
        <v>21</v>
      </c>
      <c r="F1958">
        <v>0.18</v>
      </c>
      <c r="G1958">
        <v>127</v>
      </c>
      <c r="H1958" s="1">
        <v>45030</v>
      </c>
      <c r="I1958">
        <v>2023</v>
      </c>
      <c r="J1958">
        <v>4</v>
      </c>
      <c r="K1958" t="s">
        <v>36</v>
      </c>
      <c r="L1958">
        <v>0</v>
      </c>
      <c r="M1958">
        <v>1</v>
      </c>
    </row>
    <row r="1959" spans="1:13" x14ac:dyDescent="0.25">
      <c r="A1959" t="s">
        <v>1536</v>
      </c>
      <c r="B1959" t="s">
        <v>106</v>
      </c>
      <c r="C1959" t="s">
        <v>539</v>
      </c>
      <c r="D1959" t="s">
        <v>46</v>
      </c>
      <c r="E1959" t="s">
        <v>21</v>
      </c>
      <c r="F1959">
        <v>0.25</v>
      </c>
      <c r="G1959">
        <v>150</v>
      </c>
      <c r="H1959" s="1">
        <v>45030</v>
      </c>
      <c r="I1959">
        <v>2023</v>
      </c>
      <c r="J1959">
        <v>4</v>
      </c>
      <c r="K1959" t="s">
        <v>36</v>
      </c>
      <c r="L1959">
        <v>0</v>
      </c>
      <c r="M1959">
        <v>1</v>
      </c>
    </row>
    <row r="1960" spans="1:13" x14ac:dyDescent="0.25">
      <c r="A1960" t="s">
        <v>1537</v>
      </c>
      <c r="B1960" t="s">
        <v>95</v>
      </c>
      <c r="C1960" t="s">
        <v>25</v>
      </c>
      <c r="D1960" t="s">
        <v>46</v>
      </c>
      <c r="E1960" t="s">
        <v>21</v>
      </c>
      <c r="F1960" t="s">
        <v>21</v>
      </c>
      <c r="G1960">
        <v>139</v>
      </c>
      <c r="H1960" s="1">
        <v>45030</v>
      </c>
      <c r="I1960">
        <v>2023</v>
      </c>
      <c r="J1960">
        <v>4</v>
      </c>
      <c r="K1960" t="s">
        <v>36</v>
      </c>
      <c r="L1960" t="s">
        <v>21</v>
      </c>
      <c r="M1960">
        <v>0</v>
      </c>
    </row>
    <row r="1961" spans="1:13" x14ac:dyDescent="0.25">
      <c r="A1961" t="s">
        <v>59</v>
      </c>
      <c r="B1961" t="s">
        <v>28</v>
      </c>
      <c r="C1961" t="s">
        <v>14</v>
      </c>
      <c r="D1961" t="s">
        <v>43</v>
      </c>
      <c r="E1961">
        <v>128</v>
      </c>
      <c r="F1961" t="s">
        <v>21</v>
      </c>
      <c r="G1961">
        <v>849</v>
      </c>
      <c r="H1961" s="1">
        <v>45029</v>
      </c>
      <c r="I1961">
        <v>2023</v>
      </c>
      <c r="J1961">
        <v>4</v>
      </c>
      <c r="K1961" t="s">
        <v>36</v>
      </c>
      <c r="L1961" t="s">
        <v>21</v>
      </c>
      <c r="M1961">
        <v>1</v>
      </c>
    </row>
    <row r="1962" spans="1:13" x14ac:dyDescent="0.25">
      <c r="A1962" t="s">
        <v>1538</v>
      </c>
      <c r="B1962" t="s">
        <v>38</v>
      </c>
      <c r="C1962" t="s">
        <v>14</v>
      </c>
      <c r="D1962" t="s">
        <v>46</v>
      </c>
      <c r="E1962">
        <v>100</v>
      </c>
      <c r="F1962">
        <v>0.4</v>
      </c>
      <c r="G1962">
        <v>282</v>
      </c>
      <c r="H1962" s="1">
        <v>45029</v>
      </c>
      <c r="I1962">
        <v>2023</v>
      </c>
      <c r="J1962">
        <v>4</v>
      </c>
      <c r="K1962" t="s">
        <v>36</v>
      </c>
      <c r="L1962">
        <v>0</v>
      </c>
      <c r="M1962">
        <v>1</v>
      </c>
    </row>
    <row r="1963" spans="1:13" x14ac:dyDescent="0.25">
      <c r="A1963" t="s">
        <v>1539</v>
      </c>
      <c r="B1963" t="s">
        <v>32</v>
      </c>
      <c r="C1963" t="s">
        <v>48</v>
      </c>
      <c r="D1963" t="s">
        <v>49</v>
      </c>
      <c r="E1963" t="s">
        <v>21</v>
      </c>
      <c r="F1963">
        <v>1</v>
      </c>
      <c r="G1963" t="s">
        <v>21</v>
      </c>
      <c r="H1963" s="1">
        <v>45029</v>
      </c>
      <c r="I1963">
        <v>2023</v>
      </c>
      <c r="J1963">
        <v>4</v>
      </c>
      <c r="K1963" t="s">
        <v>22</v>
      </c>
      <c r="L1963">
        <v>1</v>
      </c>
      <c r="M1963">
        <v>1</v>
      </c>
    </row>
    <row r="1964" spans="1:13" x14ac:dyDescent="0.25">
      <c r="A1964" t="s">
        <v>1540</v>
      </c>
      <c r="B1964" t="s">
        <v>73</v>
      </c>
      <c r="C1964" t="s">
        <v>80</v>
      </c>
      <c r="D1964" t="s">
        <v>68</v>
      </c>
      <c r="E1964" t="s">
        <v>21</v>
      </c>
      <c r="F1964">
        <v>1</v>
      </c>
      <c r="G1964">
        <v>20</v>
      </c>
      <c r="H1964" s="1">
        <v>45029</v>
      </c>
      <c r="I1964">
        <v>2023</v>
      </c>
      <c r="J1964">
        <v>4</v>
      </c>
      <c r="K1964" t="s">
        <v>30</v>
      </c>
      <c r="L1964">
        <v>1</v>
      </c>
      <c r="M1964">
        <v>1</v>
      </c>
    </row>
    <row r="1965" spans="1:13" x14ac:dyDescent="0.25">
      <c r="A1965" t="s">
        <v>1541</v>
      </c>
      <c r="B1965" t="s">
        <v>52</v>
      </c>
      <c r="C1965" t="s">
        <v>143</v>
      </c>
      <c r="D1965" t="s">
        <v>22</v>
      </c>
      <c r="E1965" t="s">
        <v>21</v>
      </c>
      <c r="F1965">
        <v>1</v>
      </c>
      <c r="G1965" t="s">
        <v>21</v>
      </c>
      <c r="H1965" s="1">
        <v>45029</v>
      </c>
      <c r="I1965">
        <v>2023</v>
      </c>
      <c r="J1965">
        <v>4</v>
      </c>
      <c r="K1965" t="s">
        <v>22</v>
      </c>
      <c r="L1965">
        <v>1</v>
      </c>
      <c r="M1965">
        <v>1</v>
      </c>
    </row>
    <row r="1966" spans="1:13" x14ac:dyDescent="0.25">
      <c r="A1966" t="s">
        <v>1542</v>
      </c>
      <c r="B1966" t="s">
        <v>99</v>
      </c>
      <c r="C1966" t="s">
        <v>14</v>
      </c>
      <c r="D1966" t="s">
        <v>81</v>
      </c>
      <c r="E1966" t="s">
        <v>21</v>
      </c>
      <c r="F1966" t="s">
        <v>21</v>
      </c>
      <c r="G1966">
        <v>59</v>
      </c>
      <c r="H1966" s="1">
        <v>45029</v>
      </c>
      <c r="I1966">
        <v>2023</v>
      </c>
      <c r="J1966">
        <v>4</v>
      </c>
      <c r="K1966" t="s">
        <v>30</v>
      </c>
      <c r="L1966" t="s">
        <v>21</v>
      </c>
      <c r="M1966">
        <v>0</v>
      </c>
    </row>
    <row r="1967" spans="1:13" x14ac:dyDescent="0.25">
      <c r="A1967" t="s">
        <v>1080</v>
      </c>
      <c r="B1967" t="s">
        <v>13</v>
      </c>
      <c r="C1967" t="s">
        <v>14</v>
      </c>
      <c r="D1967" t="s">
        <v>15</v>
      </c>
      <c r="E1967">
        <v>300</v>
      </c>
      <c r="F1967">
        <v>0.04</v>
      </c>
      <c r="G1967">
        <v>366</v>
      </c>
      <c r="H1967" s="1">
        <v>45028</v>
      </c>
      <c r="I1967">
        <v>2023</v>
      </c>
      <c r="J1967">
        <v>4</v>
      </c>
      <c r="K1967" t="s">
        <v>36</v>
      </c>
      <c r="L1967">
        <v>0</v>
      </c>
      <c r="M1967">
        <v>1</v>
      </c>
    </row>
    <row r="1968" spans="1:13" x14ac:dyDescent="0.25">
      <c r="A1968" t="s">
        <v>1543</v>
      </c>
      <c r="B1968" t="s">
        <v>35</v>
      </c>
      <c r="C1968" t="s">
        <v>14</v>
      </c>
      <c r="D1968" t="s">
        <v>15</v>
      </c>
      <c r="E1968">
        <v>140</v>
      </c>
      <c r="F1968" t="s">
        <v>21</v>
      </c>
      <c r="G1968">
        <v>347</v>
      </c>
      <c r="H1968" s="1">
        <v>45028</v>
      </c>
      <c r="I1968">
        <v>2023</v>
      </c>
      <c r="J1968">
        <v>4</v>
      </c>
      <c r="K1968" t="s">
        <v>36</v>
      </c>
      <c r="L1968" t="s">
        <v>21</v>
      </c>
      <c r="M1968">
        <v>1</v>
      </c>
    </row>
    <row r="1969" spans="1:13" x14ac:dyDescent="0.25">
      <c r="A1969" t="s">
        <v>339</v>
      </c>
      <c r="B1969" t="s">
        <v>35</v>
      </c>
      <c r="C1969" t="s">
        <v>14</v>
      </c>
      <c r="D1969" t="s">
        <v>15</v>
      </c>
      <c r="E1969">
        <v>59</v>
      </c>
      <c r="F1969" t="s">
        <v>21</v>
      </c>
      <c r="G1969">
        <v>5900</v>
      </c>
      <c r="H1969" s="1">
        <v>45028</v>
      </c>
      <c r="I1969">
        <v>2023</v>
      </c>
      <c r="J1969">
        <v>4</v>
      </c>
      <c r="K1969" t="s">
        <v>26</v>
      </c>
      <c r="L1969" t="s">
        <v>21</v>
      </c>
      <c r="M1969">
        <v>1</v>
      </c>
    </row>
    <row r="1970" spans="1:13" x14ac:dyDescent="0.25">
      <c r="A1970" t="s">
        <v>1544</v>
      </c>
      <c r="B1970" t="s">
        <v>95</v>
      </c>
      <c r="C1970" t="s">
        <v>42</v>
      </c>
      <c r="D1970" t="s">
        <v>68</v>
      </c>
      <c r="E1970">
        <v>400</v>
      </c>
      <c r="F1970">
        <v>1</v>
      </c>
      <c r="G1970">
        <v>86</v>
      </c>
      <c r="H1970" s="1">
        <v>45027</v>
      </c>
      <c r="I1970">
        <v>2023</v>
      </c>
      <c r="J1970">
        <v>4</v>
      </c>
      <c r="K1970" t="s">
        <v>30</v>
      </c>
      <c r="L1970">
        <v>1</v>
      </c>
      <c r="M1970">
        <v>1</v>
      </c>
    </row>
    <row r="1971" spans="1:13" x14ac:dyDescent="0.25">
      <c r="A1971" t="s">
        <v>494</v>
      </c>
      <c r="B1971" t="s">
        <v>91</v>
      </c>
      <c r="C1971" t="s">
        <v>14</v>
      </c>
      <c r="D1971" t="s">
        <v>15</v>
      </c>
      <c r="E1971">
        <v>201</v>
      </c>
      <c r="F1971">
        <v>0.04</v>
      </c>
      <c r="G1971">
        <v>320</v>
      </c>
      <c r="H1971" s="1">
        <v>45027</v>
      </c>
      <c r="I1971">
        <v>2023</v>
      </c>
      <c r="J1971">
        <v>4</v>
      </c>
      <c r="K1971" t="s">
        <v>36</v>
      </c>
      <c r="L1971">
        <v>0</v>
      </c>
      <c r="M1971">
        <v>1</v>
      </c>
    </row>
    <row r="1972" spans="1:13" x14ac:dyDescent="0.25">
      <c r="A1972" t="s">
        <v>1545</v>
      </c>
      <c r="B1972" t="s">
        <v>54</v>
      </c>
      <c r="C1972" t="s">
        <v>80</v>
      </c>
      <c r="D1972" t="s">
        <v>46</v>
      </c>
      <c r="E1972">
        <v>80</v>
      </c>
      <c r="F1972">
        <v>0.4</v>
      </c>
      <c r="G1972">
        <v>105</v>
      </c>
      <c r="H1972" s="1">
        <v>45027</v>
      </c>
      <c r="I1972">
        <v>2023</v>
      </c>
      <c r="J1972">
        <v>4</v>
      </c>
      <c r="K1972" t="s">
        <v>36</v>
      </c>
      <c r="L1972">
        <v>0</v>
      </c>
      <c r="M1972">
        <v>1</v>
      </c>
    </row>
    <row r="1973" spans="1:13" x14ac:dyDescent="0.25">
      <c r="A1973" t="s">
        <v>1546</v>
      </c>
      <c r="B1973" t="s">
        <v>35</v>
      </c>
      <c r="C1973" t="s">
        <v>812</v>
      </c>
      <c r="D1973" t="s">
        <v>22</v>
      </c>
      <c r="E1973">
        <v>45</v>
      </c>
      <c r="F1973">
        <v>0.25</v>
      </c>
      <c r="G1973">
        <v>19</v>
      </c>
      <c r="H1973" s="1">
        <v>45027</v>
      </c>
      <c r="I1973">
        <v>2023</v>
      </c>
      <c r="J1973">
        <v>4</v>
      </c>
      <c r="K1973" t="s">
        <v>30</v>
      </c>
      <c r="L1973">
        <v>0</v>
      </c>
      <c r="M1973">
        <v>1</v>
      </c>
    </row>
    <row r="1974" spans="1:13" x14ac:dyDescent="0.25">
      <c r="A1974" t="s">
        <v>465</v>
      </c>
      <c r="B1974" t="s">
        <v>54</v>
      </c>
      <c r="C1974" t="s">
        <v>14</v>
      </c>
      <c r="D1974" t="s">
        <v>15</v>
      </c>
      <c r="E1974" t="s">
        <v>21</v>
      </c>
      <c r="F1974" t="s">
        <v>21</v>
      </c>
      <c r="G1974" t="s">
        <v>21</v>
      </c>
      <c r="H1974" s="1">
        <v>45027</v>
      </c>
      <c r="I1974">
        <v>2023</v>
      </c>
      <c r="J1974">
        <v>4</v>
      </c>
      <c r="K1974" t="s">
        <v>22</v>
      </c>
      <c r="L1974" t="s">
        <v>21</v>
      </c>
      <c r="M1974">
        <v>0</v>
      </c>
    </row>
    <row r="1975" spans="1:13" x14ac:dyDescent="0.25">
      <c r="A1975" t="s">
        <v>1547</v>
      </c>
      <c r="B1975" t="s">
        <v>66</v>
      </c>
      <c r="C1975" t="s">
        <v>48</v>
      </c>
      <c r="D1975" t="s">
        <v>46</v>
      </c>
      <c r="E1975" t="s">
        <v>21</v>
      </c>
      <c r="F1975">
        <v>0.1</v>
      </c>
      <c r="G1975">
        <v>92</v>
      </c>
      <c r="H1975" s="1">
        <v>45027</v>
      </c>
      <c r="I1975">
        <v>2023</v>
      </c>
      <c r="J1975">
        <v>4</v>
      </c>
      <c r="K1975" t="s">
        <v>30</v>
      </c>
      <c r="L1975">
        <v>0</v>
      </c>
      <c r="M1975">
        <v>1</v>
      </c>
    </row>
    <row r="1976" spans="1:13" x14ac:dyDescent="0.25">
      <c r="A1976" t="s">
        <v>1548</v>
      </c>
      <c r="B1976" t="s">
        <v>106</v>
      </c>
      <c r="C1976" t="s">
        <v>14</v>
      </c>
      <c r="D1976" t="s">
        <v>33</v>
      </c>
      <c r="E1976" t="s">
        <v>21</v>
      </c>
      <c r="F1976" t="s">
        <v>21</v>
      </c>
      <c r="G1976">
        <v>81</v>
      </c>
      <c r="H1976" s="1">
        <v>45027</v>
      </c>
      <c r="I1976">
        <v>2023</v>
      </c>
      <c r="J1976">
        <v>4</v>
      </c>
      <c r="K1976" t="s">
        <v>30</v>
      </c>
      <c r="L1976" t="s">
        <v>21</v>
      </c>
      <c r="M1976">
        <v>0</v>
      </c>
    </row>
    <row r="1977" spans="1:13" x14ac:dyDescent="0.25">
      <c r="A1977" t="s">
        <v>838</v>
      </c>
      <c r="B1977" t="s">
        <v>117</v>
      </c>
      <c r="C1977" t="s">
        <v>14</v>
      </c>
      <c r="D1977" t="s">
        <v>55</v>
      </c>
      <c r="E1977">
        <v>45</v>
      </c>
      <c r="F1977">
        <v>0.08</v>
      </c>
      <c r="G1977">
        <v>399</v>
      </c>
      <c r="H1977" s="1">
        <v>45026</v>
      </c>
      <c r="I1977">
        <v>2023</v>
      </c>
      <c r="J1977">
        <v>4</v>
      </c>
      <c r="K1977" t="s">
        <v>36</v>
      </c>
      <c r="L1977">
        <v>0</v>
      </c>
      <c r="M1977">
        <v>1</v>
      </c>
    </row>
    <row r="1978" spans="1:13" x14ac:dyDescent="0.25">
      <c r="A1978" t="s">
        <v>644</v>
      </c>
      <c r="B1978" t="s">
        <v>217</v>
      </c>
      <c r="C1978" t="s">
        <v>14</v>
      </c>
      <c r="D1978" t="s">
        <v>22</v>
      </c>
      <c r="E1978">
        <v>10</v>
      </c>
      <c r="F1978">
        <v>0.37</v>
      </c>
      <c r="G1978">
        <v>13</v>
      </c>
      <c r="H1978" s="1">
        <v>45026</v>
      </c>
      <c r="I1978">
        <v>2023</v>
      </c>
      <c r="J1978">
        <v>4</v>
      </c>
      <c r="K1978" t="s">
        <v>30</v>
      </c>
      <c r="L1978">
        <v>0</v>
      </c>
      <c r="M1978">
        <v>1</v>
      </c>
    </row>
    <row r="1979" spans="1:13" x14ac:dyDescent="0.25">
      <c r="A1979" t="s">
        <v>353</v>
      </c>
      <c r="B1979" t="s">
        <v>77</v>
      </c>
      <c r="C1979" t="s">
        <v>48</v>
      </c>
      <c r="D1979" t="s">
        <v>33</v>
      </c>
      <c r="E1979">
        <v>150</v>
      </c>
      <c r="F1979">
        <v>0.25</v>
      </c>
      <c r="G1979">
        <v>71</v>
      </c>
      <c r="H1979" s="1">
        <v>45025</v>
      </c>
      <c r="I1979">
        <v>2023</v>
      </c>
      <c r="J1979">
        <v>4</v>
      </c>
      <c r="K1979" t="s">
        <v>30</v>
      </c>
      <c r="L1979">
        <v>0</v>
      </c>
      <c r="M1979">
        <v>1</v>
      </c>
    </row>
    <row r="1980" spans="1:13" x14ac:dyDescent="0.25">
      <c r="A1980" t="s">
        <v>1549</v>
      </c>
      <c r="B1980" t="s">
        <v>35</v>
      </c>
      <c r="C1980" t="s">
        <v>48</v>
      </c>
      <c r="D1980" t="s">
        <v>55</v>
      </c>
      <c r="E1980">
        <v>41</v>
      </c>
      <c r="F1980" t="s">
        <v>21</v>
      </c>
      <c r="G1980">
        <v>222</v>
      </c>
      <c r="H1980" s="1">
        <v>45024</v>
      </c>
      <c r="I1980">
        <v>2023</v>
      </c>
      <c r="J1980">
        <v>4</v>
      </c>
      <c r="K1980" t="s">
        <v>36</v>
      </c>
      <c r="L1980" t="s">
        <v>21</v>
      </c>
      <c r="M1980">
        <v>1</v>
      </c>
    </row>
    <row r="1981" spans="1:13" x14ac:dyDescent="0.25">
      <c r="A1981" t="s">
        <v>1550</v>
      </c>
      <c r="B1981" t="s">
        <v>35</v>
      </c>
      <c r="C1981" t="s">
        <v>14</v>
      </c>
      <c r="D1981" t="s">
        <v>15</v>
      </c>
      <c r="E1981">
        <v>170</v>
      </c>
      <c r="F1981">
        <v>0.92</v>
      </c>
      <c r="G1981">
        <v>409</v>
      </c>
      <c r="H1981" s="1">
        <v>45023</v>
      </c>
      <c r="I1981">
        <v>2023</v>
      </c>
      <c r="J1981">
        <v>4</v>
      </c>
      <c r="K1981" t="s">
        <v>36</v>
      </c>
      <c r="L1981">
        <v>0</v>
      </c>
      <c r="M1981">
        <v>1</v>
      </c>
    </row>
    <row r="1982" spans="1:13" x14ac:dyDescent="0.25">
      <c r="A1982" t="s">
        <v>1551</v>
      </c>
      <c r="B1982" t="s">
        <v>35</v>
      </c>
      <c r="C1982" t="s">
        <v>14</v>
      </c>
      <c r="D1982" t="s">
        <v>46</v>
      </c>
      <c r="E1982">
        <v>100</v>
      </c>
      <c r="F1982" t="s">
        <v>21</v>
      </c>
      <c r="G1982">
        <v>138</v>
      </c>
      <c r="H1982" s="1">
        <v>45023</v>
      </c>
      <c r="I1982">
        <v>2023</v>
      </c>
      <c r="J1982">
        <v>4</v>
      </c>
      <c r="K1982" t="s">
        <v>36</v>
      </c>
      <c r="L1982" t="s">
        <v>21</v>
      </c>
      <c r="M1982">
        <v>1</v>
      </c>
    </row>
    <row r="1983" spans="1:13" x14ac:dyDescent="0.25">
      <c r="A1983" t="s">
        <v>1028</v>
      </c>
      <c r="B1983" t="s">
        <v>77</v>
      </c>
      <c r="C1983" t="s">
        <v>48</v>
      </c>
      <c r="D1983" t="s">
        <v>46</v>
      </c>
      <c r="E1983">
        <v>100</v>
      </c>
      <c r="F1983">
        <v>0.2</v>
      </c>
      <c r="G1983">
        <v>120</v>
      </c>
      <c r="H1983" s="1">
        <v>45023</v>
      </c>
      <c r="I1983">
        <v>2023</v>
      </c>
      <c r="J1983">
        <v>4</v>
      </c>
      <c r="K1983" t="s">
        <v>36</v>
      </c>
      <c r="L1983">
        <v>0</v>
      </c>
      <c r="M1983">
        <v>1</v>
      </c>
    </row>
    <row r="1984" spans="1:13" x14ac:dyDescent="0.25">
      <c r="A1984" t="s">
        <v>1552</v>
      </c>
      <c r="B1984" t="s">
        <v>28</v>
      </c>
      <c r="C1984" t="s">
        <v>174</v>
      </c>
      <c r="D1984" t="s">
        <v>15</v>
      </c>
      <c r="E1984">
        <v>40</v>
      </c>
      <c r="F1984">
        <v>0.05</v>
      </c>
      <c r="G1984" t="s">
        <v>21</v>
      </c>
      <c r="H1984" s="1">
        <v>45022</v>
      </c>
      <c r="I1984">
        <v>2023</v>
      </c>
      <c r="J1984">
        <v>4</v>
      </c>
      <c r="K1984" t="s">
        <v>22</v>
      </c>
      <c r="L1984">
        <v>0</v>
      </c>
      <c r="M1984">
        <v>1</v>
      </c>
    </row>
    <row r="1985" spans="1:13" x14ac:dyDescent="0.25">
      <c r="A1985" t="s">
        <v>1553</v>
      </c>
      <c r="B1985" t="s">
        <v>66</v>
      </c>
      <c r="C1985" t="s">
        <v>83</v>
      </c>
      <c r="D1985" t="s">
        <v>49</v>
      </c>
      <c r="E1985">
        <v>16</v>
      </c>
      <c r="F1985">
        <v>1</v>
      </c>
      <c r="G1985" t="s">
        <v>21</v>
      </c>
      <c r="H1985" s="1">
        <v>45022</v>
      </c>
      <c r="I1985">
        <v>2023</v>
      </c>
      <c r="J1985">
        <v>4</v>
      </c>
      <c r="K1985" t="s">
        <v>22</v>
      </c>
      <c r="L1985">
        <v>1</v>
      </c>
      <c r="M1985">
        <v>1</v>
      </c>
    </row>
    <row r="1986" spans="1:13" x14ac:dyDescent="0.25">
      <c r="A1986" t="s">
        <v>654</v>
      </c>
      <c r="B1986" t="s">
        <v>95</v>
      </c>
      <c r="C1986" t="s">
        <v>48</v>
      </c>
      <c r="D1986" t="s">
        <v>22</v>
      </c>
      <c r="E1986">
        <v>300</v>
      </c>
      <c r="F1986">
        <v>0.3</v>
      </c>
      <c r="G1986">
        <v>382</v>
      </c>
      <c r="H1986" s="1">
        <v>45021</v>
      </c>
      <c r="I1986">
        <v>2023</v>
      </c>
      <c r="J1986">
        <v>4</v>
      </c>
      <c r="K1986" t="s">
        <v>36</v>
      </c>
      <c r="L1986">
        <v>0</v>
      </c>
      <c r="M1986">
        <v>1</v>
      </c>
    </row>
    <row r="1987" spans="1:13" x14ac:dyDescent="0.25">
      <c r="A1987" t="s">
        <v>1554</v>
      </c>
      <c r="B1987" t="s">
        <v>38</v>
      </c>
      <c r="C1987" t="s">
        <v>14</v>
      </c>
      <c r="D1987" t="s">
        <v>15</v>
      </c>
      <c r="E1987">
        <v>99</v>
      </c>
      <c r="F1987">
        <v>0.13</v>
      </c>
      <c r="G1987">
        <v>311</v>
      </c>
      <c r="H1987" s="1">
        <v>45021</v>
      </c>
      <c r="I1987">
        <v>2023</v>
      </c>
      <c r="J1987">
        <v>4</v>
      </c>
      <c r="K1987" t="s">
        <v>36</v>
      </c>
      <c r="L1987">
        <v>0</v>
      </c>
      <c r="M1987">
        <v>1</v>
      </c>
    </row>
    <row r="1988" spans="1:13" x14ac:dyDescent="0.25">
      <c r="A1988" t="s">
        <v>1188</v>
      </c>
      <c r="B1988" t="s">
        <v>45</v>
      </c>
      <c r="C1988" t="s">
        <v>174</v>
      </c>
      <c r="D1988" t="s">
        <v>33</v>
      </c>
      <c r="E1988">
        <v>86</v>
      </c>
      <c r="F1988">
        <v>0.18</v>
      </c>
      <c r="G1988">
        <v>150</v>
      </c>
      <c r="H1988" s="1">
        <v>45021</v>
      </c>
      <c r="I1988">
        <v>2023</v>
      </c>
      <c r="J1988">
        <v>4</v>
      </c>
      <c r="K1988" t="s">
        <v>36</v>
      </c>
      <c r="L1988">
        <v>0</v>
      </c>
      <c r="M1988">
        <v>1</v>
      </c>
    </row>
    <row r="1989" spans="1:13" x14ac:dyDescent="0.25">
      <c r="A1989" t="s">
        <v>1555</v>
      </c>
      <c r="B1989" t="s">
        <v>24</v>
      </c>
      <c r="C1989" t="s">
        <v>48</v>
      </c>
      <c r="D1989" t="s">
        <v>33</v>
      </c>
      <c r="E1989">
        <v>600</v>
      </c>
      <c r="F1989">
        <v>0.4</v>
      </c>
      <c r="G1989" t="s">
        <v>21</v>
      </c>
      <c r="H1989" s="1">
        <v>45020</v>
      </c>
      <c r="I1989">
        <v>2023</v>
      </c>
      <c r="J1989">
        <v>4</v>
      </c>
      <c r="K1989" t="s">
        <v>22</v>
      </c>
      <c r="L1989">
        <v>0</v>
      </c>
      <c r="M1989">
        <v>1</v>
      </c>
    </row>
    <row r="1990" spans="1:13" x14ac:dyDescent="0.25">
      <c r="A1990" t="s">
        <v>1556</v>
      </c>
      <c r="B1990" t="s">
        <v>35</v>
      </c>
      <c r="C1990" t="s">
        <v>14</v>
      </c>
      <c r="D1990" t="s">
        <v>20</v>
      </c>
      <c r="E1990">
        <v>135</v>
      </c>
      <c r="F1990" t="s">
        <v>21</v>
      </c>
      <c r="G1990">
        <v>96</v>
      </c>
      <c r="H1990" s="1">
        <v>45020</v>
      </c>
      <c r="I1990">
        <v>2023</v>
      </c>
      <c r="J1990">
        <v>4</v>
      </c>
      <c r="K1990" t="s">
        <v>30</v>
      </c>
      <c r="L1990" t="s">
        <v>21</v>
      </c>
      <c r="M1990">
        <v>1</v>
      </c>
    </row>
    <row r="1991" spans="1:13" x14ac:dyDescent="0.25">
      <c r="A1991" t="s">
        <v>867</v>
      </c>
      <c r="B1991" t="s">
        <v>24</v>
      </c>
      <c r="C1991" t="s">
        <v>42</v>
      </c>
      <c r="D1991" t="s">
        <v>22</v>
      </c>
      <c r="E1991">
        <v>40</v>
      </c>
      <c r="F1991" t="s">
        <v>21</v>
      </c>
      <c r="G1991">
        <v>30</v>
      </c>
      <c r="H1991" s="1">
        <v>45020</v>
      </c>
      <c r="I1991">
        <v>2023</v>
      </c>
      <c r="J1991">
        <v>4</v>
      </c>
      <c r="K1991" t="s">
        <v>30</v>
      </c>
      <c r="L1991" t="s">
        <v>21</v>
      </c>
      <c r="M1991">
        <v>1</v>
      </c>
    </row>
    <row r="1992" spans="1:13" x14ac:dyDescent="0.25">
      <c r="A1992" t="s">
        <v>1557</v>
      </c>
      <c r="B1992" t="s">
        <v>77</v>
      </c>
      <c r="C1992" t="s">
        <v>14</v>
      </c>
      <c r="D1992" t="s">
        <v>33</v>
      </c>
      <c r="E1992">
        <v>15</v>
      </c>
      <c r="F1992">
        <v>0.2</v>
      </c>
      <c r="G1992">
        <v>37</v>
      </c>
      <c r="H1992" s="1">
        <v>45020</v>
      </c>
      <c r="I1992">
        <v>2023</v>
      </c>
      <c r="J1992">
        <v>4</v>
      </c>
      <c r="K1992" t="s">
        <v>30</v>
      </c>
      <c r="L1992">
        <v>0</v>
      </c>
      <c r="M1992">
        <v>1</v>
      </c>
    </row>
    <row r="1993" spans="1:13" x14ac:dyDescent="0.25">
      <c r="A1993" t="s">
        <v>1558</v>
      </c>
      <c r="B1993" t="s">
        <v>24</v>
      </c>
      <c r="C1993" t="s">
        <v>256</v>
      </c>
      <c r="D1993" t="s">
        <v>81</v>
      </c>
      <c r="E1993" t="s">
        <v>21</v>
      </c>
      <c r="F1993" t="s">
        <v>21</v>
      </c>
      <c r="G1993" t="s">
        <v>21</v>
      </c>
      <c r="H1993" s="1">
        <v>45020</v>
      </c>
      <c r="I1993">
        <v>2023</v>
      </c>
      <c r="J1993">
        <v>4</v>
      </c>
      <c r="K1993" t="s">
        <v>22</v>
      </c>
      <c r="L1993" t="s">
        <v>21</v>
      </c>
      <c r="M1993">
        <v>0</v>
      </c>
    </row>
    <row r="1994" spans="1:13" x14ac:dyDescent="0.25">
      <c r="A1994" t="s">
        <v>1559</v>
      </c>
      <c r="B1994" t="s">
        <v>13</v>
      </c>
      <c r="C1994" t="s">
        <v>14</v>
      </c>
      <c r="D1994" t="s">
        <v>20</v>
      </c>
      <c r="E1994">
        <v>1000</v>
      </c>
      <c r="F1994">
        <v>0.2</v>
      </c>
      <c r="G1994" t="s">
        <v>21</v>
      </c>
      <c r="H1994" s="1">
        <v>45019</v>
      </c>
      <c r="I1994">
        <v>2023</v>
      </c>
      <c r="J1994">
        <v>4</v>
      </c>
      <c r="K1994" t="s">
        <v>22</v>
      </c>
      <c r="L1994">
        <v>0</v>
      </c>
      <c r="M1994">
        <v>1</v>
      </c>
    </row>
    <row r="1995" spans="1:13" x14ac:dyDescent="0.25">
      <c r="A1995" t="s">
        <v>1560</v>
      </c>
      <c r="B1995" t="s">
        <v>13</v>
      </c>
      <c r="C1995" t="s">
        <v>14</v>
      </c>
      <c r="D1995" t="s">
        <v>15</v>
      </c>
      <c r="E1995">
        <v>170</v>
      </c>
      <c r="F1995">
        <v>0.23</v>
      </c>
      <c r="G1995">
        <v>2300</v>
      </c>
      <c r="H1995" s="1">
        <v>45019</v>
      </c>
      <c r="I1995">
        <v>2023</v>
      </c>
      <c r="J1995">
        <v>4</v>
      </c>
      <c r="K1995" t="s">
        <v>26</v>
      </c>
      <c r="L1995">
        <v>0</v>
      </c>
      <c r="M1995">
        <v>1</v>
      </c>
    </row>
    <row r="1996" spans="1:13" x14ac:dyDescent="0.25">
      <c r="A1996" t="s">
        <v>1561</v>
      </c>
      <c r="B1996" t="s">
        <v>77</v>
      </c>
      <c r="C1996" t="s">
        <v>14</v>
      </c>
      <c r="D1996" t="s">
        <v>111</v>
      </c>
      <c r="E1996">
        <v>48</v>
      </c>
      <c r="F1996">
        <v>0.11</v>
      </c>
      <c r="G1996">
        <v>339</v>
      </c>
      <c r="H1996" s="1">
        <v>45019</v>
      </c>
      <c r="I1996">
        <v>2023</v>
      </c>
      <c r="J1996">
        <v>4</v>
      </c>
      <c r="K1996" t="s">
        <v>36</v>
      </c>
      <c r="L1996">
        <v>0</v>
      </c>
      <c r="M1996">
        <v>1</v>
      </c>
    </row>
    <row r="1997" spans="1:13" x14ac:dyDescent="0.25">
      <c r="A1997" t="s">
        <v>526</v>
      </c>
      <c r="B1997" t="s">
        <v>45</v>
      </c>
      <c r="C1997" t="s">
        <v>14</v>
      </c>
      <c r="D1997" t="s">
        <v>22</v>
      </c>
      <c r="E1997">
        <v>15</v>
      </c>
      <c r="F1997">
        <v>0.12</v>
      </c>
      <c r="G1997">
        <v>42</v>
      </c>
      <c r="H1997" s="1">
        <v>45019</v>
      </c>
      <c r="I1997">
        <v>2023</v>
      </c>
      <c r="J1997">
        <v>4</v>
      </c>
      <c r="K1997" t="s">
        <v>30</v>
      </c>
      <c r="L1997">
        <v>0</v>
      </c>
      <c r="M1997">
        <v>1</v>
      </c>
    </row>
    <row r="1998" spans="1:13" x14ac:dyDescent="0.25">
      <c r="A1998" t="s">
        <v>564</v>
      </c>
      <c r="B1998" t="s">
        <v>24</v>
      </c>
      <c r="C1998" t="s">
        <v>14</v>
      </c>
      <c r="D1998" t="s">
        <v>15</v>
      </c>
      <c r="E1998" t="s">
        <v>21</v>
      </c>
      <c r="F1998" t="s">
        <v>21</v>
      </c>
      <c r="G1998">
        <v>6200</v>
      </c>
      <c r="H1998" s="1">
        <v>45019</v>
      </c>
      <c r="I1998">
        <v>2023</v>
      </c>
      <c r="J1998">
        <v>4</v>
      </c>
      <c r="K1998" t="s">
        <v>26</v>
      </c>
      <c r="L1998" t="s">
        <v>21</v>
      </c>
      <c r="M1998">
        <v>0</v>
      </c>
    </row>
    <row r="1999" spans="1:13" x14ac:dyDescent="0.25">
      <c r="A1999" t="s">
        <v>1006</v>
      </c>
      <c r="B1999" t="s">
        <v>77</v>
      </c>
      <c r="C1999" t="s">
        <v>80</v>
      </c>
      <c r="D1999" t="s">
        <v>55</v>
      </c>
      <c r="E1999" t="s">
        <v>21</v>
      </c>
      <c r="F1999" t="s">
        <v>21</v>
      </c>
      <c r="G1999">
        <v>1800</v>
      </c>
      <c r="H1999" s="1">
        <v>45019</v>
      </c>
      <c r="I1999">
        <v>2023</v>
      </c>
      <c r="J1999">
        <v>4</v>
      </c>
      <c r="K1999" t="s">
        <v>26</v>
      </c>
      <c r="L1999" t="s">
        <v>21</v>
      </c>
      <c r="M1999">
        <v>0</v>
      </c>
    </row>
    <row r="2000" spans="1:13" x14ac:dyDescent="0.25">
      <c r="A2000" t="s">
        <v>1562</v>
      </c>
      <c r="B2000" t="s">
        <v>106</v>
      </c>
      <c r="C2000" t="s">
        <v>757</v>
      </c>
      <c r="D2000" t="s">
        <v>55</v>
      </c>
      <c r="E2000">
        <v>89</v>
      </c>
      <c r="F2000">
        <v>0.45</v>
      </c>
      <c r="G2000">
        <v>130</v>
      </c>
      <c r="H2000" s="1">
        <v>45016</v>
      </c>
      <c r="I2000">
        <v>2023</v>
      </c>
      <c r="J2000">
        <v>3</v>
      </c>
      <c r="K2000" t="s">
        <v>36</v>
      </c>
      <c r="L2000">
        <v>0</v>
      </c>
      <c r="M2000">
        <v>1</v>
      </c>
    </row>
    <row r="2001" spans="1:13" x14ac:dyDescent="0.25">
      <c r="A2001" t="s">
        <v>1563</v>
      </c>
      <c r="B2001" t="s">
        <v>38</v>
      </c>
      <c r="C2001" t="s">
        <v>14</v>
      </c>
      <c r="D2001" t="s">
        <v>33</v>
      </c>
      <c r="E2001" t="s">
        <v>21</v>
      </c>
      <c r="F2001" t="s">
        <v>21</v>
      </c>
      <c r="G2001">
        <v>181</v>
      </c>
      <c r="H2001" s="1">
        <v>45016</v>
      </c>
      <c r="I2001">
        <v>2023</v>
      </c>
      <c r="J2001">
        <v>3</v>
      </c>
      <c r="K2001" t="s">
        <v>36</v>
      </c>
      <c r="L2001" t="s">
        <v>21</v>
      </c>
      <c r="M2001">
        <v>0</v>
      </c>
    </row>
    <row r="2002" spans="1:13" x14ac:dyDescent="0.25">
      <c r="A2002" t="s">
        <v>1564</v>
      </c>
      <c r="B2002" t="s">
        <v>32</v>
      </c>
      <c r="C2002" t="s">
        <v>657</v>
      </c>
      <c r="D2002" t="s">
        <v>20</v>
      </c>
      <c r="E2002">
        <v>200</v>
      </c>
      <c r="F2002" t="s">
        <v>21</v>
      </c>
      <c r="G2002">
        <v>683</v>
      </c>
      <c r="H2002" s="1">
        <v>45015</v>
      </c>
      <c r="I2002">
        <v>2023</v>
      </c>
      <c r="J2002">
        <v>3</v>
      </c>
      <c r="K2002" t="s">
        <v>36</v>
      </c>
      <c r="L2002" t="s">
        <v>21</v>
      </c>
      <c r="M2002">
        <v>1</v>
      </c>
    </row>
    <row r="2003" spans="1:13" x14ac:dyDescent="0.25">
      <c r="A2003" t="s">
        <v>1181</v>
      </c>
      <c r="B2003" t="s">
        <v>32</v>
      </c>
      <c r="C2003" t="s">
        <v>14</v>
      </c>
      <c r="D2003" t="s">
        <v>15</v>
      </c>
      <c r="E2003">
        <v>200</v>
      </c>
      <c r="F2003">
        <v>0.06</v>
      </c>
      <c r="G2003">
        <v>208</v>
      </c>
      <c r="H2003" s="1">
        <v>45015</v>
      </c>
      <c r="I2003">
        <v>2023</v>
      </c>
      <c r="J2003">
        <v>3</v>
      </c>
      <c r="K2003" t="s">
        <v>36</v>
      </c>
      <c r="L2003">
        <v>0</v>
      </c>
      <c r="M2003">
        <v>1</v>
      </c>
    </row>
    <row r="2004" spans="1:13" x14ac:dyDescent="0.25">
      <c r="A2004" t="s">
        <v>1565</v>
      </c>
      <c r="B2004" t="s">
        <v>77</v>
      </c>
      <c r="C2004" t="s">
        <v>14</v>
      </c>
      <c r="D2004" t="s">
        <v>15</v>
      </c>
      <c r="E2004">
        <v>150</v>
      </c>
      <c r="F2004">
        <v>0.13</v>
      </c>
      <c r="G2004" t="s">
        <v>21</v>
      </c>
      <c r="H2004" s="1">
        <v>45015</v>
      </c>
      <c r="I2004">
        <v>2023</v>
      </c>
      <c r="J2004">
        <v>3</v>
      </c>
      <c r="K2004" t="s">
        <v>22</v>
      </c>
      <c r="L2004">
        <v>0</v>
      </c>
      <c r="M2004">
        <v>1</v>
      </c>
    </row>
    <row r="2005" spans="1:13" x14ac:dyDescent="0.25">
      <c r="A2005" t="s">
        <v>1566</v>
      </c>
      <c r="B2005" t="s">
        <v>18</v>
      </c>
      <c r="C2005" t="s">
        <v>48</v>
      </c>
      <c r="D2005" t="s">
        <v>33</v>
      </c>
      <c r="E2005">
        <v>100</v>
      </c>
      <c r="F2005">
        <v>0.75</v>
      </c>
      <c r="G2005">
        <v>50</v>
      </c>
      <c r="H2005" s="1">
        <v>45015</v>
      </c>
      <c r="I2005">
        <v>2023</v>
      </c>
      <c r="J2005">
        <v>3</v>
      </c>
      <c r="K2005" t="s">
        <v>30</v>
      </c>
      <c r="L2005">
        <v>0</v>
      </c>
      <c r="M2005">
        <v>1</v>
      </c>
    </row>
    <row r="2006" spans="1:13" x14ac:dyDescent="0.25">
      <c r="A2006" t="s">
        <v>669</v>
      </c>
      <c r="B2006" t="s">
        <v>77</v>
      </c>
      <c r="C2006" t="s">
        <v>14</v>
      </c>
      <c r="D2006" t="s">
        <v>68</v>
      </c>
      <c r="E2006">
        <v>19</v>
      </c>
      <c r="F2006">
        <v>0.25</v>
      </c>
      <c r="G2006">
        <v>24</v>
      </c>
      <c r="H2006" s="1">
        <v>45015</v>
      </c>
      <c r="I2006">
        <v>2023</v>
      </c>
      <c r="J2006">
        <v>3</v>
      </c>
      <c r="K2006" t="s">
        <v>30</v>
      </c>
      <c r="L2006">
        <v>0</v>
      </c>
      <c r="M2006">
        <v>1</v>
      </c>
    </row>
    <row r="2007" spans="1:13" x14ac:dyDescent="0.25">
      <c r="A2007" t="s">
        <v>1567</v>
      </c>
      <c r="B2007" t="s">
        <v>99</v>
      </c>
      <c r="C2007" t="s">
        <v>14</v>
      </c>
      <c r="D2007" t="s">
        <v>46</v>
      </c>
      <c r="E2007">
        <v>17</v>
      </c>
      <c r="F2007">
        <v>0.15</v>
      </c>
      <c r="G2007">
        <v>116</v>
      </c>
      <c r="H2007" s="1">
        <v>45015</v>
      </c>
      <c r="I2007">
        <v>2023</v>
      </c>
      <c r="J2007">
        <v>3</v>
      </c>
      <c r="K2007" t="s">
        <v>36</v>
      </c>
      <c r="L2007">
        <v>0</v>
      </c>
      <c r="M2007">
        <v>1</v>
      </c>
    </row>
    <row r="2008" spans="1:13" x14ac:dyDescent="0.25">
      <c r="A2008" t="s">
        <v>223</v>
      </c>
      <c r="B2008" t="s">
        <v>32</v>
      </c>
      <c r="C2008" t="s">
        <v>161</v>
      </c>
      <c r="D2008" t="s">
        <v>15</v>
      </c>
      <c r="E2008">
        <v>15</v>
      </c>
      <c r="F2008" t="s">
        <v>21</v>
      </c>
      <c r="G2008">
        <v>2100</v>
      </c>
      <c r="H2008" s="1">
        <v>45015</v>
      </c>
      <c r="I2008">
        <v>2023</v>
      </c>
      <c r="J2008">
        <v>3</v>
      </c>
      <c r="K2008" t="s">
        <v>26</v>
      </c>
      <c r="L2008" t="s">
        <v>21</v>
      </c>
      <c r="M2008">
        <v>1</v>
      </c>
    </row>
    <row r="2009" spans="1:13" x14ac:dyDescent="0.25">
      <c r="A2009" t="s">
        <v>1568</v>
      </c>
      <c r="B2009" t="s">
        <v>54</v>
      </c>
      <c r="C2009" t="s">
        <v>14</v>
      </c>
      <c r="D2009" t="s">
        <v>22</v>
      </c>
      <c r="E2009" t="s">
        <v>21</v>
      </c>
      <c r="F2009">
        <v>0.17</v>
      </c>
      <c r="G2009" t="s">
        <v>21</v>
      </c>
      <c r="H2009" s="1">
        <v>45015</v>
      </c>
      <c r="I2009">
        <v>2023</v>
      </c>
      <c r="J2009">
        <v>3</v>
      </c>
      <c r="K2009" t="s">
        <v>22</v>
      </c>
      <c r="L2009">
        <v>0</v>
      </c>
      <c r="M2009">
        <v>1</v>
      </c>
    </row>
    <row r="2010" spans="1:13" x14ac:dyDescent="0.25">
      <c r="A2010" t="s">
        <v>1569</v>
      </c>
      <c r="B2010" t="s">
        <v>77</v>
      </c>
      <c r="C2010" t="s">
        <v>64</v>
      </c>
      <c r="D2010" t="s">
        <v>22</v>
      </c>
      <c r="E2010" t="s">
        <v>21</v>
      </c>
      <c r="F2010" t="s">
        <v>21</v>
      </c>
      <c r="G2010">
        <v>44</v>
      </c>
      <c r="H2010" s="1">
        <v>45015</v>
      </c>
      <c r="I2010">
        <v>2023</v>
      </c>
      <c r="J2010">
        <v>3</v>
      </c>
      <c r="K2010" t="s">
        <v>30</v>
      </c>
      <c r="L2010" t="s">
        <v>21</v>
      </c>
      <c r="M2010">
        <v>0</v>
      </c>
    </row>
    <row r="2011" spans="1:13" x14ac:dyDescent="0.25">
      <c r="A2011" t="s">
        <v>1570</v>
      </c>
      <c r="B2011" t="s">
        <v>45</v>
      </c>
      <c r="C2011" t="s">
        <v>64</v>
      </c>
      <c r="D2011" t="s">
        <v>20</v>
      </c>
      <c r="E2011" t="s">
        <v>21</v>
      </c>
      <c r="F2011">
        <v>0.9</v>
      </c>
      <c r="G2011" t="s">
        <v>21</v>
      </c>
      <c r="H2011" s="1">
        <v>45015</v>
      </c>
      <c r="I2011">
        <v>2023</v>
      </c>
      <c r="J2011">
        <v>3</v>
      </c>
      <c r="K2011" t="s">
        <v>22</v>
      </c>
      <c r="L2011">
        <v>0</v>
      </c>
      <c r="M2011">
        <v>1</v>
      </c>
    </row>
    <row r="2012" spans="1:13" x14ac:dyDescent="0.25">
      <c r="A2012" t="s">
        <v>1571</v>
      </c>
      <c r="B2012" t="s">
        <v>140</v>
      </c>
      <c r="C2012" t="s">
        <v>14</v>
      </c>
      <c r="D2012" t="s">
        <v>15</v>
      </c>
      <c r="E2012" t="s">
        <v>21</v>
      </c>
      <c r="F2012" t="s">
        <v>21</v>
      </c>
      <c r="G2012" t="s">
        <v>21</v>
      </c>
      <c r="H2012" s="1">
        <v>45015</v>
      </c>
      <c r="I2012">
        <v>2023</v>
      </c>
      <c r="J2012">
        <v>3</v>
      </c>
      <c r="K2012" t="s">
        <v>22</v>
      </c>
      <c r="L2012" t="s">
        <v>21</v>
      </c>
      <c r="M2012">
        <v>0</v>
      </c>
    </row>
    <row r="2013" spans="1:13" x14ac:dyDescent="0.25">
      <c r="A2013" t="s">
        <v>1572</v>
      </c>
      <c r="B2013" t="s">
        <v>117</v>
      </c>
      <c r="C2013" t="s">
        <v>1362</v>
      </c>
      <c r="D2013" t="s">
        <v>46</v>
      </c>
      <c r="E2013" t="s">
        <v>21</v>
      </c>
      <c r="F2013">
        <v>0.15</v>
      </c>
      <c r="G2013" t="s">
        <v>21</v>
      </c>
      <c r="H2013" s="1">
        <v>45015</v>
      </c>
      <c r="I2013">
        <v>2023</v>
      </c>
      <c r="J2013">
        <v>3</v>
      </c>
      <c r="K2013" t="s">
        <v>22</v>
      </c>
      <c r="L2013">
        <v>0</v>
      </c>
      <c r="M2013">
        <v>1</v>
      </c>
    </row>
    <row r="2014" spans="1:13" x14ac:dyDescent="0.25">
      <c r="A2014" t="s">
        <v>713</v>
      </c>
      <c r="B2014" t="s">
        <v>106</v>
      </c>
      <c r="C2014" t="s">
        <v>48</v>
      </c>
      <c r="D2014" t="s">
        <v>347</v>
      </c>
      <c r="E2014" t="s">
        <v>21</v>
      </c>
      <c r="F2014">
        <v>0.12</v>
      </c>
      <c r="G2014">
        <v>838</v>
      </c>
      <c r="H2014" s="1">
        <v>45015</v>
      </c>
      <c r="I2014">
        <v>2023</v>
      </c>
      <c r="J2014">
        <v>3</v>
      </c>
      <c r="K2014" t="s">
        <v>36</v>
      </c>
      <c r="L2014">
        <v>0</v>
      </c>
      <c r="M2014">
        <v>1</v>
      </c>
    </row>
    <row r="2015" spans="1:13" x14ac:dyDescent="0.25">
      <c r="A2015" t="s">
        <v>1573</v>
      </c>
      <c r="B2015" t="s">
        <v>35</v>
      </c>
      <c r="C2015" t="s">
        <v>14</v>
      </c>
      <c r="D2015" t="s">
        <v>20</v>
      </c>
      <c r="E2015">
        <v>800</v>
      </c>
      <c r="F2015" t="s">
        <v>21</v>
      </c>
      <c r="G2015">
        <v>5</v>
      </c>
      <c r="H2015" s="1">
        <v>45014</v>
      </c>
      <c r="I2015">
        <v>2023</v>
      </c>
      <c r="J2015">
        <v>3</v>
      </c>
      <c r="K2015" t="s">
        <v>16</v>
      </c>
      <c r="L2015" t="s">
        <v>21</v>
      </c>
      <c r="M2015">
        <v>1</v>
      </c>
    </row>
    <row r="2016" spans="1:13" x14ac:dyDescent="0.25">
      <c r="A2016" t="s">
        <v>439</v>
      </c>
      <c r="B2016" t="s">
        <v>18</v>
      </c>
      <c r="C2016" t="s">
        <v>14</v>
      </c>
      <c r="D2016" t="s">
        <v>15</v>
      </c>
      <c r="E2016">
        <v>780</v>
      </c>
      <c r="F2016">
        <v>0.06</v>
      </c>
      <c r="G2016">
        <v>2</v>
      </c>
      <c r="H2016" s="1">
        <v>45014</v>
      </c>
      <c r="I2016">
        <v>2023</v>
      </c>
      <c r="J2016">
        <v>3</v>
      </c>
      <c r="K2016" t="s">
        <v>16</v>
      </c>
      <c r="L2016">
        <v>0</v>
      </c>
      <c r="M2016">
        <v>1</v>
      </c>
    </row>
    <row r="2017" spans="1:13" x14ac:dyDescent="0.25">
      <c r="A2017" t="s">
        <v>1574</v>
      </c>
      <c r="B2017" t="s">
        <v>70</v>
      </c>
      <c r="C2017" t="s">
        <v>14</v>
      </c>
      <c r="D2017" t="s">
        <v>15</v>
      </c>
      <c r="E2017">
        <v>480</v>
      </c>
      <c r="F2017" t="s">
        <v>21</v>
      </c>
      <c r="G2017" t="s">
        <v>21</v>
      </c>
      <c r="H2017" s="1">
        <v>45014</v>
      </c>
      <c r="I2017">
        <v>2023</v>
      </c>
      <c r="J2017">
        <v>3</v>
      </c>
      <c r="K2017" t="s">
        <v>22</v>
      </c>
      <c r="L2017" t="s">
        <v>21</v>
      </c>
      <c r="M2017">
        <v>1</v>
      </c>
    </row>
    <row r="2018" spans="1:13" x14ac:dyDescent="0.25">
      <c r="A2018" t="s">
        <v>904</v>
      </c>
      <c r="B2018" t="s">
        <v>24</v>
      </c>
      <c r="C2018" t="s">
        <v>14</v>
      </c>
      <c r="D2018" t="s">
        <v>20</v>
      </c>
      <c r="E2018">
        <v>100</v>
      </c>
      <c r="F2018" t="s">
        <v>21</v>
      </c>
      <c r="G2018">
        <v>119</v>
      </c>
      <c r="H2018" s="1">
        <v>45014</v>
      </c>
      <c r="I2018">
        <v>2023</v>
      </c>
      <c r="J2018">
        <v>3</v>
      </c>
      <c r="K2018" t="s">
        <v>36</v>
      </c>
      <c r="L2018" t="s">
        <v>21</v>
      </c>
      <c r="M2018">
        <v>1</v>
      </c>
    </row>
    <row r="2019" spans="1:13" x14ac:dyDescent="0.25">
      <c r="A2019" t="s">
        <v>1575</v>
      </c>
      <c r="B2019" t="s">
        <v>35</v>
      </c>
      <c r="C2019" t="s">
        <v>14</v>
      </c>
      <c r="D2019" t="s">
        <v>15</v>
      </c>
      <c r="E2019">
        <v>23</v>
      </c>
      <c r="F2019">
        <v>0.28000000000000003</v>
      </c>
      <c r="G2019">
        <v>59</v>
      </c>
      <c r="H2019" s="1">
        <v>45014</v>
      </c>
      <c r="I2019">
        <v>2023</v>
      </c>
      <c r="J2019">
        <v>3</v>
      </c>
      <c r="K2019" t="s">
        <v>30</v>
      </c>
      <c r="L2019">
        <v>0</v>
      </c>
      <c r="M2019">
        <v>1</v>
      </c>
    </row>
    <row r="2020" spans="1:13" x14ac:dyDescent="0.25">
      <c r="A2020" t="s">
        <v>1576</v>
      </c>
      <c r="B2020" t="s">
        <v>13</v>
      </c>
      <c r="C2020" t="s">
        <v>71</v>
      </c>
      <c r="D2020" t="s">
        <v>33</v>
      </c>
      <c r="E2020" t="s">
        <v>21</v>
      </c>
      <c r="F2020">
        <v>0.25</v>
      </c>
      <c r="G2020">
        <v>37</v>
      </c>
      <c r="H2020" s="1">
        <v>45014</v>
      </c>
      <c r="I2020">
        <v>2023</v>
      </c>
      <c r="J2020">
        <v>3</v>
      </c>
      <c r="K2020" t="s">
        <v>30</v>
      </c>
      <c r="L2020">
        <v>0</v>
      </c>
      <c r="M2020">
        <v>1</v>
      </c>
    </row>
    <row r="2021" spans="1:13" x14ac:dyDescent="0.25">
      <c r="A2021" t="s">
        <v>1577</v>
      </c>
      <c r="B2021" t="s">
        <v>77</v>
      </c>
      <c r="C2021" t="s">
        <v>143</v>
      </c>
      <c r="D2021" t="s">
        <v>49</v>
      </c>
      <c r="E2021" t="s">
        <v>21</v>
      </c>
      <c r="F2021" t="s">
        <v>21</v>
      </c>
      <c r="G2021">
        <v>9</v>
      </c>
      <c r="H2021" s="1">
        <v>45014</v>
      </c>
      <c r="I2021">
        <v>2023</v>
      </c>
      <c r="J2021">
        <v>3</v>
      </c>
      <c r="K2021" t="s">
        <v>16</v>
      </c>
      <c r="L2021" t="s">
        <v>21</v>
      </c>
      <c r="M2021">
        <v>0</v>
      </c>
    </row>
    <row r="2022" spans="1:13" x14ac:dyDescent="0.25">
      <c r="A2022" t="s">
        <v>1129</v>
      </c>
      <c r="B2022" t="s">
        <v>66</v>
      </c>
      <c r="C2022" t="s">
        <v>14</v>
      </c>
      <c r="D2022" t="s">
        <v>15</v>
      </c>
      <c r="E2022" t="s">
        <v>21</v>
      </c>
      <c r="F2022">
        <v>0.3</v>
      </c>
      <c r="G2022">
        <v>504</v>
      </c>
      <c r="H2022" s="1">
        <v>45014</v>
      </c>
      <c r="I2022">
        <v>2023</v>
      </c>
      <c r="J2022">
        <v>3</v>
      </c>
      <c r="K2022" t="s">
        <v>36</v>
      </c>
      <c r="L2022">
        <v>0</v>
      </c>
      <c r="M2022">
        <v>1</v>
      </c>
    </row>
    <row r="2023" spans="1:13" x14ac:dyDescent="0.25">
      <c r="A2023" t="s">
        <v>65</v>
      </c>
      <c r="B2023" t="s">
        <v>66</v>
      </c>
      <c r="C2023" t="s">
        <v>14</v>
      </c>
      <c r="D2023" t="s">
        <v>15</v>
      </c>
      <c r="E2023">
        <v>1300</v>
      </c>
      <c r="F2023">
        <v>0.18</v>
      </c>
      <c r="G2023">
        <v>8300</v>
      </c>
      <c r="H2023" s="1">
        <v>45013</v>
      </c>
      <c r="I2023">
        <v>2023</v>
      </c>
      <c r="J2023">
        <v>3</v>
      </c>
      <c r="K2023" t="s">
        <v>26</v>
      </c>
      <c r="L2023">
        <v>0</v>
      </c>
      <c r="M2023">
        <v>1</v>
      </c>
    </row>
    <row r="2024" spans="1:13" x14ac:dyDescent="0.25">
      <c r="A2024" t="s">
        <v>1578</v>
      </c>
      <c r="B2024" t="s">
        <v>24</v>
      </c>
      <c r="C2024" t="s">
        <v>14</v>
      </c>
      <c r="D2024" t="s">
        <v>20</v>
      </c>
      <c r="E2024">
        <v>119</v>
      </c>
      <c r="F2024" t="s">
        <v>21</v>
      </c>
      <c r="G2024">
        <v>62</v>
      </c>
      <c r="H2024" s="1">
        <v>45013</v>
      </c>
      <c r="I2024">
        <v>2023</v>
      </c>
      <c r="J2024">
        <v>3</v>
      </c>
      <c r="K2024" t="s">
        <v>30</v>
      </c>
      <c r="L2024" t="s">
        <v>21</v>
      </c>
      <c r="M2024">
        <v>1</v>
      </c>
    </row>
    <row r="2025" spans="1:13" x14ac:dyDescent="0.25">
      <c r="A2025" t="s">
        <v>1579</v>
      </c>
      <c r="B2025" t="s">
        <v>66</v>
      </c>
      <c r="C2025" t="s">
        <v>14</v>
      </c>
      <c r="D2025" t="s">
        <v>15</v>
      </c>
      <c r="E2025">
        <v>46</v>
      </c>
      <c r="F2025">
        <v>0.33</v>
      </c>
      <c r="G2025">
        <v>314</v>
      </c>
      <c r="H2025" s="1">
        <v>45013</v>
      </c>
      <c r="I2025">
        <v>2023</v>
      </c>
      <c r="J2025">
        <v>3</v>
      </c>
      <c r="K2025" t="s">
        <v>36</v>
      </c>
      <c r="L2025">
        <v>0</v>
      </c>
      <c r="M2025">
        <v>1</v>
      </c>
    </row>
    <row r="2026" spans="1:13" x14ac:dyDescent="0.25">
      <c r="A2026" t="s">
        <v>84</v>
      </c>
      <c r="B2026" t="s">
        <v>38</v>
      </c>
      <c r="C2026" t="s">
        <v>14</v>
      </c>
      <c r="D2026" t="s">
        <v>20</v>
      </c>
      <c r="E2026">
        <v>275</v>
      </c>
      <c r="F2026" t="s">
        <v>21</v>
      </c>
      <c r="G2026">
        <v>17</v>
      </c>
      <c r="H2026" s="1">
        <v>45012</v>
      </c>
      <c r="I2026">
        <v>2023</v>
      </c>
      <c r="J2026">
        <v>3</v>
      </c>
      <c r="K2026" t="s">
        <v>30</v>
      </c>
      <c r="L2026" t="s">
        <v>21</v>
      </c>
      <c r="M2026">
        <v>1</v>
      </c>
    </row>
    <row r="2027" spans="1:13" x14ac:dyDescent="0.25">
      <c r="A2027" t="s">
        <v>1580</v>
      </c>
      <c r="B2027" t="s">
        <v>35</v>
      </c>
      <c r="C2027" t="s">
        <v>14</v>
      </c>
      <c r="D2027" t="s">
        <v>15</v>
      </c>
      <c r="E2027" t="s">
        <v>21</v>
      </c>
      <c r="F2027">
        <v>0.35</v>
      </c>
      <c r="G2027">
        <v>143</v>
      </c>
      <c r="H2027" s="1">
        <v>45012</v>
      </c>
      <c r="I2027">
        <v>2023</v>
      </c>
      <c r="J2027">
        <v>3</v>
      </c>
      <c r="K2027" t="s">
        <v>36</v>
      </c>
      <c r="L2027">
        <v>0</v>
      </c>
      <c r="M2027">
        <v>1</v>
      </c>
    </row>
    <row r="2028" spans="1:13" x14ac:dyDescent="0.25">
      <c r="A2028" t="s">
        <v>1581</v>
      </c>
      <c r="B2028" t="s">
        <v>77</v>
      </c>
      <c r="C2028" t="s">
        <v>14</v>
      </c>
      <c r="D2028" t="s">
        <v>22</v>
      </c>
      <c r="E2028">
        <v>170</v>
      </c>
      <c r="F2028" t="s">
        <v>21</v>
      </c>
      <c r="G2028">
        <v>250</v>
      </c>
      <c r="H2028" s="1">
        <v>45009</v>
      </c>
      <c r="I2028">
        <v>2023</v>
      </c>
      <c r="J2028">
        <v>3</v>
      </c>
      <c r="K2028" t="s">
        <v>36</v>
      </c>
      <c r="L2028" t="s">
        <v>21</v>
      </c>
      <c r="M2028">
        <v>1</v>
      </c>
    </row>
    <row r="2029" spans="1:13" x14ac:dyDescent="0.25">
      <c r="A2029" t="s">
        <v>1582</v>
      </c>
      <c r="B2029" t="s">
        <v>18</v>
      </c>
      <c r="C2029" t="s">
        <v>14</v>
      </c>
      <c r="D2029" t="s">
        <v>20</v>
      </c>
      <c r="E2029" t="s">
        <v>21</v>
      </c>
      <c r="F2029" t="s">
        <v>21</v>
      </c>
      <c r="G2029" t="s">
        <v>21</v>
      </c>
      <c r="H2029" s="1">
        <v>45009</v>
      </c>
      <c r="I2029">
        <v>2023</v>
      </c>
      <c r="J2029">
        <v>3</v>
      </c>
      <c r="K2029" t="s">
        <v>22</v>
      </c>
      <c r="L2029" t="s">
        <v>21</v>
      </c>
      <c r="M2029">
        <v>0</v>
      </c>
    </row>
    <row r="2030" spans="1:13" x14ac:dyDescent="0.25">
      <c r="A2030" t="s">
        <v>1583</v>
      </c>
      <c r="B2030" t="s">
        <v>24</v>
      </c>
      <c r="C2030" t="s">
        <v>539</v>
      </c>
      <c r="D2030" t="s">
        <v>15</v>
      </c>
      <c r="E2030">
        <v>500</v>
      </c>
      <c r="F2030" t="s">
        <v>21</v>
      </c>
      <c r="G2030">
        <v>300</v>
      </c>
      <c r="H2030" s="1">
        <v>45008</v>
      </c>
      <c r="I2030">
        <v>2023</v>
      </c>
      <c r="J2030">
        <v>3</v>
      </c>
      <c r="K2030" t="s">
        <v>36</v>
      </c>
      <c r="L2030" t="s">
        <v>21</v>
      </c>
      <c r="M2030">
        <v>1</v>
      </c>
    </row>
    <row r="2031" spans="1:13" x14ac:dyDescent="0.25">
      <c r="A2031" t="s">
        <v>955</v>
      </c>
      <c r="B2031" t="s">
        <v>38</v>
      </c>
      <c r="C2031" t="s">
        <v>14</v>
      </c>
      <c r="D2031" t="s">
        <v>20</v>
      </c>
      <c r="E2031">
        <v>200</v>
      </c>
      <c r="F2031" t="s">
        <v>21</v>
      </c>
      <c r="G2031">
        <v>500</v>
      </c>
      <c r="H2031" s="1">
        <v>45008</v>
      </c>
      <c r="I2031">
        <v>2023</v>
      </c>
      <c r="J2031">
        <v>3</v>
      </c>
      <c r="K2031" t="s">
        <v>36</v>
      </c>
      <c r="L2031" t="s">
        <v>21</v>
      </c>
      <c r="M2031">
        <v>1</v>
      </c>
    </row>
    <row r="2032" spans="1:13" x14ac:dyDescent="0.25">
      <c r="A2032" t="s">
        <v>756</v>
      </c>
      <c r="B2032" t="s">
        <v>95</v>
      </c>
      <c r="C2032" t="s">
        <v>757</v>
      </c>
      <c r="D2032" t="s">
        <v>20</v>
      </c>
      <c r="E2032">
        <v>140</v>
      </c>
      <c r="F2032" t="s">
        <v>21</v>
      </c>
      <c r="G2032">
        <v>1200</v>
      </c>
      <c r="H2032" s="1">
        <v>45008</v>
      </c>
      <c r="I2032">
        <v>2023</v>
      </c>
      <c r="J2032">
        <v>3</v>
      </c>
      <c r="K2032" t="s">
        <v>26</v>
      </c>
      <c r="L2032" t="s">
        <v>21</v>
      </c>
      <c r="M2032">
        <v>1</v>
      </c>
    </row>
    <row r="2033" spans="1:13" x14ac:dyDescent="0.25">
      <c r="A2033" t="s">
        <v>1584</v>
      </c>
      <c r="B2033" t="s">
        <v>24</v>
      </c>
      <c r="C2033" t="s">
        <v>1585</v>
      </c>
      <c r="D2033" t="s">
        <v>22</v>
      </c>
      <c r="E2033">
        <v>50</v>
      </c>
      <c r="F2033" t="s">
        <v>21</v>
      </c>
      <c r="G2033">
        <v>146</v>
      </c>
      <c r="H2033" s="1">
        <v>45008</v>
      </c>
      <c r="I2033">
        <v>2023</v>
      </c>
      <c r="J2033">
        <v>3</v>
      </c>
      <c r="K2033" t="s">
        <v>36</v>
      </c>
      <c r="L2033" t="s">
        <v>21</v>
      </c>
      <c r="M2033">
        <v>1</v>
      </c>
    </row>
    <row r="2034" spans="1:13" x14ac:dyDescent="0.25">
      <c r="A2034" t="s">
        <v>1586</v>
      </c>
      <c r="B2034" t="s">
        <v>13</v>
      </c>
      <c r="C2034" t="s">
        <v>539</v>
      </c>
      <c r="D2034" t="s">
        <v>68</v>
      </c>
      <c r="E2034">
        <v>10</v>
      </c>
      <c r="F2034">
        <v>0.25</v>
      </c>
      <c r="G2034">
        <v>15</v>
      </c>
      <c r="H2034" s="1">
        <v>45008</v>
      </c>
      <c r="I2034">
        <v>2023</v>
      </c>
      <c r="J2034">
        <v>3</v>
      </c>
      <c r="K2034" t="s">
        <v>30</v>
      </c>
      <c r="L2034">
        <v>0</v>
      </c>
      <c r="M2034">
        <v>1</v>
      </c>
    </row>
    <row r="2035" spans="1:13" x14ac:dyDescent="0.25">
      <c r="A2035" t="s">
        <v>334</v>
      </c>
      <c r="B2035" t="s">
        <v>40</v>
      </c>
      <c r="C2035" t="s">
        <v>14</v>
      </c>
      <c r="D2035" t="s">
        <v>20</v>
      </c>
      <c r="E2035">
        <v>2200</v>
      </c>
      <c r="F2035">
        <v>0.15</v>
      </c>
      <c r="G2035">
        <v>5</v>
      </c>
      <c r="H2035" s="1">
        <v>45007</v>
      </c>
      <c r="I2035">
        <v>2023</v>
      </c>
      <c r="J2035">
        <v>3</v>
      </c>
      <c r="K2035" t="s">
        <v>16</v>
      </c>
      <c r="L2035">
        <v>0</v>
      </c>
      <c r="M2035">
        <v>1</v>
      </c>
    </row>
    <row r="2036" spans="1:13" x14ac:dyDescent="0.25">
      <c r="A2036" t="s">
        <v>1587</v>
      </c>
      <c r="B2036" t="s">
        <v>70</v>
      </c>
      <c r="C2036" t="s">
        <v>62</v>
      </c>
      <c r="D2036" t="s">
        <v>15</v>
      </c>
      <c r="E2036">
        <v>300</v>
      </c>
      <c r="F2036" t="s">
        <v>21</v>
      </c>
      <c r="G2036" t="s">
        <v>21</v>
      </c>
      <c r="H2036" s="1">
        <v>45007</v>
      </c>
      <c r="I2036">
        <v>2023</v>
      </c>
      <c r="J2036">
        <v>3</v>
      </c>
      <c r="K2036" t="s">
        <v>22</v>
      </c>
      <c r="L2036" t="s">
        <v>21</v>
      </c>
      <c r="M2036">
        <v>1</v>
      </c>
    </row>
    <row r="2037" spans="1:13" x14ac:dyDescent="0.25">
      <c r="A2037" t="s">
        <v>1588</v>
      </c>
      <c r="B2037" t="s">
        <v>40</v>
      </c>
      <c r="C2037" t="s">
        <v>14</v>
      </c>
      <c r="D2037" t="s">
        <v>20</v>
      </c>
      <c r="E2037">
        <v>140</v>
      </c>
      <c r="F2037">
        <v>0.15</v>
      </c>
      <c r="G2037">
        <v>204</v>
      </c>
      <c r="H2037" s="1">
        <v>45007</v>
      </c>
      <c r="I2037">
        <v>2023</v>
      </c>
      <c r="J2037">
        <v>3</v>
      </c>
      <c r="K2037" t="s">
        <v>36</v>
      </c>
      <c r="L2037">
        <v>0</v>
      </c>
      <c r="M2037">
        <v>1</v>
      </c>
    </row>
    <row r="2038" spans="1:13" x14ac:dyDescent="0.25">
      <c r="A2038" t="s">
        <v>1589</v>
      </c>
      <c r="B2038" t="s">
        <v>66</v>
      </c>
      <c r="C2038" t="s">
        <v>80</v>
      </c>
      <c r="D2038" t="s">
        <v>15</v>
      </c>
      <c r="E2038">
        <v>40</v>
      </c>
      <c r="F2038">
        <v>0.16</v>
      </c>
      <c r="G2038">
        <v>376</v>
      </c>
      <c r="H2038" s="1">
        <v>45007</v>
      </c>
      <c r="I2038">
        <v>2023</v>
      </c>
      <c r="J2038">
        <v>3</v>
      </c>
      <c r="K2038" t="s">
        <v>36</v>
      </c>
      <c r="L2038">
        <v>0</v>
      </c>
      <c r="M2038">
        <v>1</v>
      </c>
    </row>
    <row r="2039" spans="1:13" x14ac:dyDescent="0.25">
      <c r="A2039" t="s">
        <v>1590</v>
      </c>
      <c r="B2039" t="s">
        <v>52</v>
      </c>
      <c r="C2039" t="s">
        <v>80</v>
      </c>
      <c r="D2039" t="s">
        <v>46</v>
      </c>
      <c r="E2039" t="s">
        <v>21</v>
      </c>
      <c r="F2039">
        <v>0.15</v>
      </c>
      <c r="G2039">
        <v>281</v>
      </c>
      <c r="H2039" s="1">
        <v>45007</v>
      </c>
      <c r="I2039">
        <v>2023</v>
      </c>
      <c r="J2039">
        <v>3</v>
      </c>
      <c r="K2039" t="s">
        <v>36</v>
      </c>
      <c r="L2039">
        <v>0</v>
      </c>
      <c r="M2039">
        <v>1</v>
      </c>
    </row>
    <row r="2040" spans="1:13" x14ac:dyDescent="0.25">
      <c r="A2040" t="s">
        <v>1591</v>
      </c>
      <c r="B2040" t="s">
        <v>38</v>
      </c>
      <c r="C2040" t="s">
        <v>174</v>
      </c>
      <c r="D2040" t="s">
        <v>33</v>
      </c>
      <c r="E2040" t="s">
        <v>21</v>
      </c>
      <c r="F2040" t="s">
        <v>21</v>
      </c>
      <c r="G2040">
        <v>80</v>
      </c>
      <c r="H2040" s="1">
        <v>45007</v>
      </c>
      <c r="I2040">
        <v>2023</v>
      </c>
      <c r="J2040">
        <v>3</v>
      </c>
      <c r="K2040" t="s">
        <v>30</v>
      </c>
      <c r="L2040" t="s">
        <v>21</v>
      </c>
      <c r="M2040">
        <v>0</v>
      </c>
    </row>
    <row r="2041" spans="1:13" x14ac:dyDescent="0.25">
      <c r="A2041" t="s">
        <v>1592</v>
      </c>
      <c r="B2041" t="s">
        <v>91</v>
      </c>
      <c r="C2041" t="s">
        <v>14</v>
      </c>
      <c r="D2041" t="s">
        <v>111</v>
      </c>
      <c r="E2041" t="s">
        <v>21</v>
      </c>
      <c r="F2041">
        <v>0.27</v>
      </c>
      <c r="G2041">
        <v>365</v>
      </c>
      <c r="H2041" s="1">
        <v>45007</v>
      </c>
      <c r="I2041">
        <v>2023</v>
      </c>
      <c r="J2041">
        <v>3</v>
      </c>
      <c r="K2041" t="s">
        <v>36</v>
      </c>
      <c r="L2041">
        <v>0</v>
      </c>
      <c r="M2041">
        <v>1</v>
      </c>
    </row>
    <row r="2042" spans="1:13" x14ac:dyDescent="0.25">
      <c r="A2042" t="s">
        <v>354</v>
      </c>
      <c r="B2042" t="s">
        <v>95</v>
      </c>
      <c r="C2042" t="s">
        <v>80</v>
      </c>
      <c r="D2042" t="s">
        <v>20</v>
      </c>
      <c r="E2042">
        <v>1700</v>
      </c>
      <c r="F2042" t="s">
        <v>21</v>
      </c>
      <c r="G2042" t="s">
        <v>21</v>
      </c>
      <c r="H2042" s="1">
        <v>45006</v>
      </c>
      <c r="I2042">
        <v>2023</v>
      </c>
      <c r="J2042">
        <v>3</v>
      </c>
      <c r="K2042" t="s">
        <v>22</v>
      </c>
      <c r="L2042" t="s">
        <v>21</v>
      </c>
      <c r="M2042">
        <v>1</v>
      </c>
    </row>
    <row r="2043" spans="1:13" x14ac:dyDescent="0.25">
      <c r="A2043" t="s">
        <v>1593</v>
      </c>
      <c r="B2043" t="s">
        <v>70</v>
      </c>
      <c r="C2043" t="s">
        <v>14</v>
      </c>
      <c r="D2043" t="s">
        <v>15</v>
      </c>
      <c r="E2043">
        <v>320</v>
      </c>
      <c r="F2043">
        <v>0.04</v>
      </c>
      <c r="G2043" t="s">
        <v>21</v>
      </c>
      <c r="H2043" s="1">
        <v>45006</v>
      </c>
      <c r="I2043">
        <v>2023</v>
      </c>
      <c r="J2043">
        <v>3</v>
      </c>
      <c r="K2043" t="s">
        <v>22</v>
      </c>
      <c r="L2043">
        <v>0</v>
      </c>
      <c r="M2043">
        <v>1</v>
      </c>
    </row>
    <row r="2044" spans="1:13" x14ac:dyDescent="0.25">
      <c r="A2044" t="s">
        <v>1594</v>
      </c>
      <c r="B2044" t="s">
        <v>40</v>
      </c>
      <c r="C2044" t="s">
        <v>19</v>
      </c>
      <c r="D2044" t="s">
        <v>22</v>
      </c>
      <c r="E2044">
        <v>130</v>
      </c>
      <c r="F2044">
        <v>0.1</v>
      </c>
      <c r="G2044">
        <v>131</v>
      </c>
      <c r="H2044" s="1">
        <v>45006</v>
      </c>
      <c r="I2044">
        <v>2023</v>
      </c>
      <c r="J2044">
        <v>3</v>
      </c>
      <c r="K2044" t="s">
        <v>36</v>
      </c>
      <c r="L2044">
        <v>0</v>
      </c>
      <c r="M2044">
        <v>1</v>
      </c>
    </row>
    <row r="2045" spans="1:13" x14ac:dyDescent="0.25">
      <c r="A2045" t="s">
        <v>624</v>
      </c>
      <c r="B2045" t="s">
        <v>77</v>
      </c>
      <c r="C2045" t="s">
        <v>174</v>
      </c>
      <c r="D2045" t="s">
        <v>22</v>
      </c>
      <c r="E2045">
        <v>80</v>
      </c>
      <c r="F2045">
        <v>0.1</v>
      </c>
      <c r="G2045">
        <v>331</v>
      </c>
      <c r="H2045" s="1">
        <v>45006</v>
      </c>
      <c r="I2045">
        <v>2023</v>
      </c>
      <c r="J2045">
        <v>3</v>
      </c>
      <c r="K2045" t="s">
        <v>36</v>
      </c>
      <c r="L2045">
        <v>0</v>
      </c>
      <c r="M2045">
        <v>1</v>
      </c>
    </row>
    <row r="2046" spans="1:13" x14ac:dyDescent="0.25">
      <c r="A2046" t="s">
        <v>1595</v>
      </c>
      <c r="B2046" t="s">
        <v>40</v>
      </c>
      <c r="C2046" t="s">
        <v>83</v>
      </c>
      <c r="D2046" t="s">
        <v>68</v>
      </c>
      <c r="E2046">
        <v>68</v>
      </c>
      <c r="F2046" t="s">
        <v>21</v>
      </c>
      <c r="G2046" t="s">
        <v>21</v>
      </c>
      <c r="H2046" s="1">
        <v>45006</v>
      </c>
      <c r="I2046">
        <v>2023</v>
      </c>
      <c r="J2046">
        <v>3</v>
      </c>
      <c r="K2046" t="s">
        <v>22</v>
      </c>
      <c r="L2046" t="s">
        <v>21</v>
      </c>
      <c r="M2046">
        <v>1</v>
      </c>
    </row>
    <row r="2047" spans="1:13" x14ac:dyDescent="0.25">
      <c r="A2047" t="s">
        <v>1596</v>
      </c>
      <c r="B2047" t="s">
        <v>95</v>
      </c>
      <c r="C2047" t="s">
        <v>42</v>
      </c>
      <c r="D2047" t="s">
        <v>68</v>
      </c>
      <c r="E2047">
        <v>40</v>
      </c>
      <c r="F2047" t="s">
        <v>21</v>
      </c>
      <c r="G2047">
        <v>101</v>
      </c>
      <c r="H2047" s="1">
        <v>45006</v>
      </c>
      <c r="I2047">
        <v>2023</v>
      </c>
      <c r="J2047">
        <v>3</v>
      </c>
      <c r="K2047" t="s">
        <v>36</v>
      </c>
      <c r="L2047" t="s">
        <v>21</v>
      </c>
      <c r="M2047">
        <v>1</v>
      </c>
    </row>
    <row r="2048" spans="1:13" x14ac:dyDescent="0.25">
      <c r="A2048" t="s">
        <v>1597</v>
      </c>
      <c r="B2048" t="s">
        <v>77</v>
      </c>
      <c r="C2048" t="s">
        <v>48</v>
      </c>
      <c r="D2048" t="s">
        <v>46</v>
      </c>
      <c r="E2048">
        <v>15</v>
      </c>
      <c r="F2048">
        <v>0.04</v>
      </c>
      <c r="G2048">
        <v>62</v>
      </c>
      <c r="H2048" s="1">
        <v>45006</v>
      </c>
      <c r="I2048">
        <v>2023</v>
      </c>
      <c r="J2048">
        <v>3</v>
      </c>
      <c r="K2048" t="s">
        <v>30</v>
      </c>
      <c r="L2048">
        <v>0</v>
      </c>
      <c r="M2048">
        <v>1</v>
      </c>
    </row>
    <row r="2049" spans="1:13" x14ac:dyDescent="0.25">
      <c r="A2049" t="s">
        <v>270</v>
      </c>
      <c r="B2049" t="s">
        <v>73</v>
      </c>
      <c r="C2049" t="s">
        <v>14</v>
      </c>
      <c r="D2049" t="s">
        <v>15</v>
      </c>
      <c r="E2049" t="s">
        <v>21</v>
      </c>
      <c r="F2049" t="s">
        <v>21</v>
      </c>
      <c r="G2049">
        <v>3300</v>
      </c>
      <c r="H2049" s="1">
        <v>45006</v>
      </c>
      <c r="I2049">
        <v>2023</v>
      </c>
      <c r="J2049">
        <v>3</v>
      </c>
      <c r="K2049" t="s">
        <v>26</v>
      </c>
      <c r="L2049" t="s">
        <v>21</v>
      </c>
      <c r="M2049">
        <v>0</v>
      </c>
    </row>
    <row r="2050" spans="1:13" x14ac:dyDescent="0.25">
      <c r="A2050" t="s">
        <v>1598</v>
      </c>
      <c r="B2050" t="s">
        <v>18</v>
      </c>
      <c r="C2050" t="s">
        <v>42</v>
      </c>
      <c r="D2050" t="s">
        <v>68</v>
      </c>
      <c r="E2050" t="s">
        <v>21</v>
      </c>
      <c r="F2050" t="s">
        <v>21</v>
      </c>
      <c r="G2050">
        <v>17</v>
      </c>
      <c r="H2050" s="1">
        <v>45006</v>
      </c>
      <c r="I2050">
        <v>2023</v>
      </c>
      <c r="J2050">
        <v>3</v>
      </c>
      <c r="K2050" t="s">
        <v>30</v>
      </c>
      <c r="L2050" t="s">
        <v>21</v>
      </c>
      <c r="M2050">
        <v>0</v>
      </c>
    </row>
    <row r="2051" spans="1:13" x14ac:dyDescent="0.25">
      <c r="A2051" t="s">
        <v>794</v>
      </c>
      <c r="B2051" t="s">
        <v>54</v>
      </c>
      <c r="C2051" t="s">
        <v>14</v>
      </c>
      <c r="D2051" t="s">
        <v>33</v>
      </c>
      <c r="E2051" t="s">
        <v>21</v>
      </c>
      <c r="F2051" t="s">
        <v>21</v>
      </c>
      <c r="G2051">
        <v>145</v>
      </c>
      <c r="H2051" s="1">
        <v>45006</v>
      </c>
      <c r="I2051">
        <v>2023</v>
      </c>
      <c r="J2051">
        <v>3</v>
      </c>
      <c r="K2051" t="s">
        <v>36</v>
      </c>
      <c r="L2051" t="s">
        <v>21</v>
      </c>
      <c r="M2051">
        <v>0</v>
      </c>
    </row>
    <row r="2052" spans="1:13" x14ac:dyDescent="0.25">
      <c r="A2052" t="s">
        <v>1599</v>
      </c>
      <c r="B2052" t="s">
        <v>77</v>
      </c>
      <c r="C2052" t="s">
        <v>256</v>
      </c>
      <c r="D2052" t="s">
        <v>15</v>
      </c>
      <c r="E2052" t="s">
        <v>21</v>
      </c>
      <c r="F2052">
        <v>0.1</v>
      </c>
      <c r="G2052">
        <v>130</v>
      </c>
      <c r="H2052" s="1">
        <v>45006</v>
      </c>
      <c r="I2052">
        <v>2023</v>
      </c>
      <c r="J2052">
        <v>3</v>
      </c>
      <c r="K2052" t="s">
        <v>36</v>
      </c>
      <c r="L2052">
        <v>0</v>
      </c>
      <c r="M2052">
        <v>1</v>
      </c>
    </row>
    <row r="2053" spans="1:13" x14ac:dyDescent="0.25">
      <c r="A2053" t="s">
        <v>240</v>
      </c>
      <c r="B2053" t="s">
        <v>24</v>
      </c>
      <c r="C2053" t="s">
        <v>14</v>
      </c>
      <c r="D2053" t="s">
        <v>15</v>
      </c>
      <c r="E2053">
        <v>9000</v>
      </c>
      <c r="F2053" t="s">
        <v>21</v>
      </c>
      <c r="G2053">
        <v>108</v>
      </c>
      <c r="H2053" s="1">
        <v>45005</v>
      </c>
      <c r="I2053">
        <v>2023</v>
      </c>
      <c r="J2053">
        <v>3</v>
      </c>
      <c r="K2053" t="s">
        <v>36</v>
      </c>
      <c r="L2053" t="s">
        <v>21</v>
      </c>
      <c r="M2053">
        <v>1</v>
      </c>
    </row>
    <row r="2054" spans="1:13" x14ac:dyDescent="0.25">
      <c r="A2054" t="s">
        <v>1600</v>
      </c>
      <c r="B2054" t="s">
        <v>18</v>
      </c>
      <c r="C2054" t="s">
        <v>870</v>
      </c>
      <c r="D2054" t="s">
        <v>46</v>
      </c>
      <c r="E2054" t="s">
        <v>21</v>
      </c>
      <c r="F2054">
        <v>0.1</v>
      </c>
      <c r="G2054">
        <v>57</v>
      </c>
      <c r="H2054" s="1">
        <v>45005</v>
      </c>
      <c r="I2054">
        <v>2023</v>
      </c>
      <c r="J2054">
        <v>3</v>
      </c>
      <c r="K2054" t="s">
        <v>30</v>
      </c>
      <c r="L2054">
        <v>0</v>
      </c>
      <c r="M2054">
        <v>1</v>
      </c>
    </row>
    <row r="2055" spans="1:13" x14ac:dyDescent="0.25">
      <c r="A2055" t="s">
        <v>253</v>
      </c>
      <c r="B2055" t="s">
        <v>24</v>
      </c>
      <c r="C2055" t="s">
        <v>48</v>
      </c>
      <c r="D2055" t="s">
        <v>43</v>
      </c>
      <c r="E2055">
        <v>100</v>
      </c>
      <c r="F2055">
        <v>0.02</v>
      </c>
      <c r="G2055">
        <v>431</v>
      </c>
      <c r="H2055" s="1">
        <v>45002</v>
      </c>
      <c r="I2055">
        <v>2023</v>
      </c>
      <c r="J2055">
        <v>3</v>
      </c>
      <c r="K2055" t="s">
        <v>36</v>
      </c>
      <c r="L2055">
        <v>0</v>
      </c>
      <c r="M2055">
        <v>1</v>
      </c>
    </row>
    <row r="2056" spans="1:13" x14ac:dyDescent="0.25">
      <c r="A2056" t="s">
        <v>773</v>
      </c>
      <c r="B2056" t="s">
        <v>13</v>
      </c>
      <c r="C2056" t="s">
        <v>174</v>
      </c>
      <c r="D2056" t="s">
        <v>46</v>
      </c>
      <c r="E2056">
        <v>50</v>
      </c>
      <c r="F2056">
        <v>0.25</v>
      </c>
      <c r="G2056">
        <v>148</v>
      </c>
      <c r="H2056" s="1">
        <v>45002</v>
      </c>
      <c r="I2056">
        <v>2023</v>
      </c>
      <c r="J2056">
        <v>3</v>
      </c>
      <c r="K2056" t="s">
        <v>36</v>
      </c>
      <c r="L2056">
        <v>0</v>
      </c>
      <c r="M2056">
        <v>1</v>
      </c>
    </row>
    <row r="2057" spans="1:13" x14ac:dyDescent="0.25">
      <c r="A2057" t="s">
        <v>1601</v>
      </c>
      <c r="B2057" t="s">
        <v>91</v>
      </c>
      <c r="C2057" t="s">
        <v>14</v>
      </c>
      <c r="D2057" t="s">
        <v>22</v>
      </c>
      <c r="E2057" t="s">
        <v>21</v>
      </c>
      <c r="F2057" t="s">
        <v>21</v>
      </c>
      <c r="G2057">
        <v>23</v>
      </c>
      <c r="H2057" s="1">
        <v>45002</v>
      </c>
      <c r="I2057">
        <v>2023</v>
      </c>
      <c r="J2057">
        <v>3</v>
      </c>
      <c r="K2057" t="s">
        <v>30</v>
      </c>
      <c r="L2057" t="s">
        <v>21</v>
      </c>
      <c r="M2057">
        <v>0</v>
      </c>
    </row>
    <row r="2058" spans="1:13" x14ac:dyDescent="0.25">
      <c r="A2058" t="s">
        <v>169</v>
      </c>
      <c r="B2058" t="s">
        <v>89</v>
      </c>
      <c r="C2058" t="s">
        <v>14</v>
      </c>
      <c r="D2058" t="s">
        <v>15</v>
      </c>
      <c r="E2058">
        <v>114</v>
      </c>
      <c r="F2058">
        <v>0.02</v>
      </c>
      <c r="G2058">
        <v>484</v>
      </c>
      <c r="H2058" s="1">
        <v>45001</v>
      </c>
      <c r="I2058">
        <v>2023</v>
      </c>
      <c r="J2058">
        <v>3</v>
      </c>
      <c r="K2058" t="s">
        <v>36</v>
      </c>
      <c r="L2058">
        <v>0</v>
      </c>
      <c r="M2058">
        <v>1</v>
      </c>
    </row>
    <row r="2059" spans="1:13" x14ac:dyDescent="0.25">
      <c r="A2059" t="s">
        <v>1416</v>
      </c>
      <c r="B2059" t="s">
        <v>102</v>
      </c>
      <c r="C2059" t="s">
        <v>14</v>
      </c>
      <c r="D2059" t="s">
        <v>15</v>
      </c>
      <c r="E2059">
        <v>108</v>
      </c>
      <c r="F2059" t="s">
        <v>21</v>
      </c>
      <c r="G2059" t="s">
        <v>21</v>
      </c>
      <c r="H2059" s="1">
        <v>45001</v>
      </c>
      <c r="I2059">
        <v>2023</v>
      </c>
      <c r="J2059">
        <v>3</v>
      </c>
      <c r="K2059" t="s">
        <v>22</v>
      </c>
      <c r="L2059" t="s">
        <v>21</v>
      </c>
      <c r="M2059">
        <v>1</v>
      </c>
    </row>
    <row r="2060" spans="1:13" x14ac:dyDescent="0.25">
      <c r="A2060" t="s">
        <v>641</v>
      </c>
      <c r="B2060" t="s">
        <v>207</v>
      </c>
      <c r="C2060" t="s">
        <v>71</v>
      </c>
      <c r="D2060" t="s">
        <v>20</v>
      </c>
      <c r="E2060">
        <v>70</v>
      </c>
      <c r="F2060">
        <v>0.28000000000000003</v>
      </c>
      <c r="G2060" t="s">
        <v>21</v>
      </c>
      <c r="H2060" s="1">
        <v>45001</v>
      </c>
      <c r="I2060">
        <v>2023</v>
      </c>
      <c r="J2060">
        <v>3</v>
      </c>
      <c r="K2060" t="s">
        <v>22</v>
      </c>
      <c r="L2060">
        <v>0</v>
      </c>
      <c r="M2060">
        <v>1</v>
      </c>
    </row>
    <row r="2061" spans="1:13" x14ac:dyDescent="0.25">
      <c r="A2061" t="s">
        <v>1030</v>
      </c>
      <c r="B2061" t="s">
        <v>106</v>
      </c>
      <c r="C2061" t="s">
        <v>14</v>
      </c>
      <c r="D2061" t="s">
        <v>46</v>
      </c>
      <c r="E2061">
        <v>42</v>
      </c>
      <c r="F2061">
        <v>0.15</v>
      </c>
      <c r="G2061">
        <v>477</v>
      </c>
      <c r="H2061" s="1">
        <v>45001</v>
      </c>
      <c r="I2061">
        <v>2023</v>
      </c>
      <c r="J2061">
        <v>3</v>
      </c>
      <c r="K2061" t="s">
        <v>36</v>
      </c>
      <c r="L2061">
        <v>0</v>
      </c>
      <c r="M2061">
        <v>1</v>
      </c>
    </row>
    <row r="2062" spans="1:13" x14ac:dyDescent="0.25">
      <c r="A2062" t="s">
        <v>1602</v>
      </c>
      <c r="B2062" t="s">
        <v>24</v>
      </c>
      <c r="C2062" t="s">
        <v>14</v>
      </c>
      <c r="D2062" t="s">
        <v>15</v>
      </c>
      <c r="E2062">
        <v>40</v>
      </c>
      <c r="F2062">
        <v>0.21</v>
      </c>
      <c r="G2062">
        <v>71</v>
      </c>
      <c r="H2062" s="1">
        <v>45001</v>
      </c>
      <c r="I2062">
        <v>2023</v>
      </c>
      <c r="J2062">
        <v>3</v>
      </c>
      <c r="K2062" t="s">
        <v>30</v>
      </c>
      <c r="L2062">
        <v>0</v>
      </c>
      <c r="M2062">
        <v>1</v>
      </c>
    </row>
    <row r="2063" spans="1:13" x14ac:dyDescent="0.25">
      <c r="A2063" t="s">
        <v>1603</v>
      </c>
      <c r="B2063" t="s">
        <v>40</v>
      </c>
      <c r="C2063" t="s">
        <v>14</v>
      </c>
      <c r="D2063" t="s">
        <v>33</v>
      </c>
      <c r="E2063" t="s">
        <v>21</v>
      </c>
      <c r="F2063" t="s">
        <v>21</v>
      </c>
      <c r="G2063">
        <v>31</v>
      </c>
      <c r="H2063" s="1">
        <v>45001</v>
      </c>
      <c r="I2063">
        <v>2023</v>
      </c>
      <c r="J2063">
        <v>3</v>
      </c>
      <c r="K2063" t="s">
        <v>30</v>
      </c>
      <c r="L2063" t="s">
        <v>21</v>
      </c>
      <c r="M2063">
        <v>0</v>
      </c>
    </row>
    <row r="2064" spans="1:13" x14ac:dyDescent="0.25">
      <c r="A2064" t="s">
        <v>373</v>
      </c>
      <c r="B2064" t="s">
        <v>54</v>
      </c>
      <c r="C2064" t="s">
        <v>14</v>
      </c>
      <c r="D2064" t="s">
        <v>22</v>
      </c>
      <c r="E2064">
        <v>140</v>
      </c>
      <c r="F2064" t="s">
        <v>21</v>
      </c>
      <c r="G2064">
        <v>778</v>
      </c>
      <c r="H2064" s="1">
        <v>45000</v>
      </c>
      <c r="I2064">
        <v>2023</v>
      </c>
      <c r="J2064">
        <v>3</v>
      </c>
      <c r="K2064" t="s">
        <v>36</v>
      </c>
      <c r="L2064" t="s">
        <v>21</v>
      </c>
      <c r="M2064">
        <v>1</v>
      </c>
    </row>
    <row r="2065" spans="1:13" x14ac:dyDescent="0.25">
      <c r="A2065" t="s">
        <v>1333</v>
      </c>
      <c r="B2065" t="s">
        <v>24</v>
      </c>
      <c r="C2065" t="s">
        <v>48</v>
      </c>
      <c r="D2065" t="s">
        <v>68</v>
      </c>
      <c r="E2065">
        <v>56</v>
      </c>
      <c r="F2065">
        <v>0.3</v>
      </c>
      <c r="G2065">
        <v>17</v>
      </c>
      <c r="H2065" s="1">
        <v>45000</v>
      </c>
      <c r="I2065">
        <v>2023</v>
      </c>
      <c r="J2065">
        <v>3</v>
      </c>
      <c r="K2065" t="s">
        <v>30</v>
      </c>
      <c r="L2065">
        <v>0</v>
      </c>
      <c r="M2065">
        <v>1</v>
      </c>
    </row>
    <row r="2066" spans="1:13" x14ac:dyDescent="0.25">
      <c r="A2066" t="s">
        <v>1604</v>
      </c>
      <c r="B2066" t="s">
        <v>24</v>
      </c>
      <c r="C2066" t="s">
        <v>14</v>
      </c>
      <c r="D2066" t="s">
        <v>15</v>
      </c>
      <c r="E2066">
        <v>32</v>
      </c>
      <c r="F2066">
        <v>0.25</v>
      </c>
      <c r="G2066">
        <v>365</v>
      </c>
      <c r="H2066" s="1">
        <v>45000</v>
      </c>
      <c r="I2066">
        <v>2023</v>
      </c>
      <c r="J2066">
        <v>3</v>
      </c>
      <c r="K2066" t="s">
        <v>36</v>
      </c>
      <c r="L2066">
        <v>0</v>
      </c>
      <c r="M2066">
        <v>1</v>
      </c>
    </row>
    <row r="2067" spans="1:13" x14ac:dyDescent="0.25">
      <c r="A2067" t="s">
        <v>1411</v>
      </c>
      <c r="B2067" t="s">
        <v>77</v>
      </c>
      <c r="C2067" t="s">
        <v>230</v>
      </c>
      <c r="D2067" t="s">
        <v>15</v>
      </c>
      <c r="E2067">
        <v>30</v>
      </c>
      <c r="F2067" t="s">
        <v>21</v>
      </c>
      <c r="G2067">
        <v>4100</v>
      </c>
      <c r="H2067" s="1">
        <v>45000</v>
      </c>
      <c r="I2067">
        <v>2023</v>
      </c>
      <c r="J2067">
        <v>3</v>
      </c>
      <c r="K2067" t="s">
        <v>26</v>
      </c>
      <c r="L2067" t="s">
        <v>21</v>
      </c>
      <c r="M2067">
        <v>1</v>
      </c>
    </row>
    <row r="2068" spans="1:13" x14ac:dyDescent="0.25">
      <c r="A2068" t="s">
        <v>1605</v>
      </c>
      <c r="B2068" t="s">
        <v>77</v>
      </c>
      <c r="C2068" t="s">
        <v>256</v>
      </c>
      <c r="D2068" t="s">
        <v>33</v>
      </c>
      <c r="E2068">
        <v>25</v>
      </c>
      <c r="F2068">
        <v>0.3</v>
      </c>
      <c r="G2068">
        <v>24</v>
      </c>
      <c r="H2068" s="1">
        <v>45000</v>
      </c>
      <c r="I2068">
        <v>2023</v>
      </c>
      <c r="J2068">
        <v>3</v>
      </c>
      <c r="K2068" t="s">
        <v>30</v>
      </c>
      <c r="L2068">
        <v>0</v>
      </c>
      <c r="M2068">
        <v>1</v>
      </c>
    </row>
    <row r="2069" spans="1:13" x14ac:dyDescent="0.25">
      <c r="A2069" t="s">
        <v>1606</v>
      </c>
      <c r="B2069" t="s">
        <v>91</v>
      </c>
      <c r="C2069" t="s">
        <v>14</v>
      </c>
      <c r="D2069" t="s">
        <v>22</v>
      </c>
      <c r="E2069" t="s">
        <v>21</v>
      </c>
      <c r="F2069" t="s">
        <v>21</v>
      </c>
      <c r="G2069">
        <v>172</v>
      </c>
      <c r="H2069" s="1">
        <v>45000</v>
      </c>
      <c r="I2069">
        <v>2023</v>
      </c>
      <c r="J2069">
        <v>3</v>
      </c>
      <c r="K2069" t="s">
        <v>36</v>
      </c>
      <c r="L2069" t="s">
        <v>21</v>
      </c>
      <c r="M2069">
        <v>0</v>
      </c>
    </row>
    <row r="2070" spans="1:13" x14ac:dyDescent="0.25">
      <c r="A2070" t="s">
        <v>131</v>
      </c>
      <c r="B2070" t="s">
        <v>18</v>
      </c>
      <c r="C2070" t="s">
        <v>14</v>
      </c>
      <c r="D2070" t="s">
        <v>15</v>
      </c>
      <c r="E2070">
        <v>10000</v>
      </c>
      <c r="F2070" t="s">
        <v>21</v>
      </c>
      <c r="G2070">
        <v>26000</v>
      </c>
      <c r="H2070" s="1">
        <v>44999</v>
      </c>
      <c r="I2070">
        <v>2023</v>
      </c>
      <c r="J2070">
        <v>3</v>
      </c>
      <c r="K2070" t="s">
        <v>26</v>
      </c>
      <c r="L2070" t="s">
        <v>21</v>
      </c>
      <c r="M2070">
        <v>1</v>
      </c>
    </row>
    <row r="2071" spans="1:13" x14ac:dyDescent="0.25">
      <c r="A2071" t="s">
        <v>1607</v>
      </c>
      <c r="B2071" t="s">
        <v>24</v>
      </c>
      <c r="C2071" t="s">
        <v>14</v>
      </c>
      <c r="D2071" t="s">
        <v>111</v>
      </c>
      <c r="E2071">
        <v>100</v>
      </c>
      <c r="F2071">
        <v>0.1</v>
      </c>
      <c r="G2071">
        <v>581</v>
      </c>
      <c r="H2071" s="1">
        <v>44999</v>
      </c>
      <c r="I2071">
        <v>2023</v>
      </c>
      <c r="J2071">
        <v>3</v>
      </c>
      <c r="K2071" t="s">
        <v>36</v>
      </c>
      <c r="L2071">
        <v>0</v>
      </c>
      <c r="M2071">
        <v>1</v>
      </c>
    </row>
    <row r="2072" spans="1:13" x14ac:dyDescent="0.25">
      <c r="A2072" t="s">
        <v>1608</v>
      </c>
      <c r="B2072" t="s">
        <v>52</v>
      </c>
      <c r="C2072" t="s">
        <v>14</v>
      </c>
      <c r="D2072" t="s">
        <v>55</v>
      </c>
      <c r="E2072">
        <v>75</v>
      </c>
      <c r="F2072">
        <v>0.2</v>
      </c>
      <c r="G2072">
        <v>487</v>
      </c>
      <c r="H2072" s="1">
        <v>44999</v>
      </c>
      <c r="I2072">
        <v>2023</v>
      </c>
      <c r="J2072">
        <v>3</v>
      </c>
      <c r="K2072" t="s">
        <v>36</v>
      </c>
      <c r="L2072">
        <v>0</v>
      </c>
      <c r="M2072">
        <v>1</v>
      </c>
    </row>
    <row r="2073" spans="1:13" x14ac:dyDescent="0.25">
      <c r="A2073" t="s">
        <v>1609</v>
      </c>
      <c r="B2073" t="s">
        <v>70</v>
      </c>
      <c r="C2073" t="s">
        <v>174</v>
      </c>
      <c r="D2073" t="s">
        <v>46</v>
      </c>
      <c r="E2073">
        <v>50</v>
      </c>
      <c r="F2073">
        <v>0.14000000000000001</v>
      </c>
      <c r="G2073">
        <v>106</v>
      </c>
      <c r="H2073" s="1">
        <v>44999</v>
      </c>
      <c r="I2073">
        <v>2023</v>
      </c>
      <c r="J2073">
        <v>3</v>
      </c>
      <c r="K2073" t="s">
        <v>36</v>
      </c>
      <c r="L2073">
        <v>0</v>
      </c>
      <c r="M2073">
        <v>1</v>
      </c>
    </row>
    <row r="2074" spans="1:13" x14ac:dyDescent="0.25">
      <c r="A2074" t="s">
        <v>1610</v>
      </c>
      <c r="B2074" t="s">
        <v>70</v>
      </c>
      <c r="C2074" t="s">
        <v>14</v>
      </c>
      <c r="D2074" t="s">
        <v>15</v>
      </c>
      <c r="E2074">
        <v>30</v>
      </c>
      <c r="F2074" t="s">
        <v>21</v>
      </c>
      <c r="G2074" t="s">
        <v>21</v>
      </c>
      <c r="H2074" s="1">
        <v>44999</v>
      </c>
      <c r="I2074">
        <v>2023</v>
      </c>
      <c r="J2074">
        <v>3</v>
      </c>
      <c r="K2074" t="s">
        <v>22</v>
      </c>
      <c r="L2074" t="s">
        <v>21</v>
      </c>
      <c r="M2074">
        <v>1</v>
      </c>
    </row>
    <row r="2075" spans="1:13" x14ac:dyDescent="0.25">
      <c r="A2075" t="s">
        <v>1611</v>
      </c>
      <c r="B2075" t="s">
        <v>77</v>
      </c>
      <c r="C2075" t="s">
        <v>14</v>
      </c>
      <c r="D2075" t="s">
        <v>68</v>
      </c>
      <c r="E2075">
        <v>15</v>
      </c>
      <c r="F2075">
        <v>0.3</v>
      </c>
      <c r="G2075">
        <v>16</v>
      </c>
      <c r="H2075" s="1">
        <v>44999</v>
      </c>
      <c r="I2075">
        <v>2023</v>
      </c>
      <c r="J2075">
        <v>3</v>
      </c>
      <c r="K2075" t="s">
        <v>30</v>
      </c>
      <c r="L2075">
        <v>0</v>
      </c>
      <c r="M2075">
        <v>1</v>
      </c>
    </row>
    <row r="2076" spans="1:13" x14ac:dyDescent="0.25">
      <c r="A2076" t="s">
        <v>1612</v>
      </c>
      <c r="B2076" t="s">
        <v>66</v>
      </c>
      <c r="C2076" t="s">
        <v>25</v>
      </c>
      <c r="D2076" t="s">
        <v>15</v>
      </c>
      <c r="E2076">
        <v>600</v>
      </c>
      <c r="F2076" t="s">
        <v>21</v>
      </c>
      <c r="G2076">
        <v>1300</v>
      </c>
      <c r="H2076" s="1">
        <v>44995</v>
      </c>
      <c r="I2076">
        <v>2023</v>
      </c>
      <c r="J2076">
        <v>3</v>
      </c>
      <c r="K2076" t="s">
        <v>26</v>
      </c>
      <c r="L2076" t="s">
        <v>21</v>
      </c>
      <c r="M2076">
        <v>1</v>
      </c>
    </row>
    <row r="2077" spans="1:13" x14ac:dyDescent="0.25">
      <c r="A2077" t="s">
        <v>1613</v>
      </c>
      <c r="B2077" t="s">
        <v>18</v>
      </c>
      <c r="C2077" t="s">
        <v>381</v>
      </c>
      <c r="D2077" t="s">
        <v>22</v>
      </c>
      <c r="E2077">
        <v>80</v>
      </c>
      <c r="F2077" t="s">
        <v>21</v>
      </c>
      <c r="G2077" t="s">
        <v>21</v>
      </c>
      <c r="H2077" s="1">
        <v>44995</v>
      </c>
      <c r="I2077">
        <v>2023</v>
      </c>
      <c r="J2077">
        <v>3</v>
      </c>
      <c r="K2077" t="s">
        <v>22</v>
      </c>
      <c r="L2077" t="s">
        <v>21</v>
      </c>
      <c r="M2077">
        <v>1</v>
      </c>
    </row>
    <row r="2078" spans="1:13" x14ac:dyDescent="0.25">
      <c r="A2078" t="s">
        <v>255</v>
      </c>
      <c r="B2078" t="s">
        <v>77</v>
      </c>
      <c r="C2078" t="s">
        <v>256</v>
      </c>
      <c r="D2078" t="s">
        <v>15</v>
      </c>
      <c r="E2078">
        <v>800</v>
      </c>
      <c r="F2078">
        <v>0.15</v>
      </c>
      <c r="G2078">
        <v>681</v>
      </c>
      <c r="H2078" s="1">
        <v>44994</v>
      </c>
      <c r="I2078">
        <v>2023</v>
      </c>
      <c r="J2078">
        <v>3</v>
      </c>
      <c r="K2078" t="s">
        <v>36</v>
      </c>
      <c r="L2078">
        <v>0</v>
      </c>
      <c r="M2078">
        <v>1</v>
      </c>
    </row>
    <row r="2079" spans="1:13" x14ac:dyDescent="0.25">
      <c r="A2079" t="s">
        <v>94</v>
      </c>
      <c r="B2079" t="s">
        <v>95</v>
      </c>
      <c r="C2079" t="s">
        <v>25</v>
      </c>
      <c r="D2079" t="s">
        <v>22</v>
      </c>
      <c r="E2079">
        <v>200</v>
      </c>
      <c r="F2079" t="s">
        <v>21</v>
      </c>
      <c r="G2079" t="s">
        <v>21</v>
      </c>
      <c r="H2079" s="1">
        <v>44994</v>
      </c>
      <c r="I2079">
        <v>2023</v>
      </c>
      <c r="J2079">
        <v>3</v>
      </c>
      <c r="K2079" t="s">
        <v>22</v>
      </c>
      <c r="L2079" t="s">
        <v>21</v>
      </c>
      <c r="M2079">
        <v>1</v>
      </c>
    </row>
    <row r="2080" spans="1:13" x14ac:dyDescent="0.25">
      <c r="A2080" t="s">
        <v>766</v>
      </c>
      <c r="B2080" t="s">
        <v>95</v>
      </c>
      <c r="C2080" t="s">
        <v>14</v>
      </c>
      <c r="D2080" t="s">
        <v>347</v>
      </c>
      <c r="E2080">
        <v>100</v>
      </c>
      <c r="F2080">
        <v>0.02</v>
      </c>
      <c r="G2080">
        <v>3400</v>
      </c>
      <c r="H2080" s="1">
        <v>44994</v>
      </c>
      <c r="I2080">
        <v>2023</v>
      </c>
      <c r="J2080">
        <v>3</v>
      </c>
      <c r="K2080" t="s">
        <v>26</v>
      </c>
      <c r="L2080">
        <v>0</v>
      </c>
      <c r="M2080">
        <v>1</v>
      </c>
    </row>
    <row r="2081" spans="1:13" x14ac:dyDescent="0.25">
      <c r="A2081" t="s">
        <v>1614</v>
      </c>
      <c r="B2081" t="s">
        <v>77</v>
      </c>
      <c r="C2081" t="s">
        <v>174</v>
      </c>
      <c r="D2081" t="s">
        <v>20</v>
      </c>
      <c r="E2081">
        <v>50</v>
      </c>
      <c r="F2081" t="s">
        <v>21</v>
      </c>
      <c r="G2081">
        <v>79</v>
      </c>
      <c r="H2081" s="1">
        <v>44994</v>
      </c>
      <c r="I2081">
        <v>2023</v>
      </c>
      <c r="J2081">
        <v>3</v>
      </c>
      <c r="K2081" t="s">
        <v>30</v>
      </c>
      <c r="L2081" t="s">
        <v>21</v>
      </c>
      <c r="M2081">
        <v>1</v>
      </c>
    </row>
    <row r="2082" spans="1:13" x14ac:dyDescent="0.25">
      <c r="A2082" t="s">
        <v>1615</v>
      </c>
      <c r="B2082" t="s">
        <v>32</v>
      </c>
      <c r="C2082" t="s">
        <v>14</v>
      </c>
      <c r="D2082" t="s">
        <v>20</v>
      </c>
      <c r="E2082">
        <v>40</v>
      </c>
      <c r="F2082" t="s">
        <v>21</v>
      </c>
      <c r="G2082" t="s">
        <v>21</v>
      </c>
      <c r="H2082" s="1">
        <v>44994</v>
      </c>
      <c r="I2082">
        <v>2023</v>
      </c>
      <c r="J2082">
        <v>3</v>
      </c>
      <c r="K2082" t="s">
        <v>22</v>
      </c>
      <c r="L2082" t="s">
        <v>21</v>
      </c>
      <c r="M2082">
        <v>1</v>
      </c>
    </row>
    <row r="2083" spans="1:13" x14ac:dyDescent="0.25">
      <c r="A2083" t="s">
        <v>1603</v>
      </c>
      <c r="B2083" t="s">
        <v>40</v>
      </c>
      <c r="C2083" t="s">
        <v>14</v>
      </c>
      <c r="D2083" t="s">
        <v>33</v>
      </c>
      <c r="E2083" t="s">
        <v>21</v>
      </c>
      <c r="F2083" t="s">
        <v>21</v>
      </c>
      <c r="G2083">
        <v>31</v>
      </c>
      <c r="H2083" s="1">
        <v>44994</v>
      </c>
      <c r="I2083">
        <v>2023</v>
      </c>
      <c r="J2083">
        <v>3</v>
      </c>
      <c r="K2083" t="s">
        <v>30</v>
      </c>
      <c r="L2083" t="s">
        <v>21</v>
      </c>
      <c r="M2083">
        <v>0</v>
      </c>
    </row>
    <row r="2084" spans="1:13" x14ac:dyDescent="0.25">
      <c r="A2084" t="s">
        <v>1616</v>
      </c>
      <c r="B2084" t="s">
        <v>35</v>
      </c>
      <c r="C2084" t="s">
        <v>14</v>
      </c>
      <c r="D2084" t="s">
        <v>15</v>
      </c>
      <c r="E2084" t="s">
        <v>21</v>
      </c>
      <c r="F2084">
        <v>0.7</v>
      </c>
      <c r="G2084">
        <v>157</v>
      </c>
      <c r="H2084" s="1">
        <v>44994</v>
      </c>
      <c r="I2084">
        <v>2023</v>
      </c>
      <c r="J2084">
        <v>3</v>
      </c>
      <c r="K2084" t="s">
        <v>36</v>
      </c>
      <c r="L2084">
        <v>0</v>
      </c>
      <c r="M2084">
        <v>1</v>
      </c>
    </row>
    <row r="2085" spans="1:13" x14ac:dyDescent="0.25">
      <c r="A2085" t="s">
        <v>1617</v>
      </c>
      <c r="B2085" t="s">
        <v>106</v>
      </c>
      <c r="C2085" t="s">
        <v>14</v>
      </c>
      <c r="D2085" t="s">
        <v>68</v>
      </c>
      <c r="E2085" t="s">
        <v>21</v>
      </c>
      <c r="F2085">
        <v>1</v>
      </c>
      <c r="G2085" t="s">
        <v>21</v>
      </c>
      <c r="H2085" s="1">
        <v>44994</v>
      </c>
      <c r="I2085">
        <v>2023</v>
      </c>
      <c r="J2085">
        <v>3</v>
      </c>
      <c r="K2085" t="s">
        <v>22</v>
      </c>
      <c r="L2085">
        <v>1</v>
      </c>
      <c r="M2085">
        <v>1</v>
      </c>
    </row>
    <row r="2086" spans="1:13" x14ac:dyDescent="0.25">
      <c r="A2086" t="s">
        <v>925</v>
      </c>
      <c r="B2086" t="s">
        <v>32</v>
      </c>
      <c r="C2086" t="s">
        <v>174</v>
      </c>
      <c r="D2086" t="s">
        <v>20</v>
      </c>
      <c r="E2086">
        <v>42</v>
      </c>
      <c r="F2086">
        <v>0.15</v>
      </c>
      <c r="G2086">
        <v>117</v>
      </c>
      <c r="H2086" s="1">
        <v>44993</v>
      </c>
      <c r="I2086">
        <v>2023</v>
      </c>
      <c r="J2086">
        <v>3</v>
      </c>
      <c r="K2086" t="s">
        <v>36</v>
      </c>
      <c r="L2086">
        <v>0</v>
      </c>
      <c r="M2086">
        <v>1</v>
      </c>
    </row>
    <row r="2087" spans="1:13" x14ac:dyDescent="0.25">
      <c r="A2087" t="s">
        <v>1618</v>
      </c>
      <c r="B2087" t="s">
        <v>38</v>
      </c>
      <c r="C2087" t="s">
        <v>14</v>
      </c>
      <c r="D2087" t="s">
        <v>33</v>
      </c>
      <c r="E2087" t="s">
        <v>21</v>
      </c>
      <c r="F2087">
        <v>0.15</v>
      </c>
      <c r="G2087">
        <v>52</v>
      </c>
      <c r="H2087" s="1">
        <v>44993</v>
      </c>
      <c r="I2087">
        <v>2023</v>
      </c>
      <c r="J2087">
        <v>3</v>
      </c>
      <c r="K2087" t="s">
        <v>30</v>
      </c>
      <c r="L2087">
        <v>0</v>
      </c>
      <c r="M2087">
        <v>1</v>
      </c>
    </row>
    <row r="2088" spans="1:13" x14ac:dyDescent="0.25">
      <c r="A2088" t="s">
        <v>855</v>
      </c>
      <c r="B2088" t="s">
        <v>35</v>
      </c>
      <c r="C2088" t="s">
        <v>48</v>
      </c>
      <c r="D2088" t="s">
        <v>111</v>
      </c>
      <c r="E2088">
        <v>300</v>
      </c>
      <c r="F2088">
        <v>0.15</v>
      </c>
      <c r="G2088">
        <v>177</v>
      </c>
      <c r="H2088" s="1">
        <v>44992</v>
      </c>
      <c r="I2088">
        <v>2023</v>
      </c>
      <c r="J2088">
        <v>3</v>
      </c>
      <c r="K2088" t="s">
        <v>36</v>
      </c>
      <c r="L2088">
        <v>0</v>
      </c>
      <c r="M2088">
        <v>1</v>
      </c>
    </row>
    <row r="2089" spans="1:13" x14ac:dyDescent="0.25">
      <c r="A2089" t="s">
        <v>911</v>
      </c>
      <c r="B2089" t="s">
        <v>207</v>
      </c>
      <c r="C2089" t="s">
        <v>14</v>
      </c>
      <c r="D2089" t="s">
        <v>46</v>
      </c>
      <c r="E2089">
        <v>80</v>
      </c>
      <c r="F2089">
        <v>0.15</v>
      </c>
      <c r="G2089">
        <v>619</v>
      </c>
      <c r="H2089" s="1">
        <v>44992</v>
      </c>
      <c r="I2089">
        <v>2023</v>
      </c>
      <c r="J2089">
        <v>3</v>
      </c>
      <c r="K2089" t="s">
        <v>36</v>
      </c>
      <c r="L2089">
        <v>0</v>
      </c>
      <c r="M2089">
        <v>1</v>
      </c>
    </row>
    <row r="2090" spans="1:13" x14ac:dyDescent="0.25">
      <c r="A2090" t="s">
        <v>1619</v>
      </c>
      <c r="B2090" t="s">
        <v>77</v>
      </c>
      <c r="C2090" t="s">
        <v>14</v>
      </c>
      <c r="D2090" t="s">
        <v>68</v>
      </c>
      <c r="E2090" t="s">
        <v>21</v>
      </c>
      <c r="F2090">
        <v>1</v>
      </c>
      <c r="G2090">
        <v>18</v>
      </c>
      <c r="H2090" s="1">
        <v>44992</v>
      </c>
      <c r="I2090">
        <v>2023</v>
      </c>
      <c r="J2090">
        <v>3</v>
      </c>
      <c r="K2090" t="s">
        <v>30</v>
      </c>
      <c r="L2090">
        <v>1</v>
      </c>
      <c r="M2090">
        <v>1</v>
      </c>
    </row>
    <row r="2091" spans="1:13" x14ac:dyDescent="0.25">
      <c r="A2091" t="s">
        <v>1620</v>
      </c>
      <c r="B2091" t="s">
        <v>52</v>
      </c>
      <c r="C2091" t="s">
        <v>80</v>
      </c>
      <c r="D2091" t="s">
        <v>22</v>
      </c>
      <c r="E2091" t="s">
        <v>21</v>
      </c>
      <c r="F2091">
        <v>0.25</v>
      </c>
      <c r="G2091">
        <v>6</v>
      </c>
      <c r="H2091" s="1">
        <v>44992</v>
      </c>
      <c r="I2091">
        <v>2023</v>
      </c>
      <c r="J2091">
        <v>3</v>
      </c>
      <c r="K2091" t="s">
        <v>16</v>
      </c>
      <c r="L2091">
        <v>0</v>
      </c>
      <c r="M2091">
        <v>1</v>
      </c>
    </row>
    <row r="2092" spans="1:13" x14ac:dyDescent="0.25">
      <c r="A2092" t="s">
        <v>1621</v>
      </c>
      <c r="B2092" t="s">
        <v>18</v>
      </c>
      <c r="C2092" t="s">
        <v>14</v>
      </c>
      <c r="D2092" t="s">
        <v>15</v>
      </c>
      <c r="E2092" t="s">
        <v>21</v>
      </c>
      <c r="F2092" t="s">
        <v>21</v>
      </c>
      <c r="G2092">
        <v>2700</v>
      </c>
      <c r="H2092" s="1">
        <v>44992</v>
      </c>
      <c r="I2092">
        <v>2023</v>
      </c>
      <c r="J2092">
        <v>3</v>
      </c>
      <c r="K2092" t="s">
        <v>26</v>
      </c>
      <c r="L2092" t="s">
        <v>21</v>
      </c>
      <c r="M2092">
        <v>0</v>
      </c>
    </row>
    <row r="2093" spans="1:13" x14ac:dyDescent="0.25">
      <c r="A2093" t="s">
        <v>1024</v>
      </c>
      <c r="B2093" t="s">
        <v>24</v>
      </c>
      <c r="C2093" t="s">
        <v>14</v>
      </c>
      <c r="D2093" t="s">
        <v>20</v>
      </c>
      <c r="E2093" t="s">
        <v>21</v>
      </c>
      <c r="F2093" t="s">
        <v>21</v>
      </c>
      <c r="G2093">
        <v>194</v>
      </c>
      <c r="H2093" s="1">
        <v>44992</v>
      </c>
      <c r="I2093">
        <v>2023</v>
      </c>
      <c r="J2093">
        <v>3</v>
      </c>
      <c r="K2093" t="s">
        <v>36</v>
      </c>
      <c r="L2093" t="s">
        <v>21</v>
      </c>
      <c r="M2093">
        <v>0</v>
      </c>
    </row>
    <row r="2094" spans="1:13" x14ac:dyDescent="0.25">
      <c r="A2094" t="s">
        <v>233</v>
      </c>
      <c r="B2094" t="s">
        <v>13</v>
      </c>
      <c r="C2094" t="s">
        <v>42</v>
      </c>
      <c r="D2094" t="s">
        <v>15</v>
      </c>
      <c r="E2094">
        <v>500</v>
      </c>
      <c r="F2094">
        <v>0.05</v>
      </c>
      <c r="G2094">
        <v>210</v>
      </c>
      <c r="H2094" s="1">
        <v>44991</v>
      </c>
      <c r="I2094">
        <v>2023</v>
      </c>
      <c r="J2094">
        <v>3</v>
      </c>
      <c r="K2094" t="s">
        <v>36</v>
      </c>
      <c r="L2094">
        <v>0</v>
      </c>
      <c r="M2094">
        <v>1</v>
      </c>
    </row>
    <row r="2095" spans="1:13" x14ac:dyDescent="0.25">
      <c r="A2095" t="s">
        <v>890</v>
      </c>
      <c r="B2095" t="s">
        <v>32</v>
      </c>
      <c r="C2095" t="s">
        <v>14</v>
      </c>
      <c r="D2095" t="s">
        <v>15</v>
      </c>
      <c r="E2095">
        <v>475</v>
      </c>
      <c r="F2095">
        <v>0.08</v>
      </c>
      <c r="G2095">
        <v>525</v>
      </c>
      <c r="H2095" s="1">
        <v>44991</v>
      </c>
      <c r="I2095">
        <v>2023</v>
      </c>
      <c r="J2095">
        <v>3</v>
      </c>
      <c r="K2095" t="s">
        <v>36</v>
      </c>
      <c r="L2095">
        <v>0</v>
      </c>
      <c r="M2095">
        <v>1</v>
      </c>
    </row>
    <row r="2096" spans="1:13" x14ac:dyDescent="0.25">
      <c r="A2096" t="s">
        <v>1046</v>
      </c>
      <c r="B2096" t="s">
        <v>24</v>
      </c>
      <c r="C2096" t="s">
        <v>143</v>
      </c>
      <c r="D2096" t="s">
        <v>33</v>
      </c>
      <c r="E2096">
        <v>400</v>
      </c>
      <c r="F2096" t="s">
        <v>21</v>
      </c>
      <c r="G2096">
        <v>16</v>
      </c>
      <c r="H2096" s="1">
        <v>44991</v>
      </c>
      <c r="I2096">
        <v>2023</v>
      </c>
      <c r="J2096">
        <v>3</v>
      </c>
      <c r="K2096" t="s">
        <v>30</v>
      </c>
      <c r="L2096" t="s">
        <v>21</v>
      </c>
      <c r="M2096">
        <v>1</v>
      </c>
    </row>
    <row r="2097" spans="1:13" x14ac:dyDescent="0.25">
      <c r="A2097" t="s">
        <v>188</v>
      </c>
      <c r="B2097" t="s">
        <v>40</v>
      </c>
      <c r="C2097" t="s">
        <v>14</v>
      </c>
      <c r="D2097" t="s">
        <v>22</v>
      </c>
      <c r="E2097">
        <v>265</v>
      </c>
      <c r="F2097" t="s">
        <v>21</v>
      </c>
      <c r="G2097" t="s">
        <v>21</v>
      </c>
      <c r="H2097" s="1">
        <v>44991</v>
      </c>
      <c r="I2097">
        <v>2023</v>
      </c>
      <c r="J2097">
        <v>3</v>
      </c>
      <c r="K2097" t="s">
        <v>22</v>
      </c>
      <c r="L2097" t="s">
        <v>21</v>
      </c>
      <c r="M2097">
        <v>1</v>
      </c>
    </row>
    <row r="2098" spans="1:13" x14ac:dyDescent="0.25">
      <c r="A2098" t="s">
        <v>1622</v>
      </c>
      <c r="B2098" t="s">
        <v>106</v>
      </c>
      <c r="C2098" t="s">
        <v>48</v>
      </c>
      <c r="D2098" t="s">
        <v>22</v>
      </c>
      <c r="E2098">
        <v>120</v>
      </c>
      <c r="F2098" t="s">
        <v>21</v>
      </c>
      <c r="G2098">
        <v>631</v>
      </c>
      <c r="H2098" s="1">
        <v>44991</v>
      </c>
      <c r="I2098">
        <v>2023</v>
      </c>
      <c r="J2098">
        <v>3</v>
      </c>
      <c r="K2098" t="s">
        <v>36</v>
      </c>
      <c r="L2098" t="s">
        <v>21</v>
      </c>
      <c r="M2098">
        <v>1</v>
      </c>
    </row>
    <row r="2099" spans="1:13" x14ac:dyDescent="0.25">
      <c r="A2099" t="s">
        <v>1623</v>
      </c>
      <c r="B2099" t="s">
        <v>24</v>
      </c>
      <c r="C2099" t="s">
        <v>48</v>
      </c>
      <c r="D2099" t="s">
        <v>111</v>
      </c>
      <c r="E2099">
        <v>30</v>
      </c>
      <c r="F2099" t="s">
        <v>21</v>
      </c>
      <c r="G2099">
        <v>116</v>
      </c>
      <c r="H2099" s="1">
        <v>44991</v>
      </c>
      <c r="I2099">
        <v>2023</v>
      </c>
      <c r="J2099">
        <v>3</v>
      </c>
      <c r="K2099" t="s">
        <v>36</v>
      </c>
      <c r="L2099" t="s">
        <v>21</v>
      </c>
      <c r="M2099">
        <v>1</v>
      </c>
    </row>
    <row r="2100" spans="1:13" x14ac:dyDescent="0.25">
      <c r="A2100" t="s">
        <v>1624</v>
      </c>
      <c r="B2100" t="s">
        <v>24</v>
      </c>
      <c r="C2100" t="s">
        <v>539</v>
      </c>
      <c r="D2100" t="s">
        <v>46</v>
      </c>
      <c r="E2100" t="s">
        <v>21</v>
      </c>
      <c r="F2100" t="s">
        <v>21</v>
      </c>
      <c r="G2100">
        <v>365</v>
      </c>
      <c r="H2100" s="1">
        <v>44991</v>
      </c>
      <c r="I2100">
        <v>2023</v>
      </c>
      <c r="J2100">
        <v>3</v>
      </c>
      <c r="K2100" t="s">
        <v>36</v>
      </c>
      <c r="L2100" t="s">
        <v>21</v>
      </c>
      <c r="M2100">
        <v>0</v>
      </c>
    </row>
    <row r="2101" spans="1:13" x14ac:dyDescent="0.25">
      <c r="A2101" t="s">
        <v>1625</v>
      </c>
      <c r="B2101" t="s">
        <v>40</v>
      </c>
      <c r="C2101" t="s">
        <v>870</v>
      </c>
      <c r="D2101" t="s">
        <v>20</v>
      </c>
      <c r="E2101">
        <v>13</v>
      </c>
      <c r="F2101" t="s">
        <v>21</v>
      </c>
      <c r="G2101" t="s">
        <v>21</v>
      </c>
      <c r="H2101" s="1">
        <v>44989</v>
      </c>
      <c r="I2101">
        <v>2023</v>
      </c>
      <c r="J2101">
        <v>3</v>
      </c>
      <c r="K2101" t="s">
        <v>22</v>
      </c>
      <c r="L2101" t="s">
        <v>21</v>
      </c>
      <c r="M2101">
        <v>1</v>
      </c>
    </row>
    <row r="2102" spans="1:13" x14ac:dyDescent="0.25">
      <c r="A2102" t="s">
        <v>1626</v>
      </c>
      <c r="B2102" t="s">
        <v>91</v>
      </c>
      <c r="C2102" t="s">
        <v>230</v>
      </c>
      <c r="D2102" t="s">
        <v>22</v>
      </c>
      <c r="E2102">
        <v>340</v>
      </c>
      <c r="F2102">
        <v>0.15</v>
      </c>
      <c r="G2102">
        <v>788</v>
      </c>
      <c r="H2102" s="1">
        <v>44988</v>
      </c>
      <c r="I2102">
        <v>2023</v>
      </c>
      <c r="J2102">
        <v>3</v>
      </c>
      <c r="K2102" t="s">
        <v>36</v>
      </c>
      <c r="L2102">
        <v>0</v>
      </c>
      <c r="M2102">
        <v>1</v>
      </c>
    </row>
    <row r="2103" spans="1:13" x14ac:dyDescent="0.25">
      <c r="A2103" t="s">
        <v>1627</v>
      </c>
      <c r="B2103" t="s">
        <v>66</v>
      </c>
      <c r="C2103" t="s">
        <v>14</v>
      </c>
      <c r="D2103" t="s">
        <v>15</v>
      </c>
      <c r="E2103">
        <v>230</v>
      </c>
      <c r="F2103">
        <v>0.7</v>
      </c>
      <c r="G2103">
        <v>317</v>
      </c>
      <c r="H2103" s="1">
        <v>44988</v>
      </c>
      <c r="I2103">
        <v>2023</v>
      </c>
      <c r="J2103">
        <v>3</v>
      </c>
      <c r="K2103" t="s">
        <v>36</v>
      </c>
      <c r="L2103">
        <v>0</v>
      </c>
      <c r="M2103">
        <v>1</v>
      </c>
    </row>
    <row r="2104" spans="1:13" x14ac:dyDescent="0.25">
      <c r="A2104" t="s">
        <v>1628</v>
      </c>
      <c r="B2104" t="s">
        <v>91</v>
      </c>
      <c r="C2104" t="s">
        <v>42</v>
      </c>
      <c r="D2104" t="s">
        <v>22</v>
      </c>
      <c r="E2104">
        <v>100</v>
      </c>
      <c r="F2104" t="s">
        <v>21</v>
      </c>
      <c r="G2104">
        <v>59</v>
      </c>
      <c r="H2104" s="1">
        <v>44988</v>
      </c>
      <c r="I2104">
        <v>2023</v>
      </c>
      <c r="J2104">
        <v>3</v>
      </c>
      <c r="K2104" t="s">
        <v>30</v>
      </c>
      <c r="L2104" t="s">
        <v>21</v>
      </c>
      <c r="M2104">
        <v>1</v>
      </c>
    </row>
    <row r="2105" spans="1:13" x14ac:dyDescent="0.25">
      <c r="A2105" t="s">
        <v>1629</v>
      </c>
      <c r="B2105" t="s">
        <v>54</v>
      </c>
      <c r="C2105" t="s">
        <v>14</v>
      </c>
      <c r="D2105" t="s">
        <v>20</v>
      </c>
      <c r="E2105">
        <v>63</v>
      </c>
      <c r="F2105" t="s">
        <v>21</v>
      </c>
      <c r="G2105">
        <v>152</v>
      </c>
      <c r="H2105" s="1">
        <v>44988</v>
      </c>
      <c r="I2105">
        <v>2023</v>
      </c>
      <c r="J2105">
        <v>3</v>
      </c>
      <c r="K2105" t="s">
        <v>36</v>
      </c>
      <c r="L2105" t="s">
        <v>21</v>
      </c>
      <c r="M2105">
        <v>1</v>
      </c>
    </row>
    <row r="2106" spans="1:13" x14ac:dyDescent="0.25">
      <c r="A2106" t="s">
        <v>1630</v>
      </c>
      <c r="B2106" t="s">
        <v>73</v>
      </c>
      <c r="C2106" t="s">
        <v>14</v>
      </c>
      <c r="D2106" t="s">
        <v>15</v>
      </c>
      <c r="E2106">
        <v>30</v>
      </c>
      <c r="F2106" t="s">
        <v>21</v>
      </c>
      <c r="G2106">
        <v>6400</v>
      </c>
      <c r="H2106" s="1">
        <v>44988</v>
      </c>
      <c r="I2106">
        <v>2023</v>
      </c>
      <c r="J2106">
        <v>3</v>
      </c>
      <c r="K2106" t="s">
        <v>26</v>
      </c>
      <c r="L2106" t="s">
        <v>21</v>
      </c>
      <c r="M2106">
        <v>1</v>
      </c>
    </row>
    <row r="2107" spans="1:13" x14ac:dyDescent="0.25">
      <c r="A2107" t="s">
        <v>1631</v>
      </c>
      <c r="B2107" t="s">
        <v>35</v>
      </c>
      <c r="C2107" t="s">
        <v>14</v>
      </c>
      <c r="D2107" t="s">
        <v>15</v>
      </c>
      <c r="E2107" t="s">
        <v>21</v>
      </c>
      <c r="F2107" t="s">
        <v>21</v>
      </c>
      <c r="G2107">
        <v>458</v>
      </c>
      <c r="H2107" s="1">
        <v>44988</v>
      </c>
      <c r="I2107">
        <v>2023</v>
      </c>
      <c r="J2107">
        <v>3</v>
      </c>
      <c r="K2107" t="s">
        <v>36</v>
      </c>
      <c r="L2107" t="s">
        <v>21</v>
      </c>
      <c r="M2107">
        <v>0</v>
      </c>
    </row>
    <row r="2108" spans="1:13" x14ac:dyDescent="0.25">
      <c r="A2108" t="s">
        <v>918</v>
      </c>
      <c r="B2108" t="s">
        <v>13</v>
      </c>
      <c r="C2108" t="s">
        <v>14</v>
      </c>
      <c r="D2108" t="s">
        <v>43</v>
      </c>
      <c r="E2108" t="s">
        <v>21</v>
      </c>
      <c r="F2108" t="s">
        <v>21</v>
      </c>
      <c r="G2108">
        <v>1200</v>
      </c>
      <c r="H2108" s="1">
        <v>44988</v>
      </c>
      <c r="I2108">
        <v>2023</v>
      </c>
      <c r="J2108">
        <v>3</v>
      </c>
      <c r="K2108" t="s">
        <v>26</v>
      </c>
      <c r="L2108" t="s">
        <v>21</v>
      </c>
      <c r="M2108">
        <v>0</v>
      </c>
    </row>
    <row r="2109" spans="1:13" x14ac:dyDescent="0.25">
      <c r="A2109" t="s">
        <v>1632</v>
      </c>
      <c r="B2109" t="s">
        <v>28</v>
      </c>
      <c r="C2109" t="s">
        <v>14</v>
      </c>
      <c r="D2109" t="s">
        <v>15</v>
      </c>
      <c r="E2109">
        <v>177</v>
      </c>
      <c r="F2109">
        <v>0.03</v>
      </c>
      <c r="G2109">
        <v>148</v>
      </c>
      <c r="H2109" s="1">
        <v>44987</v>
      </c>
      <c r="I2109">
        <v>2023</v>
      </c>
      <c r="J2109">
        <v>3</v>
      </c>
      <c r="K2109" t="s">
        <v>36</v>
      </c>
      <c r="L2109">
        <v>0</v>
      </c>
      <c r="M2109">
        <v>1</v>
      </c>
    </row>
    <row r="2110" spans="1:13" x14ac:dyDescent="0.25">
      <c r="A2110" t="s">
        <v>1633</v>
      </c>
      <c r="B2110" t="s">
        <v>106</v>
      </c>
      <c r="C2110" t="s">
        <v>14</v>
      </c>
      <c r="D2110" t="s">
        <v>111</v>
      </c>
      <c r="E2110">
        <v>79</v>
      </c>
      <c r="F2110" t="s">
        <v>21</v>
      </c>
      <c r="G2110">
        <v>461</v>
      </c>
      <c r="H2110" s="1">
        <v>44987</v>
      </c>
      <c r="I2110">
        <v>2023</v>
      </c>
      <c r="J2110">
        <v>3</v>
      </c>
      <c r="K2110" t="s">
        <v>36</v>
      </c>
      <c r="L2110" t="s">
        <v>21</v>
      </c>
      <c r="M2110">
        <v>1</v>
      </c>
    </row>
    <row r="2111" spans="1:13" x14ac:dyDescent="0.25">
      <c r="A2111" t="s">
        <v>1634</v>
      </c>
      <c r="B2111" t="s">
        <v>95</v>
      </c>
      <c r="C2111" t="s">
        <v>230</v>
      </c>
      <c r="D2111" t="s">
        <v>20</v>
      </c>
      <c r="E2111">
        <v>50</v>
      </c>
      <c r="F2111" t="s">
        <v>21</v>
      </c>
      <c r="G2111" t="s">
        <v>21</v>
      </c>
      <c r="H2111" s="1">
        <v>44987</v>
      </c>
      <c r="I2111">
        <v>2023</v>
      </c>
      <c r="J2111">
        <v>3</v>
      </c>
      <c r="K2111" t="s">
        <v>22</v>
      </c>
      <c r="L2111" t="s">
        <v>21</v>
      </c>
      <c r="M2111">
        <v>1</v>
      </c>
    </row>
    <row r="2112" spans="1:13" x14ac:dyDescent="0.25">
      <c r="A2112" t="s">
        <v>1635</v>
      </c>
      <c r="B2112" t="s">
        <v>207</v>
      </c>
      <c r="C2112" t="s">
        <v>48</v>
      </c>
      <c r="D2112" t="s">
        <v>68</v>
      </c>
      <c r="E2112">
        <v>30</v>
      </c>
      <c r="F2112">
        <v>0.11</v>
      </c>
      <c r="G2112">
        <v>13</v>
      </c>
      <c r="H2112" s="1">
        <v>44987</v>
      </c>
      <c r="I2112">
        <v>2023</v>
      </c>
      <c r="J2112">
        <v>3</v>
      </c>
      <c r="K2112" t="s">
        <v>30</v>
      </c>
      <c r="L2112">
        <v>0</v>
      </c>
      <c r="M2112">
        <v>1</v>
      </c>
    </row>
    <row r="2113" spans="1:13" x14ac:dyDescent="0.25">
      <c r="A2113" t="s">
        <v>1636</v>
      </c>
      <c r="B2113" t="s">
        <v>32</v>
      </c>
      <c r="C2113" t="s">
        <v>14</v>
      </c>
      <c r="D2113" t="s">
        <v>20</v>
      </c>
      <c r="E2113">
        <v>12</v>
      </c>
      <c r="F2113">
        <v>0.1</v>
      </c>
      <c r="G2113">
        <v>20</v>
      </c>
      <c r="H2113" s="1">
        <v>44987</v>
      </c>
      <c r="I2113">
        <v>2023</v>
      </c>
      <c r="J2113">
        <v>3</v>
      </c>
      <c r="K2113" t="s">
        <v>30</v>
      </c>
      <c r="L2113">
        <v>0</v>
      </c>
      <c r="M2113">
        <v>1</v>
      </c>
    </row>
    <row r="2114" spans="1:13" x14ac:dyDescent="0.25">
      <c r="A2114" t="s">
        <v>1637</v>
      </c>
      <c r="B2114" t="s">
        <v>77</v>
      </c>
      <c r="C2114" t="s">
        <v>62</v>
      </c>
      <c r="D2114" t="s">
        <v>22</v>
      </c>
      <c r="E2114" t="s">
        <v>21</v>
      </c>
      <c r="F2114">
        <v>0.1</v>
      </c>
      <c r="G2114" t="s">
        <v>21</v>
      </c>
      <c r="H2114" s="1">
        <v>44987</v>
      </c>
      <c r="I2114">
        <v>2023</v>
      </c>
      <c r="J2114">
        <v>3</v>
      </c>
      <c r="K2114" t="s">
        <v>22</v>
      </c>
      <c r="L2114">
        <v>0</v>
      </c>
      <c r="M2114">
        <v>1</v>
      </c>
    </row>
    <row r="2115" spans="1:13" x14ac:dyDescent="0.25">
      <c r="A2115" t="s">
        <v>235</v>
      </c>
      <c r="B2115" t="s">
        <v>24</v>
      </c>
      <c r="C2115" t="s">
        <v>48</v>
      </c>
      <c r="D2115" t="s">
        <v>20</v>
      </c>
      <c r="E2115" t="s">
        <v>21</v>
      </c>
      <c r="F2115" t="s">
        <v>21</v>
      </c>
      <c r="G2115">
        <v>12900</v>
      </c>
      <c r="H2115" s="1">
        <v>44987</v>
      </c>
      <c r="I2115">
        <v>2023</v>
      </c>
      <c r="J2115">
        <v>3</v>
      </c>
      <c r="K2115" t="s">
        <v>26</v>
      </c>
      <c r="L2115" t="s">
        <v>21</v>
      </c>
      <c r="M2115">
        <v>0</v>
      </c>
    </row>
    <row r="2116" spans="1:13" x14ac:dyDescent="0.25">
      <c r="A2116" t="s">
        <v>1638</v>
      </c>
      <c r="B2116" t="s">
        <v>18</v>
      </c>
      <c r="C2116" t="s">
        <v>14</v>
      </c>
      <c r="D2116" t="s">
        <v>20</v>
      </c>
      <c r="E2116" t="s">
        <v>21</v>
      </c>
      <c r="F2116">
        <v>1</v>
      </c>
      <c r="G2116" t="s">
        <v>21</v>
      </c>
      <c r="H2116" s="1">
        <v>44987</v>
      </c>
      <c r="I2116">
        <v>2023</v>
      </c>
      <c r="J2116">
        <v>3</v>
      </c>
      <c r="K2116" t="s">
        <v>22</v>
      </c>
      <c r="L2116">
        <v>1</v>
      </c>
      <c r="M2116">
        <v>1</v>
      </c>
    </row>
    <row r="2117" spans="1:13" x14ac:dyDescent="0.25">
      <c r="A2117" t="s">
        <v>1083</v>
      </c>
      <c r="B2117" t="s">
        <v>91</v>
      </c>
      <c r="C2117" t="s">
        <v>14</v>
      </c>
      <c r="D2117" t="s">
        <v>55</v>
      </c>
      <c r="E2117" t="s">
        <v>21</v>
      </c>
      <c r="F2117" t="s">
        <v>21</v>
      </c>
      <c r="G2117">
        <v>472</v>
      </c>
      <c r="H2117" s="1">
        <v>44987</v>
      </c>
      <c r="I2117">
        <v>2023</v>
      </c>
      <c r="J2117">
        <v>3</v>
      </c>
      <c r="K2117" t="s">
        <v>36</v>
      </c>
      <c r="L2117" t="s">
        <v>21</v>
      </c>
      <c r="M2117">
        <v>0</v>
      </c>
    </row>
    <row r="2118" spans="1:13" x14ac:dyDescent="0.25">
      <c r="A2118" t="s">
        <v>1639</v>
      </c>
      <c r="B2118" t="s">
        <v>117</v>
      </c>
      <c r="C2118" t="s">
        <v>14</v>
      </c>
      <c r="D2118" t="s">
        <v>20</v>
      </c>
      <c r="E2118" t="s">
        <v>21</v>
      </c>
      <c r="F2118" t="s">
        <v>21</v>
      </c>
      <c r="G2118" t="s">
        <v>21</v>
      </c>
      <c r="H2118" s="1">
        <v>44987</v>
      </c>
      <c r="I2118">
        <v>2023</v>
      </c>
      <c r="J2118">
        <v>3</v>
      </c>
      <c r="K2118" t="s">
        <v>22</v>
      </c>
      <c r="L2118" t="s">
        <v>21</v>
      </c>
      <c r="M2118">
        <v>0</v>
      </c>
    </row>
    <row r="2119" spans="1:13" x14ac:dyDescent="0.25">
      <c r="A2119" t="s">
        <v>1250</v>
      </c>
      <c r="B2119" t="s">
        <v>13</v>
      </c>
      <c r="C2119" t="s">
        <v>14</v>
      </c>
      <c r="D2119" t="s">
        <v>15</v>
      </c>
      <c r="E2119">
        <v>500</v>
      </c>
      <c r="F2119">
        <v>0.04</v>
      </c>
      <c r="G2119">
        <v>748</v>
      </c>
      <c r="H2119" s="1">
        <v>44986</v>
      </c>
      <c r="I2119">
        <v>2023</v>
      </c>
      <c r="J2119">
        <v>3</v>
      </c>
      <c r="K2119" t="s">
        <v>36</v>
      </c>
      <c r="L2119">
        <v>0</v>
      </c>
      <c r="M2119">
        <v>1</v>
      </c>
    </row>
    <row r="2120" spans="1:13" x14ac:dyDescent="0.25">
      <c r="A2120" t="s">
        <v>1640</v>
      </c>
      <c r="B2120" t="s">
        <v>95</v>
      </c>
      <c r="C2120" t="s">
        <v>230</v>
      </c>
      <c r="D2120" t="s">
        <v>97</v>
      </c>
      <c r="E2120">
        <v>355</v>
      </c>
      <c r="F2120">
        <v>0.06</v>
      </c>
      <c r="G2120">
        <v>2100</v>
      </c>
      <c r="H2120" s="1">
        <v>44986</v>
      </c>
      <c r="I2120">
        <v>2023</v>
      </c>
      <c r="J2120">
        <v>3</v>
      </c>
      <c r="K2120" t="s">
        <v>26</v>
      </c>
      <c r="L2120">
        <v>0</v>
      </c>
      <c r="M2120">
        <v>1</v>
      </c>
    </row>
    <row r="2121" spans="1:13" x14ac:dyDescent="0.25">
      <c r="A2121" t="s">
        <v>1641</v>
      </c>
      <c r="B2121" t="s">
        <v>35</v>
      </c>
      <c r="C2121" t="s">
        <v>14</v>
      </c>
      <c r="D2121" t="s">
        <v>111</v>
      </c>
      <c r="E2121">
        <v>300</v>
      </c>
      <c r="F2121" t="s">
        <v>21</v>
      </c>
      <c r="G2121">
        <v>482</v>
      </c>
      <c r="H2121" s="1">
        <v>44986</v>
      </c>
      <c r="I2121">
        <v>2023</v>
      </c>
      <c r="J2121">
        <v>3</v>
      </c>
      <c r="K2121" t="s">
        <v>36</v>
      </c>
      <c r="L2121" t="s">
        <v>21</v>
      </c>
      <c r="M2121">
        <v>1</v>
      </c>
    </row>
    <row r="2122" spans="1:13" x14ac:dyDescent="0.25">
      <c r="A2122" t="s">
        <v>1112</v>
      </c>
      <c r="B2122" t="s">
        <v>66</v>
      </c>
      <c r="C2122" t="s">
        <v>14</v>
      </c>
      <c r="D2122" t="s">
        <v>97</v>
      </c>
      <c r="E2122">
        <v>209</v>
      </c>
      <c r="F2122">
        <v>0.08</v>
      </c>
      <c r="G2122">
        <v>5500</v>
      </c>
      <c r="H2122" s="1">
        <v>44986</v>
      </c>
      <c r="I2122">
        <v>2023</v>
      </c>
      <c r="J2122">
        <v>3</v>
      </c>
      <c r="K2122" t="s">
        <v>26</v>
      </c>
      <c r="L2122">
        <v>0</v>
      </c>
      <c r="M2122">
        <v>1</v>
      </c>
    </row>
    <row r="2123" spans="1:13" x14ac:dyDescent="0.25">
      <c r="A2123" t="s">
        <v>1642</v>
      </c>
      <c r="B2123" t="s">
        <v>40</v>
      </c>
      <c r="C2123" t="s">
        <v>539</v>
      </c>
      <c r="D2123" t="s">
        <v>111</v>
      </c>
      <c r="E2123">
        <v>200</v>
      </c>
      <c r="F2123">
        <v>0.2</v>
      </c>
      <c r="G2123">
        <v>495</v>
      </c>
      <c r="H2123" s="1">
        <v>44986</v>
      </c>
      <c r="I2123">
        <v>2023</v>
      </c>
      <c r="J2123">
        <v>3</v>
      </c>
      <c r="K2123" t="s">
        <v>36</v>
      </c>
      <c r="L2123">
        <v>0</v>
      </c>
      <c r="M2123">
        <v>1</v>
      </c>
    </row>
    <row r="2124" spans="1:13" x14ac:dyDescent="0.25">
      <c r="A2124" t="s">
        <v>301</v>
      </c>
      <c r="B2124" t="s">
        <v>89</v>
      </c>
      <c r="C2124" t="s">
        <v>14</v>
      </c>
      <c r="D2124" t="s">
        <v>46</v>
      </c>
      <c r="E2124">
        <v>200</v>
      </c>
      <c r="F2124" t="s">
        <v>21</v>
      </c>
      <c r="G2124">
        <v>102</v>
      </c>
      <c r="H2124" s="1">
        <v>44986</v>
      </c>
      <c r="I2124">
        <v>2023</v>
      </c>
      <c r="J2124">
        <v>3</v>
      </c>
      <c r="K2124" t="s">
        <v>36</v>
      </c>
      <c r="L2124" t="s">
        <v>21</v>
      </c>
      <c r="M2124">
        <v>1</v>
      </c>
    </row>
    <row r="2125" spans="1:13" x14ac:dyDescent="0.25">
      <c r="A2125" t="s">
        <v>331</v>
      </c>
      <c r="B2125" t="s">
        <v>73</v>
      </c>
      <c r="C2125" t="s">
        <v>14</v>
      </c>
      <c r="D2125" t="s">
        <v>15</v>
      </c>
      <c r="E2125">
        <v>100</v>
      </c>
      <c r="F2125">
        <v>0.14000000000000001</v>
      </c>
      <c r="G2125">
        <v>839</v>
      </c>
      <c r="H2125" s="1">
        <v>44986</v>
      </c>
      <c r="I2125">
        <v>2023</v>
      </c>
      <c r="J2125">
        <v>3</v>
      </c>
      <c r="K2125" t="s">
        <v>36</v>
      </c>
      <c r="L2125">
        <v>0</v>
      </c>
      <c r="M2125">
        <v>1</v>
      </c>
    </row>
    <row r="2126" spans="1:13" x14ac:dyDescent="0.25">
      <c r="A2126" t="s">
        <v>1643</v>
      </c>
      <c r="B2126" t="s">
        <v>52</v>
      </c>
      <c r="C2126" t="s">
        <v>14</v>
      </c>
      <c r="D2126" t="s">
        <v>68</v>
      </c>
      <c r="E2126" t="s">
        <v>21</v>
      </c>
      <c r="F2126">
        <v>0.5</v>
      </c>
      <c r="G2126">
        <v>70</v>
      </c>
      <c r="H2126" s="1">
        <v>44986</v>
      </c>
      <c r="I2126">
        <v>2023</v>
      </c>
      <c r="J2126">
        <v>3</v>
      </c>
      <c r="K2126" t="s">
        <v>30</v>
      </c>
      <c r="L2126">
        <v>0</v>
      </c>
      <c r="M2126">
        <v>1</v>
      </c>
    </row>
    <row r="2127" spans="1:13" x14ac:dyDescent="0.25">
      <c r="A2127" t="s">
        <v>439</v>
      </c>
      <c r="B2127" t="s">
        <v>18</v>
      </c>
      <c r="C2127" t="s">
        <v>14</v>
      </c>
      <c r="D2127" t="s">
        <v>15</v>
      </c>
      <c r="E2127">
        <v>200</v>
      </c>
      <c r="F2127" t="s">
        <v>21</v>
      </c>
      <c r="G2127">
        <v>2</v>
      </c>
      <c r="H2127" s="1">
        <v>44985</v>
      </c>
      <c r="I2127">
        <v>2023</v>
      </c>
      <c r="J2127">
        <v>2</v>
      </c>
      <c r="K2127" t="s">
        <v>16</v>
      </c>
      <c r="L2127" t="s">
        <v>21</v>
      </c>
      <c r="M2127">
        <v>1</v>
      </c>
    </row>
    <row r="2128" spans="1:13" x14ac:dyDescent="0.25">
      <c r="A2128" t="s">
        <v>195</v>
      </c>
      <c r="B2128" t="s">
        <v>18</v>
      </c>
      <c r="C2128" t="s">
        <v>14</v>
      </c>
      <c r="D2128" t="s">
        <v>15</v>
      </c>
      <c r="E2128">
        <v>80</v>
      </c>
      <c r="F2128">
        <v>0.08</v>
      </c>
      <c r="G2128">
        <v>557</v>
      </c>
      <c r="H2128" s="1">
        <v>44985</v>
      </c>
      <c r="I2128">
        <v>2023</v>
      </c>
      <c r="J2128">
        <v>2</v>
      </c>
      <c r="K2128" t="s">
        <v>36</v>
      </c>
      <c r="L2128">
        <v>0</v>
      </c>
      <c r="M2128">
        <v>1</v>
      </c>
    </row>
    <row r="2129" spans="1:13" x14ac:dyDescent="0.25">
      <c r="A2129" t="s">
        <v>1313</v>
      </c>
      <c r="B2129" t="s">
        <v>140</v>
      </c>
      <c r="C2129" t="s">
        <v>14</v>
      </c>
      <c r="D2129" t="s">
        <v>68</v>
      </c>
      <c r="E2129">
        <v>10</v>
      </c>
      <c r="F2129" t="s">
        <v>21</v>
      </c>
      <c r="G2129">
        <v>39</v>
      </c>
      <c r="H2129" s="1">
        <v>44985</v>
      </c>
      <c r="I2129">
        <v>2023</v>
      </c>
      <c r="J2129">
        <v>2</v>
      </c>
      <c r="K2129" t="s">
        <v>30</v>
      </c>
      <c r="L2129" t="s">
        <v>21</v>
      </c>
      <c r="M2129">
        <v>1</v>
      </c>
    </row>
    <row r="2130" spans="1:13" x14ac:dyDescent="0.25">
      <c r="A2130" t="s">
        <v>1644</v>
      </c>
      <c r="B2130" t="s">
        <v>106</v>
      </c>
      <c r="C2130" t="s">
        <v>48</v>
      </c>
      <c r="D2130" t="s">
        <v>22</v>
      </c>
      <c r="E2130" t="s">
        <v>21</v>
      </c>
      <c r="F2130">
        <v>1</v>
      </c>
      <c r="G2130" t="s">
        <v>21</v>
      </c>
      <c r="H2130" s="1">
        <v>44985</v>
      </c>
      <c r="I2130">
        <v>2023</v>
      </c>
      <c r="J2130">
        <v>2</v>
      </c>
      <c r="K2130" t="s">
        <v>22</v>
      </c>
      <c r="L2130">
        <v>1</v>
      </c>
      <c r="M2130">
        <v>1</v>
      </c>
    </row>
    <row r="2131" spans="1:13" x14ac:dyDescent="0.25">
      <c r="A2131" t="s">
        <v>990</v>
      </c>
      <c r="B2131" t="s">
        <v>77</v>
      </c>
      <c r="C2131" t="s">
        <v>14</v>
      </c>
      <c r="D2131" t="s">
        <v>15</v>
      </c>
      <c r="E2131" t="s">
        <v>21</v>
      </c>
      <c r="F2131">
        <v>0.09</v>
      </c>
      <c r="G2131">
        <v>485</v>
      </c>
      <c r="H2131" s="1">
        <v>44985</v>
      </c>
      <c r="I2131">
        <v>2023</v>
      </c>
      <c r="J2131">
        <v>2</v>
      </c>
      <c r="K2131" t="s">
        <v>36</v>
      </c>
      <c r="L2131">
        <v>0</v>
      </c>
      <c r="M2131">
        <v>1</v>
      </c>
    </row>
    <row r="2132" spans="1:13" x14ac:dyDescent="0.25">
      <c r="A2132" t="s">
        <v>1142</v>
      </c>
      <c r="B2132" t="s">
        <v>66</v>
      </c>
      <c r="C2132" t="s">
        <v>83</v>
      </c>
      <c r="D2132" t="s">
        <v>15</v>
      </c>
      <c r="E2132">
        <v>300</v>
      </c>
      <c r="F2132" t="s">
        <v>21</v>
      </c>
      <c r="G2132">
        <v>126</v>
      </c>
      <c r="H2132" s="1">
        <v>44984</v>
      </c>
      <c r="I2132">
        <v>2023</v>
      </c>
      <c r="J2132">
        <v>2</v>
      </c>
      <c r="K2132" t="s">
        <v>36</v>
      </c>
      <c r="L2132" t="s">
        <v>21</v>
      </c>
      <c r="M2132">
        <v>1</v>
      </c>
    </row>
    <row r="2133" spans="1:13" x14ac:dyDescent="0.25">
      <c r="A2133" t="s">
        <v>1645</v>
      </c>
      <c r="B2133" t="s">
        <v>35</v>
      </c>
      <c r="C2133" t="s">
        <v>14</v>
      </c>
      <c r="D2133" t="s">
        <v>46</v>
      </c>
      <c r="E2133">
        <v>285</v>
      </c>
      <c r="F2133">
        <v>0.15</v>
      </c>
      <c r="G2133">
        <v>462</v>
      </c>
      <c r="H2133" s="1">
        <v>44984</v>
      </c>
      <c r="I2133">
        <v>2023</v>
      </c>
      <c r="J2133">
        <v>2</v>
      </c>
      <c r="K2133" t="s">
        <v>36</v>
      </c>
      <c r="L2133">
        <v>0</v>
      </c>
      <c r="M2133">
        <v>1</v>
      </c>
    </row>
    <row r="2134" spans="1:13" x14ac:dyDescent="0.25">
      <c r="A2134" t="s">
        <v>1646</v>
      </c>
      <c r="B2134" t="s">
        <v>77</v>
      </c>
      <c r="C2134" t="s">
        <v>14</v>
      </c>
      <c r="D2134" t="s">
        <v>22</v>
      </c>
      <c r="E2134">
        <v>130</v>
      </c>
      <c r="F2134">
        <v>0.25</v>
      </c>
      <c r="G2134">
        <v>283</v>
      </c>
      <c r="H2134" s="1">
        <v>44984</v>
      </c>
      <c r="I2134">
        <v>2023</v>
      </c>
      <c r="J2134">
        <v>2</v>
      </c>
      <c r="K2134" t="s">
        <v>36</v>
      </c>
      <c r="L2134">
        <v>0</v>
      </c>
      <c r="M2134">
        <v>1</v>
      </c>
    </row>
    <row r="2135" spans="1:13" x14ac:dyDescent="0.25">
      <c r="A2135" t="s">
        <v>461</v>
      </c>
      <c r="B2135" t="s">
        <v>38</v>
      </c>
      <c r="C2135" t="s">
        <v>14</v>
      </c>
      <c r="D2135" t="s">
        <v>15</v>
      </c>
      <c r="E2135">
        <v>75</v>
      </c>
      <c r="F2135">
        <v>0.02</v>
      </c>
      <c r="G2135">
        <v>3000</v>
      </c>
      <c r="H2135" s="1">
        <v>44984</v>
      </c>
      <c r="I2135">
        <v>2023</v>
      </c>
      <c r="J2135">
        <v>2</v>
      </c>
      <c r="K2135" t="s">
        <v>26</v>
      </c>
      <c r="L2135">
        <v>0</v>
      </c>
      <c r="M2135">
        <v>1</v>
      </c>
    </row>
    <row r="2136" spans="1:13" x14ac:dyDescent="0.25">
      <c r="A2136" t="s">
        <v>586</v>
      </c>
      <c r="B2136" t="s">
        <v>99</v>
      </c>
      <c r="C2136" t="s">
        <v>14</v>
      </c>
      <c r="D2136" t="s">
        <v>194</v>
      </c>
      <c r="E2136">
        <v>70</v>
      </c>
      <c r="F2136">
        <v>7.0000000000000007E-2</v>
      </c>
      <c r="G2136">
        <v>489</v>
      </c>
      <c r="H2136" s="1">
        <v>44984</v>
      </c>
      <c r="I2136">
        <v>2023</v>
      </c>
      <c r="J2136">
        <v>2</v>
      </c>
      <c r="K2136" t="s">
        <v>36</v>
      </c>
      <c r="L2136">
        <v>0</v>
      </c>
      <c r="M2136">
        <v>1</v>
      </c>
    </row>
    <row r="2137" spans="1:13" x14ac:dyDescent="0.25">
      <c r="A2137" t="s">
        <v>1647</v>
      </c>
      <c r="B2137" t="s">
        <v>28</v>
      </c>
      <c r="C2137" t="s">
        <v>14</v>
      </c>
      <c r="D2137" t="s">
        <v>33</v>
      </c>
      <c r="E2137">
        <v>19</v>
      </c>
      <c r="F2137">
        <v>0.25</v>
      </c>
      <c r="G2137">
        <v>126</v>
      </c>
      <c r="H2137" s="1">
        <v>44984</v>
      </c>
      <c r="I2137">
        <v>2023</v>
      </c>
      <c r="J2137">
        <v>2</v>
      </c>
      <c r="K2137" t="s">
        <v>36</v>
      </c>
      <c r="L2137">
        <v>0</v>
      </c>
      <c r="M2137">
        <v>1</v>
      </c>
    </row>
    <row r="2138" spans="1:13" x14ac:dyDescent="0.25">
      <c r="A2138" t="s">
        <v>1648</v>
      </c>
      <c r="B2138" t="s">
        <v>28</v>
      </c>
      <c r="C2138" t="s">
        <v>29</v>
      </c>
      <c r="D2138" t="s">
        <v>22</v>
      </c>
      <c r="E2138">
        <v>40</v>
      </c>
      <c r="F2138" t="s">
        <v>21</v>
      </c>
      <c r="G2138">
        <v>401</v>
      </c>
      <c r="H2138" s="1">
        <v>44983</v>
      </c>
      <c r="I2138">
        <v>2023</v>
      </c>
      <c r="J2138">
        <v>2</v>
      </c>
      <c r="K2138" t="s">
        <v>36</v>
      </c>
      <c r="L2138" t="s">
        <v>21</v>
      </c>
      <c r="M2138">
        <v>1</v>
      </c>
    </row>
    <row r="2139" spans="1:13" x14ac:dyDescent="0.25">
      <c r="A2139" t="s">
        <v>1649</v>
      </c>
      <c r="B2139" t="s">
        <v>18</v>
      </c>
      <c r="C2139" t="s">
        <v>14</v>
      </c>
      <c r="D2139" t="s">
        <v>15</v>
      </c>
      <c r="E2139">
        <v>200</v>
      </c>
      <c r="F2139">
        <v>0.1</v>
      </c>
      <c r="G2139">
        <v>12900</v>
      </c>
      <c r="H2139" s="1">
        <v>44982</v>
      </c>
      <c r="I2139">
        <v>2023</v>
      </c>
      <c r="J2139">
        <v>2</v>
      </c>
      <c r="K2139" t="s">
        <v>26</v>
      </c>
      <c r="L2139">
        <v>0</v>
      </c>
      <c r="M2139">
        <v>1</v>
      </c>
    </row>
    <row r="2140" spans="1:13" x14ac:dyDescent="0.25">
      <c r="A2140" t="s">
        <v>285</v>
      </c>
      <c r="B2140" t="s">
        <v>13</v>
      </c>
      <c r="C2140" t="s">
        <v>161</v>
      </c>
      <c r="D2140" t="s">
        <v>15</v>
      </c>
      <c r="E2140">
        <v>8500</v>
      </c>
      <c r="F2140">
        <v>0.08</v>
      </c>
      <c r="G2140">
        <v>663</v>
      </c>
      <c r="H2140" s="1">
        <v>44981</v>
      </c>
      <c r="I2140">
        <v>2023</v>
      </c>
      <c r="J2140">
        <v>2</v>
      </c>
      <c r="K2140" t="s">
        <v>36</v>
      </c>
      <c r="L2140">
        <v>0</v>
      </c>
      <c r="M2140">
        <v>1</v>
      </c>
    </row>
    <row r="2141" spans="1:13" x14ac:dyDescent="0.25">
      <c r="A2141" t="s">
        <v>1650</v>
      </c>
      <c r="B2141" t="s">
        <v>13</v>
      </c>
      <c r="C2141" t="s">
        <v>48</v>
      </c>
      <c r="D2141" t="s">
        <v>97</v>
      </c>
      <c r="E2141">
        <v>300</v>
      </c>
      <c r="F2141" t="s">
        <v>21</v>
      </c>
      <c r="G2141">
        <v>1300</v>
      </c>
      <c r="H2141" s="1">
        <v>44981</v>
      </c>
      <c r="I2141">
        <v>2023</v>
      </c>
      <c r="J2141">
        <v>2</v>
      </c>
      <c r="K2141" t="s">
        <v>26</v>
      </c>
      <c r="L2141" t="s">
        <v>21</v>
      </c>
      <c r="M2141">
        <v>1</v>
      </c>
    </row>
    <row r="2142" spans="1:13" x14ac:dyDescent="0.25">
      <c r="A2142" t="s">
        <v>1651</v>
      </c>
      <c r="B2142" t="s">
        <v>66</v>
      </c>
      <c r="C2142" t="s">
        <v>14</v>
      </c>
      <c r="D2142" t="s">
        <v>20</v>
      </c>
      <c r="E2142">
        <v>220</v>
      </c>
      <c r="F2142" t="s">
        <v>21</v>
      </c>
      <c r="G2142">
        <v>575</v>
      </c>
      <c r="H2142" s="1">
        <v>44981</v>
      </c>
      <c r="I2142">
        <v>2023</v>
      </c>
      <c r="J2142">
        <v>2</v>
      </c>
      <c r="K2142" t="s">
        <v>36</v>
      </c>
      <c r="L2142" t="s">
        <v>21</v>
      </c>
      <c r="M2142">
        <v>1</v>
      </c>
    </row>
    <row r="2143" spans="1:13" x14ac:dyDescent="0.25">
      <c r="A2143" t="s">
        <v>1652</v>
      </c>
      <c r="B2143" t="s">
        <v>89</v>
      </c>
      <c r="C2143" t="s">
        <v>14</v>
      </c>
      <c r="D2143" t="s">
        <v>20</v>
      </c>
      <c r="E2143">
        <v>59</v>
      </c>
      <c r="F2143" t="s">
        <v>21</v>
      </c>
      <c r="G2143">
        <v>325</v>
      </c>
      <c r="H2143" s="1">
        <v>44981</v>
      </c>
      <c r="I2143">
        <v>2023</v>
      </c>
      <c r="J2143">
        <v>2</v>
      </c>
      <c r="K2143" t="s">
        <v>36</v>
      </c>
      <c r="L2143" t="s">
        <v>21</v>
      </c>
      <c r="M2143">
        <v>1</v>
      </c>
    </row>
    <row r="2144" spans="1:13" x14ac:dyDescent="0.25">
      <c r="A2144" t="s">
        <v>1151</v>
      </c>
      <c r="B2144" t="s">
        <v>95</v>
      </c>
      <c r="C2144" t="s">
        <v>14</v>
      </c>
      <c r="D2144" t="s">
        <v>22</v>
      </c>
      <c r="E2144">
        <v>40</v>
      </c>
      <c r="F2144" t="s">
        <v>21</v>
      </c>
      <c r="G2144">
        <v>465</v>
      </c>
      <c r="H2144" s="1">
        <v>44981</v>
      </c>
      <c r="I2144">
        <v>2023</v>
      </c>
      <c r="J2144">
        <v>2</v>
      </c>
      <c r="K2144" t="s">
        <v>36</v>
      </c>
      <c r="L2144" t="s">
        <v>21</v>
      </c>
      <c r="M2144">
        <v>1</v>
      </c>
    </row>
    <row r="2145" spans="1:13" x14ac:dyDescent="0.25">
      <c r="A2145" t="s">
        <v>1653</v>
      </c>
      <c r="B2145" t="s">
        <v>35</v>
      </c>
      <c r="C2145" t="s">
        <v>14</v>
      </c>
      <c r="D2145" t="s">
        <v>15</v>
      </c>
      <c r="E2145">
        <v>26</v>
      </c>
      <c r="F2145" t="s">
        <v>21</v>
      </c>
      <c r="G2145">
        <v>132</v>
      </c>
      <c r="H2145" s="1">
        <v>44981</v>
      </c>
      <c r="I2145">
        <v>2023</v>
      </c>
      <c r="J2145">
        <v>2</v>
      </c>
      <c r="K2145" t="s">
        <v>36</v>
      </c>
      <c r="L2145" t="s">
        <v>21</v>
      </c>
      <c r="M2145">
        <v>1</v>
      </c>
    </row>
    <row r="2146" spans="1:13" x14ac:dyDescent="0.25">
      <c r="A2146" t="s">
        <v>1654</v>
      </c>
      <c r="B2146" t="s">
        <v>77</v>
      </c>
      <c r="C2146" t="s">
        <v>14</v>
      </c>
      <c r="D2146" t="s">
        <v>55</v>
      </c>
      <c r="E2146">
        <v>24</v>
      </c>
      <c r="F2146" t="s">
        <v>21</v>
      </c>
      <c r="G2146">
        <v>263</v>
      </c>
      <c r="H2146" s="1">
        <v>44981</v>
      </c>
      <c r="I2146">
        <v>2023</v>
      </c>
      <c r="J2146">
        <v>2</v>
      </c>
      <c r="K2146" t="s">
        <v>36</v>
      </c>
      <c r="L2146" t="s">
        <v>21</v>
      </c>
      <c r="M2146">
        <v>1</v>
      </c>
    </row>
    <row r="2147" spans="1:13" x14ac:dyDescent="0.25">
      <c r="A2147" t="s">
        <v>1655</v>
      </c>
      <c r="B2147" t="s">
        <v>35</v>
      </c>
      <c r="C2147" t="s">
        <v>14</v>
      </c>
      <c r="D2147" t="s">
        <v>15</v>
      </c>
      <c r="E2147" t="s">
        <v>21</v>
      </c>
      <c r="F2147">
        <v>0.18</v>
      </c>
      <c r="G2147">
        <v>1900</v>
      </c>
      <c r="H2147" s="1">
        <v>44981</v>
      </c>
      <c r="I2147">
        <v>2023</v>
      </c>
      <c r="J2147">
        <v>2</v>
      </c>
      <c r="K2147" t="s">
        <v>26</v>
      </c>
      <c r="L2147">
        <v>0</v>
      </c>
      <c r="M2147">
        <v>1</v>
      </c>
    </row>
    <row r="2148" spans="1:13" x14ac:dyDescent="0.25">
      <c r="A2148" t="s">
        <v>1656</v>
      </c>
      <c r="B2148" t="s">
        <v>24</v>
      </c>
      <c r="C2148" t="s">
        <v>14</v>
      </c>
      <c r="D2148" t="s">
        <v>20</v>
      </c>
      <c r="E2148" t="s">
        <v>21</v>
      </c>
      <c r="F2148">
        <v>0.02</v>
      </c>
      <c r="G2148">
        <v>153</v>
      </c>
      <c r="H2148" s="1">
        <v>44981</v>
      </c>
      <c r="I2148">
        <v>2023</v>
      </c>
      <c r="J2148">
        <v>2</v>
      </c>
      <c r="K2148" t="s">
        <v>36</v>
      </c>
      <c r="L2148">
        <v>0</v>
      </c>
      <c r="M2148">
        <v>1</v>
      </c>
    </row>
    <row r="2149" spans="1:13" x14ac:dyDescent="0.25">
      <c r="A2149" t="s">
        <v>1157</v>
      </c>
      <c r="B2149" t="s">
        <v>35</v>
      </c>
      <c r="C2149" t="s">
        <v>14</v>
      </c>
      <c r="D2149" t="s">
        <v>20</v>
      </c>
      <c r="E2149">
        <v>200</v>
      </c>
      <c r="F2149">
        <v>0.1</v>
      </c>
      <c r="G2149" t="s">
        <v>21</v>
      </c>
      <c r="H2149" s="1">
        <v>44980</v>
      </c>
      <c r="I2149">
        <v>2023</v>
      </c>
      <c r="J2149">
        <v>2</v>
      </c>
      <c r="K2149" t="s">
        <v>22</v>
      </c>
      <c r="L2149">
        <v>0</v>
      </c>
      <c r="M2149">
        <v>1</v>
      </c>
    </row>
    <row r="2150" spans="1:13" x14ac:dyDescent="0.25">
      <c r="A2150" t="s">
        <v>1657</v>
      </c>
      <c r="B2150" t="s">
        <v>54</v>
      </c>
      <c r="C2150" t="s">
        <v>83</v>
      </c>
      <c r="D2150" t="s">
        <v>55</v>
      </c>
      <c r="E2150">
        <v>150</v>
      </c>
      <c r="F2150">
        <v>0.32</v>
      </c>
      <c r="G2150">
        <v>442</v>
      </c>
      <c r="H2150" s="1">
        <v>44980</v>
      </c>
      <c r="I2150">
        <v>2023</v>
      </c>
      <c r="J2150">
        <v>2</v>
      </c>
      <c r="K2150" t="s">
        <v>36</v>
      </c>
      <c r="L2150">
        <v>0</v>
      </c>
      <c r="M2150">
        <v>1</v>
      </c>
    </row>
    <row r="2151" spans="1:13" x14ac:dyDescent="0.25">
      <c r="A2151" t="s">
        <v>1658</v>
      </c>
      <c r="B2151" t="s">
        <v>24</v>
      </c>
      <c r="C2151" t="s">
        <v>42</v>
      </c>
      <c r="D2151" t="s">
        <v>22</v>
      </c>
      <c r="E2151">
        <v>69</v>
      </c>
      <c r="F2151">
        <v>0.06</v>
      </c>
      <c r="G2151" t="s">
        <v>21</v>
      </c>
      <c r="H2151" s="1">
        <v>44980</v>
      </c>
      <c r="I2151">
        <v>2023</v>
      </c>
      <c r="J2151">
        <v>2</v>
      </c>
      <c r="K2151" t="s">
        <v>22</v>
      </c>
      <c r="L2151">
        <v>0</v>
      </c>
      <c r="M2151">
        <v>1</v>
      </c>
    </row>
    <row r="2152" spans="1:13" x14ac:dyDescent="0.25">
      <c r="A2152" t="s">
        <v>1659</v>
      </c>
      <c r="B2152" t="s">
        <v>66</v>
      </c>
      <c r="C2152" t="s">
        <v>14</v>
      </c>
      <c r="D2152" t="s">
        <v>15</v>
      </c>
      <c r="E2152">
        <v>40</v>
      </c>
      <c r="F2152" t="s">
        <v>21</v>
      </c>
      <c r="G2152">
        <v>400</v>
      </c>
      <c r="H2152" s="1">
        <v>44980</v>
      </c>
      <c r="I2152">
        <v>2023</v>
      </c>
      <c r="J2152">
        <v>2</v>
      </c>
      <c r="K2152" t="s">
        <v>36</v>
      </c>
      <c r="L2152" t="s">
        <v>21</v>
      </c>
      <c r="M2152">
        <v>1</v>
      </c>
    </row>
    <row r="2153" spans="1:13" x14ac:dyDescent="0.25">
      <c r="A2153" t="s">
        <v>1660</v>
      </c>
      <c r="B2153" t="s">
        <v>140</v>
      </c>
      <c r="C2153" t="s">
        <v>14</v>
      </c>
      <c r="D2153" t="s">
        <v>33</v>
      </c>
      <c r="E2153">
        <v>40</v>
      </c>
      <c r="F2153" t="s">
        <v>21</v>
      </c>
      <c r="G2153">
        <v>76</v>
      </c>
      <c r="H2153" s="1">
        <v>44980</v>
      </c>
      <c r="I2153">
        <v>2023</v>
      </c>
      <c r="J2153">
        <v>2</v>
      </c>
      <c r="K2153" t="s">
        <v>30</v>
      </c>
      <c r="L2153" t="s">
        <v>21</v>
      </c>
      <c r="M2153">
        <v>1</v>
      </c>
    </row>
    <row r="2154" spans="1:13" x14ac:dyDescent="0.25">
      <c r="A2154" t="s">
        <v>1324</v>
      </c>
      <c r="B2154" t="s">
        <v>52</v>
      </c>
      <c r="C2154" t="s">
        <v>174</v>
      </c>
      <c r="D2154" t="s">
        <v>55</v>
      </c>
      <c r="E2154" t="s">
        <v>21</v>
      </c>
      <c r="F2154">
        <v>0.2</v>
      </c>
      <c r="G2154">
        <v>607</v>
      </c>
      <c r="H2154" s="1">
        <v>44980</v>
      </c>
      <c r="I2154">
        <v>2023</v>
      </c>
      <c r="J2154">
        <v>2</v>
      </c>
      <c r="K2154" t="s">
        <v>36</v>
      </c>
      <c r="L2154">
        <v>0</v>
      </c>
      <c r="M2154">
        <v>1</v>
      </c>
    </row>
    <row r="2155" spans="1:13" x14ac:dyDescent="0.25">
      <c r="A2155" t="s">
        <v>1661</v>
      </c>
      <c r="B2155" t="s">
        <v>52</v>
      </c>
      <c r="C2155" t="s">
        <v>14</v>
      </c>
      <c r="D2155" t="s">
        <v>33</v>
      </c>
      <c r="E2155" t="s">
        <v>21</v>
      </c>
      <c r="F2155">
        <v>0.15</v>
      </c>
      <c r="G2155">
        <v>61</v>
      </c>
      <c r="H2155" s="1">
        <v>44980</v>
      </c>
      <c r="I2155">
        <v>2023</v>
      </c>
      <c r="J2155">
        <v>2</v>
      </c>
      <c r="K2155" t="s">
        <v>30</v>
      </c>
      <c r="L2155">
        <v>0</v>
      </c>
      <c r="M2155">
        <v>1</v>
      </c>
    </row>
    <row r="2156" spans="1:13" x14ac:dyDescent="0.25">
      <c r="A2156" t="s">
        <v>1662</v>
      </c>
      <c r="B2156" t="s">
        <v>35</v>
      </c>
      <c r="C2156" t="s">
        <v>14</v>
      </c>
      <c r="D2156" t="s">
        <v>22</v>
      </c>
      <c r="E2156" t="s">
        <v>21</v>
      </c>
      <c r="F2156">
        <v>0.13</v>
      </c>
      <c r="G2156" t="s">
        <v>21</v>
      </c>
      <c r="H2156" s="1">
        <v>44980</v>
      </c>
      <c r="I2156">
        <v>2023</v>
      </c>
      <c r="J2156">
        <v>2</v>
      </c>
      <c r="K2156" t="s">
        <v>22</v>
      </c>
      <c r="L2156">
        <v>0</v>
      </c>
      <c r="M2156">
        <v>1</v>
      </c>
    </row>
    <row r="2157" spans="1:13" x14ac:dyDescent="0.25">
      <c r="A2157" t="s">
        <v>1663</v>
      </c>
      <c r="B2157" t="s">
        <v>32</v>
      </c>
      <c r="C2157" t="s">
        <v>80</v>
      </c>
      <c r="D2157" t="s">
        <v>22</v>
      </c>
      <c r="E2157">
        <v>200</v>
      </c>
      <c r="F2157">
        <v>0.12</v>
      </c>
      <c r="G2157" t="s">
        <v>21</v>
      </c>
      <c r="H2157" s="1">
        <v>44979</v>
      </c>
      <c r="I2157">
        <v>2023</v>
      </c>
      <c r="J2157">
        <v>2</v>
      </c>
      <c r="K2157" t="s">
        <v>22</v>
      </c>
      <c r="L2157">
        <v>0</v>
      </c>
      <c r="M2157">
        <v>1</v>
      </c>
    </row>
    <row r="2158" spans="1:13" x14ac:dyDescent="0.25">
      <c r="A2158" t="s">
        <v>1664</v>
      </c>
      <c r="B2158" t="s">
        <v>89</v>
      </c>
      <c r="C2158" t="s">
        <v>14</v>
      </c>
      <c r="D2158" t="s">
        <v>15</v>
      </c>
      <c r="E2158">
        <v>186</v>
      </c>
      <c r="F2158" t="s">
        <v>21</v>
      </c>
      <c r="G2158">
        <v>279</v>
      </c>
      <c r="H2158" s="1">
        <v>44979</v>
      </c>
      <c r="I2158">
        <v>2023</v>
      </c>
      <c r="J2158">
        <v>2</v>
      </c>
      <c r="K2158" t="s">
        <v>36</v>
      </c>
      <c r="L2158" t="s">
        <v>21</v>
      </c>
      <c r="M2158">
        <v>1</v>
      </c>
    </row>
    <row r="2159" spans="1:13" x14ac:dyDescent="0.25">
      <c r="A2159" t="s">
        <v>1665</v>
      </c>
      <c r="B2159" t="s">
        <v>35</v>
      </c>
      <c r="C2159" t="s">
        <v>14</v>
      </c>
      <c r="D2159" t="s">
        <v>46</v>
      </c>
      <c r="E2159" t="s">
        <v>21</v>
      </c>
      <c r="F2159" t="s">
        <v>21</v>
      </c>
      <c r="G2159">
        <v>155</v>
      </c>
      <c r="H2159" s="1">
        <v>44979</v>
      </c>
      <c r="I2159">
        <v>2023</v>
      </c>
      <c r="J2159">
        <v>2</v>
      </c>
      <c r="K2159" t="s">
        <v>36</v>
      </c>
      <c r="L2159" t="s">
        <v>21</v>
      </c>
      <c r="M2159">
        <v>0</v>
      </c>
    </row>
    <row r="2160" spans="1:13" x14ac:dyDescent="0.25">
      <c r="A2160" t="s">
        <v>1666</v>
      </c>
      <c r="B2160" t="s">
        <v>52</v>
      </c>
      <c r="C2160" t="s">
        <v>42</v>
      </c>
      <c r="D2160" t="s">
        <v>46</v>
      </c>
      <c r="E2160" t="s">
        <v>21</v>
      </c>
      <c r="F2160">
        <v>0.11</v>
      </c>
      <c r="G2160">
        <v>279</v>
      </c>
      <c r="H2160" s="1">
        <v>44979</v>
      </c>
      <c r="I2160">
        <v>2023</v>
      </c>
      <c r="J2160">
        <v>2</v>
      </c>
      <c r="K2160" t="s">
        <v>36</v>
      </c>
      <c r="L2160">
        <v>0</v>
      </c>
      <c r="M2160">
        <v>1</v>
      </c>
    </row>
    <row r="2161" spans="1:13" x14ac:dyDescent="0.25">
      <c r="A2161" t="s">
        <v>1667</v>
      </c>
      <c r="B2161" t="s">
        <v>35</v>
      </c>
      <c r="C2161" t="s">
        <v>14</v>
      </c>
      <c r="D2161" t="s">
        <v>20</v>
      </c>
      <c r="E2161" t="s">
        <v>21</v>
      </c>
      <c r="F2161">
        <v>0.56999999999999995</v>
      </c>
      <c r="G2161">
        <v>194</v>
      </c>
      <c r="H2161" s="1">
        <v>44979</v>
      </c>
      <c r="I2161">
        <v>2023</v>
      </c>
      <c r="J2161">
        <v>2</v>
      </c>
      <c r="K2161" t="s">
        <v>36</v>
      </c>
      <c r="L2161">
        <v>0</v>
      </c>
      <c r="M2161">
        <v>1</v>
      </c>
    </row>
    <row r="2162" spans="1:13" x14ac:dyDescent="0.25">
      <c r="A2162" t="s">
        <v>1668</v>
      </c>
      <c r="B2162" t="s">
        <v>66</v>
      </c>
      <c r="C2162" t="s">
        <v>14</v>
      </c>
      <c r="D2162" t="s">
        <v>49</v>
      </c>
      <c r="E2162" t="s">
        <v>21</v>
      </c>
      <c r="F2162">
        <v>1</v>
      </c>
      <c r="G2162">
        <v>57</v>
      </c>
      <c r="H2162" s="1">
        <v>44979</v>
      </c>
      <c r="I2162">
        <v>2023</v>
      </c>
      <c r="J2162">
        <v>2</v>
      </c>
      <c r="K2162" t="s">
        <v>30</v>
      </c>
      <c r="L2162">
        <v>1</v>
      </c>
      <c r="M2162">
        <v>1</v>
      </c>
    </row>
    <row r="2163" spans="1:13" x14ac:dyDescent="0.25">
      <c r="A2163" t="s">
        <v>1669</v>
      </c>
      <c r="B2163" t="s">
        <v>95</v>
      </c>
      <c r="C2163" t="s">
        <v>1395</v>
      </c>
      <c r="D2163" t="s">
        <v>46</v>
      </c>
      <c r="E2163">
        <v>350</v>
      </c>
      <c r="F2163">
        <v>0.7</v>
      </c>
      <c r="G2163">
        <v>214</v>
      </c>
      <c r="H2163" s="1">
        <v>44978</v>
      </c>
      <c r="I2163">
        <v>2023</v>
      </c>
      <c r="J2163">
        <v>2</v>
      </c>
      <c r="K2163" t="s">
        <v>36</v>
      </c>
      <c r="L2163">
        <v>0</v>
      </c>
      <c r="M2163">
        <v>1</v>
      </c>
    </row>
    <row r="2164" spans="1:13" x14ac:dyDescent="0.25">
      <c r="A2164" t="s">
        <v>283</v>
      </c>
      <c r="B2164" t="s">
        <v>52</v>
      </c>
      <c r="C2164" t="s">
        <v>48</v>
      </c>
      <c r="D2164" t="s">
        <v>22</v>
      </c>
      <c r="E2164">
        <v>100</v>
      </c>
      <c r="F2164">
        <v>0.2</v>
      </c>
      <c r="G2164">
        <v>451</v>
      </c>
      <c r="H2164" s="1">
        <v>44978</v>
      </c>
      <c r="I2164">
        <v>2023</v>
      </c>
      <c r="J2164">
        <v>2</v>
      </c>
      <c r="K2164" t="s">
        <v>36</v>
      </c>
      <c r="L2164">
        <v>0</v>
      </c>
      <c r="M2164">
        <v>1</v>
      </c>
    </row>
    <row r="2165" spans="1:13" x14ac:dyDescent="0.25">
      <c r="A2165" t="s">
        <v>380</v>
      </c>
      <c r="B2165" t="s">
        <v>32</v>
      </c>
      <c r="C2165" t="s">
        <v>381</v>
      </c>
      <c r="D2165" t="s">
        <v>22</v>
      </c>
      <c r="E2165">
        <v>85</v>
      </c>
      <c r="F2165" t="s">
        <v>21</v>
      </c>
      <c r="G2165">
        <v>26</v>
      </c>
      <c r="H2165" s="1">
        <v>44978</v>
      </c>
      <c r="I2165">
        <v>2023</v>
      </c>
      <c r="J2165">
        <v>2</v>
      </c>
      <c r="K2165" t="s">
        <v>30</v>
      </c>
      <c r="L2165" t="s">
        <v>21</v>
      </c>
      <c r="M2165">
        <v>1</v>
      </c>
    </row>
    <row r="2166" spans="1:13" x14ac:dyDescent="0.25">
      <c r="A2166" t="s">
        <v>1670</v>
      </c>
      <c r="B2166" t="s">
        <v>77</v>
      </c>
      <c r="C2166" t="s">
        <v>14</v>
      </c>
      <c r="D2166" t="s">
        <v>55</v>
      </c>
      <c r="E2166">
        <v>50</v>
      </c>
      <c r="F2166" t="s">
        <v>21</v>
      </c>
      <c r="G2166">
        <v>406</v>
      </c>
      <c r="H2166" s="1">
        <v>44978</v>
      </c>
      <c r="I2166">
        <v>2023</v>
      </c>
      <c r="J2166">
        <v>2</v>
      </c>
      <c r="K2166" t="s">
        <v>36</v>
      </c>
      <c r="L2166" t="s">
        <v>21</v>
      </c>
      <c r="M2166">
        <v>1</v>
      </c>
    </row>
    <row r="2167" spans="1:13" x14ac:dyDescent="0.25">
      <c r="A2167" t="s">
        <v>1671</v>
      </c>
      <c r="B2167" t="s">
        <v>54</v>
      </c>
      <c r="C2167" t="s">
        <v>14</v>
      </c>
      <c r="D2167" t="s">
        <v>33</v>
      </c>
      <c r="E2167">
        <v>40</v>
      </c>
      <c r="F2167">
        <v>0.04</v>
      </c>
      <c r="G2167">
        <v>52</v>
      </c>
      <c r="H2167" s="1">
        <v>44978</v>
      </c>
      <c r="I2167">
        <v>2023</v>
      </c>
      <c r="J2167">
        <v>2</v>
      </c>
      <c r="K2167" t="s">
        <v>30</v>
      </c>
      <c r="L2167">
        <v>0</v>
      </c>
      <c r="M2167">
        <v>1</v>
      </c>
    </row>
    <row r="2168" spans="1:13" x14ac:dyDescent="0.25">
      <c r="A2168" t="s">
        <v>205</v>
      </c>
      <c r="B2168" t="s">
        <v>66</v>
      </c>
      <c r="C2168" t="s">
        <v>143</v>
      </c>
      <c r="D2168" t="s">
        <v>43</v>
      </c>
      <c r="E2168">
        <v>17</v>
      </c>
      <c r="F2168" t="s">
        <v>21</v>
      </c>
      <c r="G2168" t="s">
        <v>21</v>
      </c>
      <c r="H2168" s="1">
        <v>44978</v>
      </c>
      <c r="I2168">
        <v>2023</v>
      </c>
      <c r="J2168">
        <v>2</v>
      </c>
      <c r="K2168" t="s">
        <v>22</v>
      </c>
      <c r="L2168" t="s">
        <v>21</v>
      </c>
      <c r="M2168">
        <v>1</v>
      </c>
    </row>
    <row r="2169" spans="1:13" x14ac:dyDescent="0.25">
      <c r="A2169" t="s">
        <v>807</v>
      </c>
      <c r="B2169" t="s">
        <v>54</v>
      </c>
      <c r="C2169" t="s">
        <v>539</v>
      </c>
      <c r="D2169" t="s">
        <v>15</v>
      </c>
      <c r="E2169" t="s">
        <v>21</v>
      </c>
      <c r="F2169" t="s">
        <v>21</v>
      </c>
      <c r="G2169">
        <v>61</v>
      </c>
      <c r="H2169" s="1">
        <v>44978</v>
      </c>
      <c r="I2169">
        <v>2023</v>
      </c>
      <c r="J2169">
        <v>2</v>
      </c>
      <c r="K2169" t="s">
        <v>30</v>
      </c>
      <c r="L2169" t="s">
        <v>21</v>
      </c>
      <c r="M2169">
        <v>0</v>
      </c>
    </row>
    <row r="2170" spans="1:13" x14ac:dyDescent="0.25">
      <c r="A2170" t="s">
        <v>1672</v>
      </c>
      <c r="B2170" t="s">
        <v>91</v>
      </c>
      <c r="C2170" t="s">
        <v>14</v>
      </c>
      <c r="D2170" t="s">
        <v>46</v>
      </c>
      <c r="E2170" t="s">
        <v>21</v>
      </c>
      <c r="F2170" t="s">
        <v>21</v>
      </c>
      <c r="G2170">
        <v>121</v>
      </c>
      <c r="H2170" s="1">
        <v>44978</v>
      </c>
      <c r="I2170">
        <v>2023</v>
      </c>
      <c r="J2170">
        <v>2</v>
      </c>
      <c r="K2170" t="s">
        <v>36</v>
      </c>
      <c r="L2170" t="s">
        <v>21</v>
      </c>
      <c r="M2170">
        <v>0</v>
      </c>
    </row>
    <row r="2171" spans="1:13" x14ac:dyDescent="0.25">
      <c r="A2171" t="s">
        <v>1401</v>
      </c>
      <c r="B2171" t="s">
        <v>24</v>
      </c>
      <c r="C2171" t="s">
        <v>83</v>
      </c>
      <c r="D2171" t="s">
        <v>15</v>
      </c>
      <c r="E2171" t="s">
        <v>21</v>
      </c>
      <c r="F2171" t="s">
        <v>21</v>
      </c>
      <c r="G2171">
        <v>467</v>
      </c>
      <c r="H2171" s="1">
        <v>44978</v>
      </c>
      <c r="I2171">
        <v>2023</v>
      </c>
      <c r="J2171">
        <v>2</v>
      </c>
      <c r="K2171" t="s">
        <v>36</v>
      </c>
      <c r="L2171" t="s">
        <v>21</v>
      </c>
      <c r="M2171">
        <v>0</v>
      </c>
    </row>
    <row r="2172" spans="1:13" x14ac:dyDescent="0.25">
      <c r="A2172" t="s">
        <v>1673</v>
      </c>
      <c r="B2172" t="s">
        <v>13</v>
      </c>
      <c r="C2172" t="s">
        <v>48</v>
      </c>
      <c r="D2172" t="s">
        <v>33</v>
      </c>
      <c r="E2172">
        <v>200</v>
      </c>
      <c r="F2172">
        <v>0.3</v>
      </c>
      <c r="G2172">
        <v>79</v>
      </c>
      <c r="H2172" s="1">
        <v>44977</v>
      </c>
      <c r="I2172">
        <v>2023</v>
      </c>
      <c r="J2172">
        <v>2</v>
      </c>
      <c r="K2172" t="s">
        <v>30</v>
      </c>
      <c r="L2172">
        <v>0</v>
      </c>
      <c r="M2172">
        <v>1</v>
      </c>
    </row>
    <row r="2173" spans="1:13" x14ac:dyDescent="0.25">
      <c r="A2173" t="s">
        <v>898</v>
      </c>
      <c r="B2173" t="s">
        <v>52</v>
      </c>
      <c r="C2173" t="s">
        <v>14</v>
      </c>
      <c r="D2173" t="s">
        <v>111</v>
      </c>
      <c r="E2173">
        <v>30</v>
      </c>
      <c r="F2173">
        <v>0.05</v>
      </c>
      <c r="G2173">
        <v>1000</v>
      </c>
      <c r="H2173" s="1">
        <v>44977</v>
      </c>
      <c r="I2173">
        <v>2023</v>
      </c>
      <c r="J2173">
        <v>2</v>
      </c>
      <c r="K2173" t="s">
        <v>26</v>
      </c>
      <c r="L2173">
        <v>0</v>
      </c>
      <c r="M2173">
        <v>1</v>
      </c>
    </row>
    <row r="2174" spans="1:13" x14ac:dyDescent="0.25">
      <c r="A2174" t="s">
        <v>1674</v>
      </c>
      <c r="B2174" t="s">
        <v>13</v>
      </c>
      <c r="C2174" t="s">
        <v>42</v>
      </c>
      <c r="D2174" t="s">
        <v>49</v>
      </c>
      <c r="E2174">
        <v>8</v>
      </c>
      <c r="F2174">
        <v>0.28000000000000003</v>
      </c>
      <c r="G2174">
        <v>10</v>
      </c>
      <c r="H2174" s="1">
        <v>44977</v>
      </c>
      <c r="I2174">
        <v>2023</v>
      </c>
      <c r="J2174">
        <v>2</v>
      </c>
      <c r="K2174" t="s">
        <v>30</v>
      </c>
      <c r="L2174">
        <v>0</v>
      </c>
      <c r="M2174">
        <v>1</v>
      </c>
    </row>
    <row r="2175" spans="1:13" x14ac:dyDescent="0.25">
      <c r="A2175" t="s">
        <v>1675</v>
      </c>
      <c r="B2175" t="s">
        <v>95</v>
      </c>
      <c r="C2175" t="s">
        <v>48</v>
      </c>
      <c r="D2175" t="s">
        <v>68</v>
      </c>
      <c r="E2175" t="s">
        <v>21</v>
      </c>
      <c r="F2175">
        <v>1</v>
      </c>
      <c r="G2175">
        <v>9</v>
      </c>
      <c r="H2175" s="1">
        <v>44977</v>
      </c>
      <c r="I2175">
        <v>2023</v>
      </c>
      <c r="J2175">
        <v>2</v>
      </c>
      <c r="K2175" t="s">
        <v>16</v>
      </c>
      <c r="L2175">
        <v>1</v>
      </c>
      <c r="M2175">
        <v>1</v>
      </c>
    </row>
    <row r="2176" spans="1:13" x14ac:dyDescent="0.25">
      <c r="A2176" t="s">
        <v>320</v>
      </c>
      <c r="B2176" t="s">
        <v>70</v>
      </c>
      <c r="C2176" t="s">
        <v>29</v>
      </c>
      <c r="D2176" t="s">
        <v>15</v>
      </c>
      <c r="E2176">
        <v>100</v>
      </c>
      <c r="F2176" t="s">
        <v>21</v>
      </c>
      <c r="G2176">
        <v>4200</v>
      </c>
      <c r="H2176" s="1">
        <v>44976</v>
      </c>
      <c r="I2176">
        <v>2023</v>
      </c>
      <c r="J2176">
        <v>2</v>
      </c>
      <c r="K2176" t="s">
        <v>26</v>
      </c>
      <c r="L2176" t="s">
        <v>21</v>
      </c>
      <c r="M2176">
        <v>1</v>
      </c>
    </row>
    <row r="2177" spans="1:13" x14ac:dyDescent="0.25">
      <c r="A2177" t="s">
        <v>378</v>
      </c>
      <c r="B2177" t="s">
        <v>70</v>
      </c>
      <c r="C2177" t="s">
        <v>14</v>
      </c>
      <c r="D2177" t="s">
        <v>15</v>
      </c>
      <c r="E2177">
        <v>2400</v>
      </c>
      <c r="F2177">
        <v>0.05</v>
      </c>
      <c r="G2177">
        <v>50</v>
      </c>
      <c r="H2177" s="1">
        <v>44974</v>
      </c>
      <c r="I2177">
        <v>2023</v>
      </c>
      <c r="J2177">
        <v>2</v>
      </c>
      <c r="K2177" t="s">
        <v>30</v>
      </c>
      <c r="L2177">
        <v>0</v>
      </c>
      <c r="M2177">
        <v>1</v>
      </c>
    </row>
    <row r="2178" spans="1:13" x14ac:dyDescent="0.25">
      <c r="A2178" t="s">
        <v>1676</v>
      </c>
      <c r="B2178" t="s">
        <v>18</v>
      </c>
      <c r="C2178" t="s">
        <v>657</v>
      </c>
      <c r="D2178" t="s">
        <v>15</v>
      </c>
      <c r="E2178">
        <v>300</v>
      </c>
      <c r="F2178" t="s">
        <v>21</v>
      </c>
      <c r="G2178">
        <v>12600</v>
      </c>
      <c r="H2178" s="1">
        <v>44974</v>
      </c>
      <c r="I2178">
        <v>2023</v>
      </c>
      <c r="J2178">
        <v>2</v>
      </c>
      <c r="K2178" t="s">
        <v>26</v>
      </c>
      <c r="L2178" t="s">
        <v>21</v>
      </c>
      <c r="M2178">
        <v>1</v>
      </c>
    </row>
    <row r="2179" spans="1:13" x14ac:dyDescent="0.25">
      <c r="A2179" t="s">
        <v>1340</v>
      </c>
      <c r="B2179" t="s">
        <v>18</v>
      </c>
      <c r="C2179" t="s">
        <v>14</v>
      </c>
      <c r="D2179" t="s">
        <v>20</v>
      </c>
      <c r="E2179">
        <v>129</v>
      </c>
      <c r="F2179" t="s">
        <v>21</v>
      </c>
      <c r="G2179">
        <v>290</v>
      </c>
      <c r="H2179" s="1">
        <v>44974</v>
      </c>
      <c r="I2179">
        <v>2023</v>
      </c>
      <c r="J2179">
        <v>2</v>
      </c>
      <c r="K2179" t="s">
        <v>36</v>
      </c>
      <c r="L2179" t="s">
        <v>21</v>
      </c>
      <c r="M2179">
        <v>1</v>
      </c>
    </row>
    <row r="2180" spans="1:13" x14ac:dyDescent="0.25">
      <c r="A2180" t="s">
        <v>839</v>
      </c>
      <c r="B2180" t="s">
        <v>77</v>
      </c>
      <c r="C2180" t="s">
        <v>14</v>
      </c>
      <c r="D2180" t="s">
        <v>46</v>
      </c>
      <c r="E2180">
        <v>100</v>
      </c>
      <c r="F2180">
        <v>0.33</v>
      </c>
      <c r="G2180">
        <v>302</v>
      </c>
      <c r="H2180" s="1">
        <v>44974</v>
      </c>
      <c r="I2180">
        <v>2023</v>
      </c>
      <c r="J2180">
        <v>2</v>
      </c>
      <c r="K2180" t="s">
        <v>36</v>
      </c>
      <c r="L2180">
        <v>0</v>
      </c>
      <c r="M2180">
        <v>1</v>
      </c>
    </row>
    <row r="2181" spans="1:13" x14ac:dyDescent="0.25">
      <c r="A2181" t="s">
        <v>477</v>
      </c>
      <c r="B2181" t="s">
        <v>13</v>
      </c>
      <c r="C2181" t="s">
        <v>14</v>
      </c>
      <c r="D2181" t="s">
        <v>15</v>
      </c>
      <c r="E2181" t="s">
        <v>21</v>
      </c>
      <c r="F2181" t="s">
        <v>21</v>
      </c>
      <c r="G2181">
        <v>105</v>
      </c>
      <c r="H2181" s="1">
        <v>44974</v>
      </c>
      <c r="I2181">
        <v>2023</v>
      </c>
      <c r="J2181">
        <v>2</v>
      </c>
      <c r="K2181" t="s">
        <v>36</v>
      </c>
      <c r="L2181" t="s">
        <v>21</v>
      </c>
      <c r="M2181">
        <v>0</v>
      </c>
    </row>
    <row r="2182" spans="1:13" x14ac:dyDescent="0.25">
      <c r="A2182" t="s">
        <v>1677</v>
      </c>
      <c r="B2182" t="s">
        <v>52</v>
      </c>
      <c r="C2182" t="s">
        <v>14</v>
      </c>
      <c r="D2182" t="s">
        <v>22</v>
      </c>
      <c r="E2182" t="s">
        <v>21</v>
      </c>
      <c r="F2182" t="s">
        <v>21</v>
      </c>
      <c r="G2182" t="s">
        <v>21</v>
      </c>
      <c r="H2182" s="1">
        <v>44974</v>
      </c>
      <c r="I2182">
        <v>2023</v>
      </c>
      <c r="J2182">
        <v>2</v>
      </c>
      <c r="K2182" t="s">
        <v>22</v>
      </c>
      <c r="L2182" t="s">
        <v>21</v>
      </c>
      <c r="M2182">
        <v>0</v>
      </c>
    </row>
    <row r="2183" spans="1:13" x14ac:dyDescent="0.25">
      <c r="A2183" t="s">
        <v>902</v>
      </c>
      <c r="B2183" t="s">
        <v>99</v>
      </c>
      <c r="C2183" t="s">
        <v>14</v>
      </c>
      <c r="D2183" t="s">
        <v>15</v>
      </c>
      <c r="E2183">
        <v>680</v>
      </c>
      <c r="F2183">
        <v>0.1</v>
      </c>
      <c r="G2183">
        <v>536</v>
      </c>
      <c r="H2183" s="1">
        <v>44973</v>
      </c>
      <c r="I2183">
        <v>2023</v>
      </c>
      <c r="J2183">
        <v>2</v>
      </c>
      <c r="K2183" t="s">
        <v>36</v>
      </c>
      <c r="L2183">
        <v>0</v>
      </c>
      <c r="M2183">
        <v>1</v>
      </c>
    </row>
    <row r="2184" spans="1:13" x14ac:dyDescent="0.25">
      <c r="A2184" t="s">
        <v>1077</v>
      </c>
      <c r="B2184" t="s">
        <v>13</v>
      </c>
      <c r="C2184" t="s">
        <v>14</v>
      </c>
      <c r="D2184" t="s">
        <v>20</v>
      </c>
      <c r="E2184">
        <v>400</v>
      </c>
      <c r="F2184">
        <v>0.2</v>
      </c>
      <c r="G2184">
        <v>62</v>
      </c>
      <c r="H2184" s="1">
        <v>44973</v>
      </c>
      <c r="I2184">
        <v>2023</v>
      </c>
      <c r="J2184">
        <v>2</v>
      </c>
      <c r="K2184" t="s">
        <v>30</v>
      </c>
      <c r="L2184">
        <v>0</v>
      </c>
      <c r="M2184">
        <v>1</v>
      </c>
    </row>
    <row r="2185" spans="1:13" x14ac:dyDescent="0.25">
      <c r="A2185" t="s">
        <v>1678</v>
      </c>
      <c r="B2185" t="s">
        <v>24</v>
      </c>
      <c r="C2185" t="s">
        <v>14</v>
      </c>
      <c r="D2185" t="s">
        <v>15</v>
      </c>
      <c r="E2185">
        <v>230</v>
      </c>
      <c r="F2185">
        <v>7.0000000000000007E-2</v>
      </c>
      <c r="G2185">
        <v>356</v>
      </c>
      <c r="H2185" s="1">
        <v>44973</v>
      </c>
      <c r="I2185">
        <v>2023</v>
      </c>
      <c r="J2185">
        <v>2</v>
      </c>
      <c r="K2185" t="s">
        <v>36</v>
      </c>
      <c r="L2185">
        <v>0</v>
      </c>
      <c r="M2185">
        <v>1</v>
      </c>
    </row>
    <row r="2186" spans="1:13" x14ac:dyDescent="0.25">
      <c r="A2186" t="s">
        <v>267</v>
      </c>
      <c r="B2186" t="s">
        <v>13</v>
      </c>
      <c r="C2186" t="s">
        <v>14</v>
      </c>
      <c r="D2186" t="s">
        <v>15</v>
      </c>
      <c r="E2186">
        <v>85</v>
      </c>
      <c r="F2186">
        <v>0.03</v>
      </c>
      <c r="G2186">
        <v>152</v>
      </c>
      <c r="H2186" s="1">
        <v>44973</v>
      </c>
      <c r="I2186">
        <v>2023</v>
      </c>
      <c r="J2186">
        <v>2</v>
      </c>
      <c r="K2186" t="s">
        <v>36</v>
      </c>
      <c r="L2186">
        <v>0</v>
      </c>
      <c r="M2186">
        <v>1</v>
      </c>
    </row>
    <row r="2187" spans="1:13" x14ac:dyDescent="0.25">
      <c r="A2187" t="s">
        <v>1104</v>
      </c>
      <c r="B2187" t="s">
        <v>117</v>
      </c>
      <c r="C2187" t="s">
        <v>14</v>
      </c>
      <c r="D2187" t="s">
        <v>111</v>
      </c>
      <c r="E2187" t="s">
        <v>21</v>
      </c>
      <c r="F2187" t="s">
        <v>21</v>
      </c>
      <c r="G2187">
        <v>1100</v>
      </c>
      <c r="H2187" s="1">
        <v>44973</v>
      </c>
      <c r="I2187">
        <v>2023</v>
      </c>
      <c r="J2187">
        <v>2</v>
      </c>
      <c r="K2187" t="s">
        <v>26</v>
      </c>
      <c r="L2187" t="s">
        <v>21</v>
      </c>
      <c r="M2187">
        <v>0</v>
      </c>
    </row>
    <row r="2188" spans="1:13" x14ac:dyDescent="0.25">
      <c r="A2188" t="s">
        <v>129</v>
      </c>
      <c r="B2188" t="s">
        <v>54</v>
      </c>
      <c r="C2188" t="s">
        <v>29</v>
      </c>
      <c r="D2188" t="s">
        <v>15</v>
      </c>
      <c r="E2188">
        <v>370</v>
      </c>
      <c r="F2188">
        <v>0.06</v>
      </c>
      <c r="G2188">
        <v>58</v>
      </c>
      <c r="H2188" s="1">
        <v>44972</v>
      </c>
      <c r="I2188">
        <v>2023</v>
      </c>
      <c r="J2188">
        <v>2</v>
      </c>
      <c r="K2188" t="s">
        <v>30</v>
      </c>
      <c r="L2188">
        <v>0</v>
      </c>
      <c r="M2188">
        <v>1</v>
      </c>
    </row>
    <row r="2189" spans="1:13" x14ac:dyDescent="0.25">
      <c r="A2189" t="s">
        <v>1679</v>
      </c>
      <c r="B2189" t="s">
        <v>99</v>
      </c>
      <c r="C2189" t="s">
        <v>14</v>
      </c>
      <c r="D2189" t="s">
        <v>194</v>
      </c>
      <c r="E2189">
        <v>221</v>
      </c>
      <c r="F2189">
        <v>0.08</v>
      </c>
      <c r="G2189">
        <v>1100</v>
      </c>
      <c r="H2189" s="1">
        <v>44972</v>
      </c>
      <c r="I2189">
        <v>2023</v>
      </c>
      <c r="J2189">
        <v>2</v>
      </c>
      <c r="K2189" t="s">
        <v>26</v>
      </c>
      <c r="L2189">
        <v>0</v>
      </c>
      <c r="M2189">
        <v>1</v>
      </c>
    </row>
    <row r="2190" spans="1:13" x14ac:dyDescent="0.25">
      <c r="A2190" t="s">
        <v>1123</v>
      </c>
      <c r="B2190" t="s">
        <v>77</v>
      </c>
      <c r="C2190" t="s">
        <v>230</v>
      </c>
      <c r="D2190" t="s">
        <v>55</v>
      </c>
      <c r="E2190">
        <v>210</v>
      </c>
      <c r="F2190">
        <v>0.09</v>
      </c>
      <c r="G2190">
        <v>720</v>
      </c>
      <c r="H2190" s="1">
        <v>44972</v>
      </c>
      <c r="I2190">
        <v>2023</v>
      </c>
      <c r="J2190">
        <v>2</v>
      </c>
      <c r="K2190" t="s">
        <v>36</v>
      </c>
      <c r="L2190">
        <v>0</v>
      </c>
      <c r="M2190">
        <v>1</v>
      </c>
    </row>
    <row r="2191" spans="1:13" x14ac:dyDescent="0.25">
      <c r="A2191" t="s">
        <v>604</v>
      </c>
      <c r="B2191" t="s">
        <v>32</v>
      </c>
      <c r="C2191" t="s">
        <v>539</v>
      </c>
      <c r="D2191" t="s">
        <v>46</v>
      </c>
      <c r="E2191">
        <v>208</v>
      </c>
      <c r="F2191" t="s">
        <v>21</v>
      </c>
      <c r="G2191">
        <v>22</v>
      </c>
      <c r="H2191" s="1">
        <v>44972</v>
      </c>
      <c r="I2191">
        <v>2023</v>
      </c>
      <c r="J2191">
        <v>2</v>
      </c>
      <c r="K2191" t="s">
        <v>30</v>
      </c>
      <c r="L2191" t="s">
        <v>21</v>
      </c>
      <c r="M2191">
        <v>1</v>
      </c>
    </row>
    <row r="2192" spans="1:13" x14ac:dyDescent="0.25">
      <c r="A2192" t="s">
        <v>1680</v>
      </c>
      <c r="B2192" t="s">
        <v>140</v>
      </c>
      <c r="C2192" t="s">
        <v>14</v>
      </c>
      <c r="D2192" t="s">
        <v>15</v>
      </c>
      <c r="E2192">
        <v>200</v>
      </c>
      <c r="F2192">
        <v>0.11</v>
      </c>
      <c r="G2192">
        <v>491</v>
      </c>
      <c r="H2192" s="1">
        <v>44972</v>
      </c>
      <c r="I2192">
        <v>2023</v>
      </c>
      <c r="J2192">
        <v>2</v>
      </c>
      <c r="K2192" t="s">
        <v>36</v>
      </c>
      <c r="L2192">
        <v>0</v>
      </c>
      <c r="M2192">
        <v>1</v>
      </c>
    </row>
    <row r="2193" spans="1:13" x14ac:dyDescent="0.25">
      <c r="A2193" t="s">
        <v>500</v>
      </c>
      <c r="B2193" t="s">
        <v>89</v>
      </c>
      <c r="C2193" t="s">
        <v>14</v>
      </c>
      <c r="D2193" t="s">
        <v>15</v>
      </c>
      <c r="E2193">
        <v>100</v>
      </c>
      <c r="F2193">
        <v>0.04</v>
      </c>
      <c r="G2193">
        <v>429</v>
      </c>
      <c r="H2193" s="1">
        <v>44972</v>
      </c>
      <c r="I2193">
        <v>2023</v>
      </c>
      <c r="J2193">
        <v>2</v>
      </c>
      <c r="K2193" t="s">
        <v>36</v>
      </c>
      <c r="L2193">
        <v>0</v>
      </c>
      <c r="M2193">
        <v>1</v>
      </c>
    </row>
    <row r="2194" spans="1:13" x14ac:dyDescent="0.25">
      <c r="A2194" t="s">
        <v>1681</v>
      </c>
      <c r="B2194" t="s">
        <v>77</v>
      </c>
      <c r="C2194" t="s">
        <v>14</v>
      </c>
      <c r="D2194" t="s">
        <v>43</v>
      </c>
      <c r="E2194">
        <v>28</v>
      </c>
      <c r="F2194" t="s">
        <v>21</v>
      </c>
      <c r="G2194">
        <v>435</v>
      </c>
      <c r="H2194" s="1">
        <v>44972</v>
      </c>
      <c r="I2194">
        <v>2023</v>
      </c>
      <c r="J2194">
        <v>2</v>
      </c>
      <c r="K2194" t="s">
        <v>36</v>
      </c>
      <c r="L2194" t="s">
        <v>21</v>
      </c>
      <c r="M2194">
        <v>1</v>
      </c>
    </row>
    <row r="2195" spans="1:13" x14ac:dyDescent="0.25">
      <c r="A2195" t="s">
        <v>1174</v>
      </c>
      <c r="B2195" t="s">
        <v>91</v>
      </c>
      <c r="C2195" t="s">
        <v>14</v>
      </c>
      <c r="D2195" t="s">
        <v>33</v>
      </c>
      <c r="E2195" t="s">
        <v>21</v>
      </c>
      <c r="F2195" t="s">
        <v>21</v>
      </c>
      <c r="G2195">
        <v>180</v>
      </c>
      <c r="H2195" s="1">
        <v>44972</v>
      </c>
      <c r="I2195">
        <v>2023</v>
      </c>
      <c r="J2195">
        <v>2</v>
      </c>
      <c r="K2195" t="s">
        <v>36</v>
      </c>
      <c r="L2195" t="s">
        <v>21</v>
      </c>
      <c r="M2195">
        <v>0</v>
      </c>
    </row>
    <row r="2196" spans="1:13" x14ac:dyDescent="0.25">
      <c r="A2196" t="s">
        <v>1544</v>
      </c>
      <c r="B2196" t="s">
        <v>95</v>
      </c>
      <c r="C2196" t="s">
        <v>42</v>
      </c>
      <c r="D2196" t="s">
        <v>68</v>
      </c>
      <c r="E2196" t="s">
        <v>21</v>
      </c>
      <c r="F2196">
        <v>0.2</v>
      </c>
      <c r="G2196">
        <v>86</v>
      </c>
      <c r="H2196" s="1">
        <v>44972</v>
      </c>
      <c r="I2196">
        <v>2023</v>
      </c>
      <c r="J2196">
        <v>2</v>
      </c>
      <c r="K2196" t="s">
        <v>30</v>
      </c>
      <c r="L2196">
        <v>0</v>
      </c>
      <c r="M2196">
        <v>1</v>
      </c>
    </row>
    <row r="2197" spans="1:13" x14ac:dyDescent="0.25">
      <c r="A2197" t="s">
        <v>1682</v>
      </c>
      <c r="B2197" t="s">
        <v>89</v>
      </c>
      <c r="C2197" t="s">
        <v>14</v>
      </c>
      <c r="D2197" t="s">
        <v>46</v>
      </c>
      <c r="E2197" t="s">
        <v>21</v>
      </c>
      <c r="F2197" t="s">
        <v>21</v>
      </c>
      <c r="G2197">
        <v>214</v>
      </c>
      <c r="H2197" s="1">
        <v>44972</v>
      </c>
      <c r="I2197">
        <v>2023</v>
      </c>
      <c r="J2197">
        <v>2</v>
      </c>
      <c r="K2197" t="s">
        <v>36</v>
      </c>
      <c r="L2197" t="s">
        <v>21</v>
      </c>
      <c r="M2197">
        <v>0</v>
      </c>
    </row>
    <row r="2198" spans="1:13" x14ac:dyDescent="0.25">
      <c r="A2198" t="s">
        <v>1683</v>
      </c>
      <c r="B2198" t="s">
        <v>32</v>
      </c>
      <c r="C2198" t="s">
        <v>14</v>
      </c>
      <c r="D2198" t="s">
        <v>33</v>
      </c>
      <c r="E2198" t="s">
        <v>21</v>
      </c>
      <c r="F2198" t="s">
        <v>21</v>
      </c>
      <c r="G2198">
        <v>63</v>
      </c>
      <c r="H2198" s="1">
        <v>44972</v>
      </c>
      <c r="I2198">
        <v>2023</v>
      </c>
      <c r="J2198">
        <v>2</v>
      </c>
      <c r="K2198" t="s">
        <v>30</v>
      </c>
      <c r="L2198" t="s">
        <v>21</v>
      </c>
      <c r="M2198">
        <v>0</v>
      </c>
    </row>
    <row r="2199" spans="1:13" x14ac:dyDescent="0.25">
      <c r="A2199" t="s">
        <v>1684</v>
      </c>
      <c r="B2199" t="s">
        <v>54</v>
      </c>
      <c r="C2199" t="s">
        <v>14</v>
      </c>
      <c r="D2199" t="s">
        <v>15</v>
      </c>
      <c r="E2199" t="s">
        <v>21</v>
      </c>
      <c r="F2199">
        <v>0.14000000000000001</v>
      </c>
      <c r="G2199">
        <v>1100</v>
      </c>
      <c r="H2199" s="1">
        <v>44972</v>
      </c>
      <c r="I2199">
        <v>2023</v>
      </c>
      <c r="J2199">
        <v>2</v>
      </c>
      <c r="K2199" t="s">
        <v>26</v>
      </c>
      <c r="L2199">
        <v>0</v>
      </c>
      <c r="M2199">
        <v>1</v>
      </c>
    </row>
    <row r="2200" spans="1:13" x14ac:dyDescent="0.25">
      <c r="A2200" t="s">
        <v>1685</v>
      </c>
      <c r="B2200" t="s">
        <v>13</v>
      </c>
      <c r="C2200" t="s">
        <v>14</v>
      </c>
      <c r="D2200" t="s">
        <v>46</v>
      </c>
      <c r="E2200" t="s">
        <v>21</v>
      </c>
      <c r="F2200">
        <v>0.15</v>
      </c>
      <c r="G2200">
        <v>148</v>
      </c>
      <c r="H2200" s="1">
        <v>44972</v>
      </c>
      <c r="I2200">
        <v>2023</v>
      </c>
      <c r="J2200">
        <v>2</v>
      </c>
      <c r="K2200" t="s">
        <v>36</v>
      </c>
      <c r="L2200">
        <v>0</v>
      </c>
      <c r="M2200">
        <v>1</v>
      </c>
    </row>
    <row r="2201" spans="1:13" x14ac:dyDescent="0.25">
      <c r="A2201" t="s">
        <v>1686</v>
      </c>
      <c r="B2201" t="s">
        <v>35</v>
      </c>
      <c r="C2201" t="s">
        <v>14</v>
      </c>
      <c r="D2201" t="s">
        <v>15</v>
      </c>
      <c r="E2201" t="s">
        <v>21</v>
      </c>
      <c r="F2201">
        <v>0.14000000000000001</v>
      </c>
      <c r="G2201">
        <v>185</v>
      </c>
      <c r="H2201" s="1">
        <v>44972</v>
      </c>
      <c r="I2201">
        <v>2023</v>
      </c>
      <c r="J2201">
        <v>2</v>
      </c>
      <c r="K2201" t="s">
        <v>36</v>
      </c>
      <c r="L2201">
        <v>0</v>
      </c>
      <c r="M2201">
        <v>1</v>
      </c>
    </row>
    <row r="2202" spans="1:13" x14ac:dyDescent="0.25">
      <c r="A2202" t="s">
        <v>1687</v>
      </c>
      <c r="B2202" t="s">
        <v>13</v>
      </c>
      <c r="C2202" t="s">
        <v>14</v>
      </c>
      <c r="D2202" t="s">
        <v>15</v>
      </c>
      <c r="E2202">
        <v>500</v>
      </c>
      <c r="F2202">
        <v>0.14000000000000001</v>
      </c>
      <c r="G2202" t="s">
        <v>21</v>
      </c>
      <c r="H2202" s="1">
        <v>44971</v>
      </c>
      <c r="I2202">
        <v>2023</v>
      </c>
      <c r="J2202">
        <v>2</v>
      </c>
      <c r="K2202" t="s">
        <v>22</v>
      </c>
      <c r="L2202">
        <v>0</v>
      </c>
      <c r="M2202">
        <v>1</v>
      </c>
    </row>
    <row r="2203" spans="1:13" x14ac:dyDescent="0.25">
      <c r="A2203" t="s">
        <v>1688</v>
      </c>
      <c r="B2203" t="s">
        <v>24</v>
      </c>
      <c r="C2203" t="s">
        <v>14</v>
      </c>
      <c r="D2203" t="s">
        <v>20</v>
      </c>
      <c r="E2203">
        <v>371</v>
      </c>
      <c r="F2203">
        <v>0.31</v>
      </c>
      <c r="G2203" t="s">
        <v>21</v>
      </c>
      <c r="H2203" s="1">
        <v>44971</v>
      </c>
      <c r="I2203">
        <v>2023</v>
      </c>
      <c r="J2203">
        <v>2</v>
      </c>
      <c r="K2203" t="s">
        <v>22</v>
      </c>
      <c r="L2203">
        <v>0</v>
      </c>
      <c r="M2203">
        <v>1</v>
      </c>
    </row>
    <row r="2204" spans="1:13" x14ac:dyDescent="0.25">
      <c r="A2204" t="s">
        <v>1689</v>
      </c>
      <c r="B2204" t="s">
        <v>24</v>
      </c>
      <c r="C2204" t="s">
        <v>83</v>
      </c>
      <c r="D2204" t="s">
        <v>22</v>
      </c>
      <c r="E2204">
        <v>60</v>
      </c>
      <c r="F2204">
        <v>1</v>
      </c>
      <c r="G2204">
        <v>2</v>
      </c>
      <c r="H2204" s="1">
        <v>44971</v>
      </c>
      <c r="I2204">
        <v>2023</v>
      </c>
      <c r="J2204">
        <v>2</v>
      </c>
      <c r="K2204" t="s">
        <v>16</v>
      </c>
      <c r="L2204">
        <v>1</v>
      </c>
      <c r="M2204">
        <v>1</v>
      </c>
    </row>
    <row r="2205" spans="1:13" x14ac:dyDescent="0.25">
      <c r="A2205" t="s">
        <v>1690</v>
      </c>
      <c r="B2205" t="s">
        <v>40</v>
      </c>
      <c r="C2205" t="s">
        <v>14</v>
      </c>
      <c r="D2205" t="s">
        <v>33</v>
      </c>
      <c r="E2205" t="s">
        <v>21</v>
      </c>
      <c r="F2205">
        <v>0.08</v>
      </c>
      <c r="G2205">
        <v>11</v>
      </c>
      <c r="H2205" s="1">
        <v>44971</v>
      </c>
      <c r="I2205">
        <v>2023</v>
      </c>
      <c r="J2205">
        <v>2</v>
      </c>
      <c r="K2205" t="s">
        <v>30</v>
      </c>
      <c r="L2205">
        <v>0</v>
      </c>
      <c r="M2205">
        <v>1</v>
      </c>
    </row>
    <row r="2206" spans="1:13" x14ac:dyDescent="0.25">
      <c r="A2206" t="s">
        <v>1691</v>
      </c>
      <c r="B2206" t="s">
        <v>35</v>
      </c>
      <c r="C2206" t="s">
        <v>48</v>
      </c>
      <c r="D2206" t="s">
        <v>33</v>
      </c>
      <c r="E2206" t="s">
        <v>21</v>
      </c>
      <c r="F2206">
        <v>0.7</v>
      </c>
      <c r="G2206">
        <v>40</v>
      </c>
      <c r="H2206" s="1">
        <v>44971</v>
      </c>
      <c r="I2206">
        <v>2023</v>
      </c>
      <c r="J2206">
        <v>2</v>
      </c>
      <c r="K2206" t="s">
        <v>30</v>
      </c>
      <c r="L2206">
        <v>0</v>
      </c>
      <c r="M2206">
        <v>1</v>
      </c>
    </row>
    <row r="2207" spans="1:13" x14ac:dyDescent="0.25">
      <c r="A2207" t="s">
        <v>642</v>
      </c>
      <c r="B2207" t="s">
        <v>106</v>
      </c>
      <c r="C2207" t="s">
        <v>14</v>
      </c>
      <c r="D2207" t="s">
        <v>15</v>
      </c>
      <c r="E2207" t="s">
        <v>21</v>
      </c>
      <c r="F2207">
        <v>0.1</v>
      </c>
      <c r="G2207">
        <v>311</v>
      </c>
      <c r="H2207" s="1">
        <v>44971</v>
      </c>
      <c r="I2207">
        <v>2023</v>
      </c>
      <c r="J2207">
        <v>2</v>
      </c>
      <c r="K2207" t="s">
        <v>36</v>
      </c>
      <c r="L2207">
        <v>0</v>
      </c>
      <c r="M2207">
        <v>1</v>
      </c>
    </row>
    <row r="2208" spans="1:13" x14ac:dyDescent="0.25">
      <c r="A2208" t="s">
        <v>1035</v>
      </c>
      <c r="B2208" t="s">
        <v>13</v>
      </c>
      <c r="C2208" t="s">
        <v>14</v>
      </c>
      <c r="D2208" t="s">
        <v>15</v>
      </c>
      <c r="E2208">
        <v>1500</v>
      </c>
      <c r="F2208">
        <v>0.17</v>
      </c>
      <c r="G2208">
        <v>614</v>
      </c>
      <c r="H2208" s="1">
        <v>44970</v>
      </c>
      <c r="I2208">
        <v>2023</v>
      </c>
      <c r="J2208">
        <v>2</v>
      </c>
      <c r="K2208" t="s">
        <v>36</v>
      </c>
      <c r="L2208">
        <v>0</v>
      </c>
      <c r="M2208">
        <v>1</v>
      </c>
    </row>
    <row r="2209" spans="1:13" x14ac:dyDescent="0.25">
      <c r="A2209" t="s">
        <v>1692</v>
      </c>
      <c r="B2209" t="s">
        <v>13</v>
      </c>
      <c r="C2209" t="s">
        <v>14</v>
      </c>
      <c r="D2209" t="s">
        <v>55</v>
      </c>
      <c r="E2209">
        <v>141</v>
      </c>
      <c r="F2209">
        <v>0.25</v>
      </c>
      <c r="G2209">
        <v>212</v>
      </c>
      <c r="H2209" s="1">
        <v>44970</v>
      </c>
      <c r="I2209">
        <v>2023</v>
      </c>
      <c r="J2209">
        <v>2</v>
      </c>
      <c r="K2209" t="s">
        <v>36</v>
      </c>
      <c r="L2209">
        <v>0</v>
      </c>
      <c r="M2209">
        <v>1</v>
      </c>
    </row>
    <row r="2210" spans="1:13" x14ac:dyDescent="0.25">
      <c r="A2210" t="s">
        <v>1693</v>
      </c>
      <c r="B2210" t="s">
        <v>54</v>
      </c>
      <c r="C2210" t="s">
        <v>14</v>
      </c>
      <c r="D2210" t="s">
        <v>22</v>
      </c>
      <c r="E2210">
        <v>100</v>
      </c>
      <c r="F2210">
        <v>1</v>
      </c>
      <c r="G2210" t="s">
        <v>21</v>
      </c>
      <c r="H2210" s="1">
        <v>44970</v>
      </c>
      <c r="I2210">
        <v>2023</v>
      </c>
      <c r="J2210">
        <v>2</v>
      </c>
      <c r="K2210" t="s">
        <v>22</v>
      </c>
      <c r="L2210">
        <v>1</v>
      </c>
      <c r="M2210">
        <v>1</v>
      </c>
    </row>
    <row r="2211" spans="1:13" x14ac:dyDescent="0.25">
      <c r="A2211" t="s">
        <v>1694</v>
      </c>
      <c r="B2211" t="s">
        <v>24</v>
      </c>
      <c r="C2211" t="s">
        <v>230</v>
      </c>
      <c r="D2211" t="s">
        <v>46</v>
      </c>
      <c r="E2211">
        <v>94</v>
      </c>
      <c r="F2211" t="s">
        <v>21</v>
      </c>
      <c r="G2211">
        <v>225</v>
      </c>
      <c r="H2211" s="1">
        <v>44970</v>
      </c>
      <c r="I2211">
        <v>2023</v>
      </c>
      <c r="J2211">
        <v>2</v>
      </c>
      <c r="K2211" t="s">
        <v>36</v>
      </c>
      <c r="L2211" t="s">
        <v>21</v>
      </c>
      <c r="M2211">
        <v>1</v>
      </c>
    </row>
    <row r="2212" spans="1:13" x14ac:dyDescent="0.25">
      <c r="A2212" t="s">
        <v>585</v>
      </c>
      <c r="B2212" t="s">
        <v>18</v>
      </c>
      <c r="C2212" t="s">
        <v>14</v>
      </c>
      <c r="D2212" t="s">
        <v>20</v>
      </c>
      <c r="E2212">
        <v>85</v>
      </c>
      <c r="F2212">
        <v>7.0000000000000007E-2</v>
      </c>
      <c r="G2212">
        <v>30</v>
      </c>
      <c r="H2212" s="1">
        <v>44970</v>
      </c>
      <c r="I2212">
        <v>2023</v>
      </c>
      <c r="J2212">
        <v>2</v>
      </c>
      <c r="K2212" t="s">
        <v>30</v>
      </c>
      <c r="L2212">
        <v>0</v>
      </c>
      <c r="M2212">
        <v>1</v>
      </c>
    </row>
    <row r="2213" spans="1:13" x14ac:dyDescent="0.25">
      <c r="A2213" t="s">
        <v>1695</v>
      </c>
      <c r="B2213" t="s">
        <v>35</v>
      </c>
      <c r="C2213" t="s">
        <v>14</v>
      </c>
      <c r="D2213" t="s">
        <v>43</v>
      </c>
      <c r="E2213">
        <v>54</v>
      </c>
      <c r="F2213" t="s">
        <v>21</v>
      </c>
      <c r="G2213">
        <v>719</v>
      </c>
      <c r="H2213" s="1">
        <v>44970</v>
      </c>
      <c r="I2213">
        <v>2023</v>
      </c>
      <c r="J2213">
        <v>2</v>
      </c>
      <c r="K2213" t="s">
        <v>36</v>
      </c>
      <c r="L2213" t="s">
        <v>21</v>
      </c>
      <c r="M2213">
        <v>1</v>
      </c>
    </row>
    <row r="2214" spans="1:13" x14ac:dyDescent="0.25">
      <c r="A2214" t="s">
        <v>1696</v>
      </c>
      <c r="B2214" t="s">
        <v>52</v>
      </c>
      <c r="C2214" t="s">
        <v>14</v>
      </c>
      <c r="D2214" t="s">
        <v>33</v>
      </c>
      <c r="E2214">
        <v>22</v>
      </c>
      <c r="F2214" t="s">
        <v>21</v>
      </c>
      <c r="G2214">
        <v>170</v>
      </c>
      <c r="H2214" s="1">
        <v>44970</v>
      </c>
      <c r="I2214">
        <v>2023</v>
      </c>
      <c r="J2214">
        <v>2</v>
      </c>
      <c r="K2214" t="s">
        <v>36</v>
      </c>
      <c r="L2214" t="s">
        <v>21</v>
      </c>
      <c r="M2214">
        <v>1</v>
      </c>
    </row>
    <row r="2215" spans="1:13" x14ac:dyDescent="0.25">
      <c r="A2215" t="s">
        <v>1697</v>
      </c>
      <c r="B2215" t="s">
        <v>91</v>
      </c>
      <c r="C2215" t="s">
        <v>1698</v>
      </c>
      <c r="D2215" t="s">
        <v>22</v>
      </c>
      <c r="E2215" t="s">
        <v>21</v>
      </c>
      <c r="F2215">
        <v>0.3</v>
      </c>
      <c r="G2215">
        <v>708</v>
      </c>
      <c r="H2215" s="1">
        <v>44970</v>
      </c>
      <c r="I2215">
        <v>2023</v>
      </c>
      <c r="J2215">
        <v>2</v>
      </c>
      <c r="K2215" t="s">
        <v>36</v>
      </c>
      <c r="L2215">
        <v>0</v>
      </c>
      <c r="M2215">
        <v>1</v>
      </c>
    </row>
    <row r="2216" spans="1:13" x14ac:dyDescent="0.25">
      <c r="A2216" t="s">
        <v>1154</v>
      </c>
      <c r="B2216" t="s">
        <v>95</v>
      </c>
      <c r="C2216" t="s">
        <v>64</v>
      </c>
      <c r="D2216" t="s">
        <v>20</v>
      </c>
      <c r="E2216" t="s">
        <v>21</v>
      </c>
      <c r="F2216" t="s">
        <v>21</v>
      </c>
      <c r="G2216">
        <v>749</v>
      </c>
      <c r="H2216" s="1">
        <v>44970</v>
      </c>
      <c r="I2216">
        <v>2023</v>
      </c>
      <c r="J2216">
        <v>2</v>
      </c>
      <c r="K2216" t="s">
        <v>36</v>
      </c>
      <c r="L2216" t="s">
        <v>21</v>
      </c>
      <c r="M2216">
        <v>0</v>
      </c>
    </row>
    <row r="2217" spans="1:13" x14ac:dyDescent="0.25">
      <c r="A2217" t="s">
        <v>789</v>
      </c>
      <c r="B2217" t="s">
        <v>95</v>
      </c>
      <c r="C2217" t="s">
        <v>80</v>
      </c>
      <c r="D2217" t="s">
        <v>111</v>
      </c>
      <c r="E2217" t="s">
        <v>21</v>
      </c>
      <c r="F2217" t="s">
        <v>21</v>
      </c>
      <c r="G2217">
        <v>1800</v>
      </c>
      <c r="H2217" s="1">
        <v>44970</v>
      </c>
      <c r="I2217">
        <v>2023</v>
      </c>
      <c r="J2217">
        <v>2</v>
      </c>
      <c r="K2217" t="s">
        <v>26</v>
      </c>
      <c r="L2217" t="s">
        <v>21</v>
      </c>
      <c r="M2217">
        <v>0</v>
      </c>
    </row>
    <row r="2218" spans="1:13" x14ac:dyDescent="0.25">
      <c r="A2218" t="s">
        <v>141</v>
      </c>
      <c r="B2218" t="s">
        <v>45</v>
      </c>
      <c r="C2218" t="s">
        <v>14</v>
      </c>
      <c r="D2218" t="s">
        <v>20</v>
      </c>
      <c r="E2218" t="s">
        <v>21</v>
      </c>
      <c r="F2218" t="s">
        <v>21</v>
      </c>
      <c r="G2218">
        <v>154</v>
      </c>
      <c r="H2218" s="1">
        <v>44970</v>
      </c>
      <c r="I2218">
        <v>2023</v>
      </c>
      <c r="J2218">
        <v>2</v>
      </c>
      <c r="K2218" t="s">
        <v>36</v>
      </c>
      <c r="L2218" t="s">
        <v>21</v>
      </c>
      <c r="M2218">
        <v>0</v>
      </c>
    </row>
    <row r="2219" spans="1:13" x14ac:dyDescent="0.25">
      <c r="A2219" t="s">
        <v>1699</v>
      </c>
      <c r="B2219" t="s">
        <v>66</v>
      </c>
      <c r="C2219" t="s">
        <v>25</v>
      </c>
      <c r="D2219" t="s">
        <v>33</v>
      </c>
      <c r="E2219">
        <v>360</v>
      </c>
      <c r="F2219">
        <v>0.11</v>
      </c>
      <c r="G2219">
        <v>138</v>
      </c>
      <c r="H2219" s="1">
        <v>44969</v>
      </c>
      <c r="I2219">
        <v>2023</v>
      </c>
      <c r="J2219">
        <v>2</v>
      </c>
      <c r="K2219" t="s">
        <v>36</v>
      </c>
      <c r="L2219">
        <v>0</v>
      </c>
      <c r="M2219">
        <v>1</v>
      </c>
    </row>
    <row r="2220" spans="1:13" x14ac:dyDescent="0.25">
      <c r="A2220" t="s">
        <v>403</v>
      </c>
      <c r="B2220" t="s">
        <v>54</v>
      </c>
      <c r="C2220" t="s">
        <v>14</v>
      </c>
      <c r="D2220" t="s">
        <v>20</v>
      </c>
      <c r="E2220">
        <v>100</v>
      </c>
      <c r="F2220">
        <v>0.2</v>
      </c>
      <c r="G2220">
        <v>16</v>
      </c>
      <c r="H2220" s="1">
        <v>44967</v>
      </c>
      <c r="I2220">
        <v>2023</v>
      </c>
      <c r="J2220">
        <v>2</v>
      </c>
      <c r="K2220" t="s">
        <v>30</v>
      </c>
      <c r="L2220">
        <v>0</v>
      </c>
      <c r="M2220">
        <v>1</v>
      </c>
    </row>
    <row r="2221" spans="1:13" x14ac:dyDescent="0.25">
      <c r="A2221" t="s">
        <v>1700</v>
      </c>
      <c r="B2221" t="s">
        <v>35</v>
      </c>
      <c r="C2221" t="s">
        <v>174</v>
      </c>
      <c r="D2221" t="s">
        <v>15</v>
      </c>
      <c r="E2221">
        <v>48</v>
      </c>
      <c r="F2221">
        <v>0.72</v>
      </c>
      <c r="G2221">
        <v>278</v>
      </c>
      <c r="H2221" s="1">
        <v>44967</v>
      </c>
      <c r="I2221">
        <v>2023</v>
      </c>
      <c r="J2221">
        <v>2</v>
      </c>
      <c r="K2221" t="s">
        <v>36</v>
      </c>
      <c r="L2221">
        <v>0</v>
      </c>
      <c r="M2221">
        <v>1</v>
      </c>
    </row>
    <row r="2222" spans="1:13" x14ac:dyDescent="0.25">
      <c r="A2222" t="s">
        <v>1701</v>
      </c>
      <c r="B2222" t="s">
        <v>18</v>
      </c>
      <c r="C2222" t="s">
        <v>48</v>
      </c>
      <c r="D2222" t="s">
        <v>20</v>
      </c>
      <c r="E2222">
        <v>40</v>
      </c>
      <c r="F2222" t="s">
        <v>21</v>
      </c>
      <c r="G2222">
        <v>9400</v>
      </c>
      <c r="H2222" s="1">
        <v>44967</v>
      </c>
      <c r="I2222">
        <v>2023</v>
      </c>
      <c r="J2222">
        <v>2</v>
      </c>
      <c r="K2222" t="s">
        <v>26</v>
      </c>
      <c r="L2222" t="s">
        <v>21</v>
      </c>
      <c r="M2222">
        <v>1</v>
      </c>
    </row>
    <row r="2223" spans="1:13" x14ac:dyDescent="0.25">
      <c r="A2223" t="s">
        <v>1702</v>
      </c>
      <c r="B2223" t="s">
        <v>102</v>
      </c>
      <c r="C2223" t="s">
        <v>256</v>
      </c>
      <c r="D2223" t="s">
        <v>81</v>
      </c>
      <c r="E2223">
        <v>30</v>
      </c>
      <c r="F2223">
        <v>0.2</v>
      </c>
      <c r="G2223" t="s">
        <v>21</v>
      </c>
      <c r="H2223" s="1">
        <v>44967</v>
      </c>
      <c r="I2223">
        <v>2023</v>
      </c>
      <c r="J2223">
        <v>2</v>
      </c>
      <c r="K2223" t="s">
        <v>22</v>
      </c>
      <c r="L2223">
        <v>0</v>
      </c>
      <c r="M2223">
        <v>1</v>
      </c>
    </row>
    <row r="2224" spans="1:13" x14ac:dyDescent="0.25">
      <c r="A2224" t="s">
        <v>1703</v>
      </c>
      <c r="B2224" t="s">
        <v>77</v>
      </c>
      <c r="C2224" t="s">
        <v>230</v>
      </c>
      <c r="D2224" t="s">
        <v>55</v>
      </c>
      <c r="E2224" t="s">
        <v>21</v>
      </c>
      <c r="F2224" t="s">
        <v>21</v>
      </c>
      <c r="G2224">
        <v>140</v>
      </c>
      <c r="H2224" s="1">
        <v>44967</v>
      </c>
      <c r="I2224">
        <v>2023</v>
      </c>
      <c r="J2224">
        <v>2</v>
      </c>
      <c r="K2224" t="s">
        <v>36</v>
      </c>
      <c r="L2224" t="s">
        <v>21</v>
      </c>
      <c r="M2224">
        <v>0</v>
      </c>
    </row>
    <row r="2225" spans="1:13" x14ac:dyDescent="0.25">
      <c r="A2225" t="s">
        <v>1704</v>
      </c>
      <c r="B2225" t="s">
        <v>70</v>
      </c>
      <c r="C2225" t="s">
        <v>14</v>
      </c>
      <c r="D2225" t="s">
        <v>15</v>
      </c>
      <c r="E2225" t="s">
        <v>21</v>
      </c>
      <c r="F2225">
        <v>0.28000000000000003</v>
      </c>
      <c r="G2225">
        <v>298</v>
      </c>
      <c r="H2225" s="1">
        <v>44967</v>
      </c>
      <c r="I2225">
        <v>2023</v>
      </c>
      <c r="J2225">
        <v>2</v>
      </c>
      <c r="K2225" t="s">
        <v>36</v>
      </c>
      <c r="L2225">
        <v>0</v>
      </c>
      <c r="M2225">
        <v>1</v>
      </c>
    </row>
    <row r="2226" spans="1:13" x14ac:dyDescent="0.25">
      <c r="A2226" t="s">
        <v>1705</v>
      </c>
      <c r="B2226" t="s">
        <v>106</v>
      </c>
      <c r="C2226" t="s">
        <v>14</v>
      </c>
      <c r="D2226" t="s">
        <v>68</v>
      </c>
      <c r="E2226" t="s">
        <v>21</v>
      </c>
      <c r="F2226" t="s">
        <v>21</v>
      </c>
      <c r="G2226">
        <v>24</v>
      </c>
      <c r="H2226" s="1">
        <v>44967</v>
      </c>
      <c r="I2226">
        <v>2023</v>
      </c>
      <c r="J2226">
        <v>2</v>
      </c>
      <c r="K2226" t="s">
        <v>30</v>
      </c>
      <c r="L2226" t="s">
        <v>21</v>
      </c>
      <c r="M2226">
        <v>0</v>
      </c>
    </row>
    <row r="2227" spans="1:13" x14ac:dyDescent="0.25">
      <c r="A2227" t="s">
        <v>546</v>
      </c>
      <c r="B2227" t="s">
        <v>18</v>
      </c>
      <c r="C2227" t="s">
        <v>14</v>
      </c>
      <c r="D2227" t="s">
        <v>20</v>
      </c>
      <c r="E2227">
        <v>1600</v>
      </c>
      <c r="F2227">
        <v>0.2</v>
      </c>
      <c r="G2227">
        <v>6</v>
      </c>
      <c r="H2227" s="1">
        <v>44966</v>
      </c>
      <c r="I2227">
        <v>2023</v>
      </c>
      <c r="J2227">
        <v>2</v>
      </c>
      <c r="K2227" t="s">
        <v>16</v>
      </c>
      <c r="L2227">
        <v>0</v>
      </c>
      <c r="M2227">
        <v>1</v>
      </c>
    </row>
    <row r="2228" spans="1:13" x14ac:dyDescent="0.25">
      <c r="A2228" t="s">
        <v>1706</v>
      </c>
      <c r="B2228" t="s">
        <v>95</v>
      </c>
      <c r="C2228" t="s">
        <v>14</v>
      </c>
      <c r="D2228" t="s">
        <v>46</v>
      </c>
      <c r="E2228">
        <v>649</v>
      </c>
      <c r="F2228">
        <v>0.33</v>
      </c>
      <c r="G2228">
        <v>526</v>
      </c>
      <c r="H2228" s="1">
        <v>44966</v>
      </c>
      <c r="I2228">
        <v>2023</v>
      </c>
      <c r="J2228">
        <v>2</v>
      </c>
      <c r="K2228" t="s">
        <v>36</v>
      </c>
      <c r="L2228">
        <v>0</v>
      </c>
      <c r="M2228">
        <v>1</v>
      </c>
    </row>
    <row r="2229" spans="1:13" x14ac:dyDescent="0.25">
      <c r="A2229" t="s">
        <v>249</v>
      </c>
      <c r="B2229" t="s">
        <v>95</v>
      </c>
      <c r="C2229" t="s">
        <v>80</v>
      </c>
      <c r="D2229" t="s">
        <v>15</v>
      </c>
      <c r="E2229">
        <v>350</v>
      </c>
      <c r="F2229">
        <v>0.09</v>
      </c>
      <c r="G2229">
        <v>1700</v>
      </c>
      <c r="H2229" s="1">
        <v>44966</v>
      </c>
      <c r="I2229">
        <v>2023</v>
      </c>
      <c r="J2229">
        <v>2</v>
      </c>
      <c r="K2229" t="s">
        <v>26</v>
      </c>
      <c r="L2229">
        <v>0</v>
      </c>
      <c r="M2229">
        <v>1</v>
      </c>
    </row>
    <row r="2230" spans="1:13" x14ac:dyDescent="0.25">
      <c r="A2230" t="s">
        <v>1707</v>
      </c>
      <c r="B2230" t="s">
        <v>35</v>
      </c>
      <c r="C2230" t="s">
        <v>14</v>
      </c>
      <c r="D2230" t="s">
        <v>347</v>
      </c>
      <c r="E2230">
        <v>215</v>
      </c>
      <c r="F2230">
        <v>0.35</v>
      </c>
      <c r="G2230">
        <v>856</v>
      </c>
      <c r="H2230" s="1">
        <v>44966</v>
      </c>
      <c r="I2230">
        <v>2023</v>
      </c>
      <c r="J2230">
        <v>2</v>
      </c>
      <c r="K2230" t="s">
        <v>36</v>
      </c>
      <c r="L2230">
        <v>0</v>
      </c>
      <c r="M2230">
        <v>1</v>
      </c>
    </row>
    <row r="2231" spans="1:13" x14ac:dyDescent="0.25">
      <c r="A2231" t="s">
        <v>1073</v>
      </c>
      <c r="B2231" t="s">
        <v>77</v>
      </c>
      <c r="C2231" t="s">
        <v>14</v>
      </c>
      <c r="D2231" t="s">
        <v>15</v>
      </c>
      <c r="E2231">
        <v>155</v>
      </c>
      <c r="F2231">
        <v>0.1</v>
      </c>
      <c r="G2231">
        <v>566</v>
      </c>
      <c r="H2231" s="1">
        <v>44966</v>
      </c>
      <c r="I2231">
        <v>2023</v>
      </c>
      <c r="J2231">
        <v>2</v>
      </c>
      <c r="K2231" t="s">
        <v>36</v>
      </c>
      <c r="L2231">
        <v>0</v>
      </c>
      <c r="M2231">
        <v>1</v>
      </c>
    </row>
    <row r="2232" spans="1:13" x14ac:dyDescent="0.25">
      <c r="A2232" t="s">
        <v>113</v>
      </c>
      <c r="B2232" t="s">
        <v>114</v>
      </c>
      <c r="C2232" t="s">
        <v>14</v>
      </c>
      <c r="D2232" t="s">
        <v>15</v>
      </c>
      <c r="E2232">
        <v>130</v>
      </c>
      <c r="F2232">
        <v>7.0000000000000007E-2</v>
      </c>
      <c r="G2232">
        <v>413</v>
      </c>
      <c r="H2232" s="1">
        <v>44966</v>
      </c>
      <c r="I2232">
        <v>2023</v>
      </c>
      <c r="J2232">
        <v>2</v>
      </c>
      <c r="K2232" t="s">
        <v>36</v>
      </c>
      <c r="L2232">
        <v>0</v>
      </c>
      <c r="M2232">
        <v>1</v>
      </c>
    </row>
    <row r="2233" spans="1:13" x14ac:dyDescent="0.25">
      <c r="A2233" t="s">
        <v>1322</v>
      </c>
      <c r="B2233" t="s">
        <v>24</v>
      </c>
      <c r="C2233" t="s">
        <v>14</v>
      </c>
      <c r="D2233" t="s">
        <v>15</v>
      </c>
      <c r="E2233">
        <v>126</v>
      </c>
      <c r="F2233">
        <v>0.12</v>
      </c>
      <c r="G2233" t="s">
        <v>21</v>
      </c>
      <c r="H2233" s="1">
        <v>44966</v>
      </c>
      <c r="I2233">
        <v>2023</v>
      </c>
      <c r="J2233">
        <v>2</v>
      </c>
      <c r="K2233" t="s">
        <v>22</v>
      </c>
      <c r="L2233">
        <v>0</v>
      </c>
      <c r="M2233">
        <v>1</v>
      </c>
    </row>
    <row r="2234" spans="1:13" x14ac:dyDescent="0.25">
      <c r="A2234" t="s">
        <v>1708</v>
      </c>
      <c r="B2234" t="s">
        <v>66</v>
      </c>
      <c r="C2234" t="s">
        <v>29</v>
      </c>
      <c r="D2234" t="s">
        <v>15</v>
      </c>
      <c r="E2234">
        <v>100</v>
      </c>
      <c r="F2234">
        <v>0.5</v>
      </c>
      <c r="G2234">
        <v>317</v>
      </c>
      <c r="H2234" s="1">
        <v>44966</v>
      </c>
      <c r="I2234">
        <v>2023</v>
      </c>
      <c r="J2234">
        <v>2</v>
      </c>
      <c r="K2234" t="s">
        <v>36</v>
      </c>
      <c r="L2234">
        <v>0</v>
      </c>
      <c r="M2234">
        <v>1</v>
      </c>
    </row>
    <row r="2235" spans="1:13" x14ac:dyDescent="0.25">
      <c r="A2235" t="s">
        <v>1215</v>
      </c>
      <c r="B2235" t="s">
        <v>28</v>
      </c>
      <c r="C2235" t="s">
        <v>356</v>
      </c>
      <c r="D2235" t="s">
        <v>46</v>
      </c>
      <c r="E2235">
        <v>66</v>
      </c>
      <c r="F2235">
        <v>0.12</v>
      </c>
      <c r="G2235">
        <v>192</v>
      </c>
      <c r="H2235" s="1">
        <v>44966</v>
      </c>
      <c r="I2235">
        <v>2023</v>
      </c>
      <c r="J2235">
        <v>2</v>
      </c>
      <c r="K2235" t="s">
        <v>36</v>
      </c>
      <c r="L2235">
        <v>0</v>
      </c>
      <c r="M2235">
        <v>1</v>
      </c>
    </row>
    <row r="2236" spans="1:13" x14ac:dyDescent="0.25">
      <c r="A2236" t="s">
        <v>1708</v>
      </c>
      <c r="B2236" t="s">
        <v>66</v>
      </c>
      <c r="C2236" t="s">
        <v>29</v>
      </c>
      <c r="D2236" t="s">
        <v>15</v>
      </c>
      <c r="E2236">
        <v>31</v>
      </c>
      <c r="F2236">
        <v>0.11</v>
      </c>
      <c r="G2236">
        <v>317</v>
      </c>
      <c r="H2236" s="1">
        <v>44966</v>
      </c>
      <c r="I2236">
        <v>2023</v>
      </c>
      <c r="J2236">
        <v>2</v>
      </c>
      <c r="K2236" t="s">
        <v>36</v>
      </c>
      <c r="L2236">
        <v>0</v>
      </c>
      <c r="M2236">
        <v>1</v>
      </c>
    </row>
    <row r="2237" spans="1:13" x14ac:dyDescent="0.25">
      <c r="A2237" t="s">
        <v>1709</v>
      </c>
      <c r="B2237" t="s">
        <v>114</v>
      </c>
      <c r="C2237" t="s">
        <v>14</v>
      </c>
      <c r="D2237" t="s">
        <v>20</v>
      </c>
      <c r="E2237" t="s">
        <v>21</v>
      </c>
      <c r="F2237">
        <v>0.1</v>
      </c>
      <c r="G2237">
        <v>350</v>
      </c>
      <c r="H2237" s="1">
        <v>44966</v>
      </c>
      <c r="I2237">
        <v>2023</v>
      </c>
      <c r="J2237">
        <v>2</v>
      </c>
      <c r="K2237" t="s">
        <v>36</v>
      </c>
      <c r="L2237">
        <v>0</v>
      </c>
      <c r="M2237">
        <v>1</v>
      </c>
    </row>
    <row r="2238" spans="1:13" x14ac:dyDescent="0.25">
      <c r="A2238" t="s">
        <v>1710</v>
      </c>
      <c r="B2238" t="s">
        <v>32</v>
      </c>
      <c r="C2238" t="s">
        <v>14</v>
      </c>
      <c r="D2238" t="s">
        <v>22</v>
      </c>
      <c r="E2238" t="s">
        <v>21</v>
      </c>
      <c r="F2238" t="s">
        <v>21</v>
      </c>
      <c r="G2238" t="s">
        <v>21</v>
      </c>
      <c r="H2238" s="1">
        <v>44966</v>
      </c>
      <c r="I2238">
        <v>2023</v>
      </c>
      <c r="J2238">
        <v>2</v>
      </c>
      <c r="K2238" t="s">
        <v>22</v>
      </c>
      <c r="L2238" t="s">
        <v>21</v>
      </c>
      <c r="M2238">
        <v>0</v>
      </c>
    </row>
    <row r="2239" spans="1:13" x14ac:dyDescent="0.25">
      <c r="A2239" t="s">
        <v>1711</v>
      </c>
      <c r="B2239" t="s">
        <v>52</v>
      </c>
      <c r="C2239" t="s">
        <v>48</v>
      </c>
      <c r="D2239" t="s">
        <v>22</v>
      </c>
      <c r="E2239" t="s">
        <v>21</v>
      </c>
      <c r="F2239">
        <v>1</v>
      </c>
      <c r="G2239" t="s">
        <v>21</v>
      </c>
      <c r="H2239" s="1">
        <v>44966</v>
      </c>
      <c r="I2239">
        <v>2023</v>
      </c>
      <c r="J2239">
        <v>2</v>
      </c>
      <c r="K2239" t="s">
        <v>22</v>
      </c>
      <c r="L2239">
        <v>1</v>
      </c>
      <c r="M2239">
        <v>1</v>
      </c>
    </row>
    <row r="2240" spans="1:13" x14ac:dyDescent="0.25">
      <c r="A2240" t="s">
        <v>1712</v>
      </c>
      <c r="B2240" t="s">
        <v>54</v>
      </c>
      <c r="C2240" t="s">
        <v>14</v>
      </c>
      <c r="D2240" t="s">
        <v>15</v>
      </c>
      <c r="E2240">
        <v>530</v>
      </c>
      <c r="F2240">
        <v>0.08</v>
      </c>
      <c r="G2240">
        <v>800</v>
      </c>
      <c r="H2240" s="1">
        <v>44965</v>
      </c>
      <c r="I2240">
        <v>2023</v>
      </c>
      <c r="J2240">
        <v>2</v>
      </c>
      <c r="K2240" t="s">
        <v>36</v>
      </c>
      <c r="L2240">
        <v>0</v>
      </c>
      <c r="M2240">
        <v>1</v>
      </c>
    </row>
    <row r="2241" spans="1:13" x14ac:dyDescent="0.25">
      <c r="A2241" t="s">
        <v>866</v>
      </c>
      <c r="B2241" t="s">
        <v>77</v>
      </c>
      <c r="C2241" t="s">
        <v>14</v>
      </c>
      <c r="D2241" t="s">
        <v>15</v>
      </c>
      <c r="E2241">
        <v>500</v>
      </c>
      <c r="F2241">
        <v>0.19</v>
      </c>
      <c r="G2241">
        <v>1500</v>
      </c>
      <c r="H2241" s="1">
        <v>44965</v>
      </c>
      <c r="I2241">
        <v>2023</v>
      </c>
      <c r="J2241">
        <v>2</v>
      </c>
      <c r="K2241" t="s">
        <v>26</v>
      </c>
      <c r="L2241">
        <v>0</v>
      </c>
      <c r="M2241">
        <v>1</v>
      </c>
    </row>
    <row r="2242" spans="1:13" x14ac:dyDescent="0.25">
      <c r="A2242" t="s">
        <v>1713</v>
      </c>
      <c r="B2242" t="s">
        <v>40</v>
      </c>
      <c r="C2242" t="s">
        <v>14</v>
      </c>
      <c r="D2242" t="s">
        <v>111</v>
      </c>
      <c r="E2242">
        <v>126</v>
      </c>
      <c r="F2242">
        <v>0.05</v>
      </c>
      <c r="G2242">
        <v>746</v>
      </c>
      <c r="H2242" s="1">
        <v>44965</v>
      </c>
      <c r="I2242">
        <v>2023</v>
      </c>
      <c r="J2242">
        <v>2</v>
      </c>
      <c r="K2242" t="s">
        <v>36</v>
      </c>
      <c r="L2242">
        <v>0</v>
      </c>
      <c r="M2242">
        <v>1</v>
      </c>
    </row>
    <row r="2243" spans="1:13" x14ac:dyDescent="0.25">
      <c r="A2243" t="s">
        <v>1714</v>
      </c>
      <c r="B2243" t="s">
        <v>99</v>
      </c>
      <c r="C2243" t="s">
        <v>14</v>
      </c>
      <c r="D2243" t="s">
        <v>111</v>
      </c>
      <c r="E2243">
        <v>80</v>
      </c>
      <c r="F2243">
        <v>7.0000000000000007E-2</v>
      </c>
      <c r="G2243">
        <v>583</v>
      </c>
      <c r="H2243" s="1">
        <v>44965</v>
      </c>
      <c r="I2243">
        <v>2023</v>
      </c>
      <c r="J2243">
        <v>2</v>
      </c>
      <c r="K2243" t="s">
        <v>36</v>
      </c>
      <c r="L2243">
        <v>0</v>
      </c>
      <c r="M2243">
        <v>1</v>
      </c>
    </row>
    <row r="2244" spans="1:13" x14ac:dyDescent="0.25">
      <c r="A2244" t="s">
        <v>971</v>
      </c>
      <c r="B2244" t="s">
        <v>35</v>
      </c>
      <c r="C2244" t="s">
        <v>14</v>
      </c>
      <c r="D2244" t="s">
        <v>111</v>
      </c>
      <c r="E2244">
        <v>31</v>
      </c>
      <c r="F2244">
        <v>0.08</v>
      </c>
      <c r="G2244">
        <v>168</v>
      </c>
      <c r="H2244" s="1">
        <v>44965</v>
      </c>
      <c r="I2244">
        <v>2023</v>
      </c>
      <c r="J2244">
        <v>2</v>
      </c>
      <c r="K2244" t="s">
        <v>36</v>
      </c>
      <c r="L2244">
        <v>0</v>
      </c>
      <c r="M2244">
        <v>1</v>
      </c>
    </row>
    <row r="2245" spans="1:13" x14ac:dyDescent="0.25">
      <c r="A2245" t="s">
        <v>1715</v>
      </c>
      <c r="B2245" t="s">
        <v>77</v>
      </c>
      <c r="C2245" t="s">
        <v>14</v>
      </c>
      <c r="D2245" t="s">
        <v>33</v>
      </c>
      <c r="E2245">
        <v>24</v>
      </c>
      <c r="F2245">
        <v>0.25</v>
      </c>
      <c r="G2245">
        <v>85</v>
      </c>
      <c r="H2245" s="1">
        <v>44965</v>
      </c>
      <c r="I2245">
        <v>2023</v>
      </c>
      <c r="J2245">
        <v>2</v>
      </c>
      <c r="K2245" t="s">
        <v>30</v>
      </c>
      <c r="L2245">
        <v>0</v>
      </c>
      <c r="M2245">
        <v>1</v>
      </c>
    </row>
    <row r="2246" spans="1:13" x14ac:dyDescent="0.25">
      <c r="A2246" t="s">
        <v>1716</v>
      </c>
      <c r="B2246" t="s">
        <v>66</v>
      </c>
      <c r="C2246" t="s">
        <v>42</v>
      </c>
      <c r="D2246" t="s">
        <v>22</v>
      </c>
      <c r="E2246" t="s">
        <v>21</v>
      </c>
      <c r="F2246">
        <v>0.75</v>
      </c>
      <c r="G2246">
        <v>63</v>
      </c>
      <c r="H2246" s="1">
        <v>44965</v>
      </c>
      <c r="I2246">
        <v>2023</v>
      </c>
      <c r="J2246">
        <v>2</v>
      </c>
      <c r="K2246" t="s">
        <v>30</v>
      </c>
      <c r="L2246">
        <v>0</v>
      </c>
      <c r="M2246">
        <v>1</v>
      </c>
    </row>
    <row r="2247" spans="1:13" x14ac:dyDescent="0.25">
      <c r="A2247" t="s">
        <v>1717</v>
      </c>
      <c r="B2247" t="s">
        <v>77</v>
      </c>
      <c r="C2247" t="s">
        <v>174</v>
      </c>
      <c r="D2247" t="s">
        <v>55</v>
      </c>
      <c r="E2247" t="s">
        <v>21</v>
      </c>
      <c r="F2247">
        <v>0.14000000000000001</v>
      </c>
      <c r="G2247">
        <v>278</v>
      </c>
      <c r="H2247" s="1">
        <v>44965</v>
      </c>
      <c r="I2247">
        <v>2023</v>
      </c>
      <c r="J2247">
        <v>2</v>
      </c>
      <c r="K2247" t="s">
        <v>36</v>
      </c>
      <c r="L2247">
        <v>0</v>
      </c>
      <c r="M2247">
        <v>1</v>
      </c>
    </row>
    <row r="2248" spans="1:13" x14ac:dyDescent="0.25">
      <c r="A2248" t="s">
        <v>1718</v>
      </c>
      <c r="B2248" t="s">
        <v>35</v>
      </c>
      <c r="C2248" t="s">
        <v>14</v>
      </c>
      <c r="D2248" t="s">
        <v>46</v>
      </c>
      <c r="E2248" t="s">
        <v>21</v>
      </c>
      <c r="F2248">
        <v>1</v>
      </c>
      <c r="G2248">
        <v>100</v>
      </c>
      <c r="H2248" s="1">
        <v>44965</v>
      </c>
      <c r="I2248">
        <v>2023</v>
      </c>
      <c r="J2248">
        <v>2</v>
      </c>
      <c r="K2248" t="s">
        <v>36</v>
      </c>
      <c r="L2248">
        <v>1</v>
      </c>
      <c r="M2248">
        <v>1</v>
      </c>
    </row>
    <row r="2249" spans="1:13" x14ac:dyDescent="0.25">
      <c r="A2249" t="s">
        <v>1719</v>
      </c>
      <c r="B2249" t="s">
        <v>533</v>
      </c>
      <c r="C2249" t="s">
        <v>42</v>
      </c>
      <c r="D2249" t="s">
        <v>20</v>
      </c>
      <c r="E2249" t="s">
        <v>21</v>
      </c>
      <c r="F2249">
        <v>0.2</v>
      </c>
      <c r="G2249">
        <v>15</v>
      </c>
      <c r="H2249" s="1">
        <v>44965</v>
      </c>
      <c r="I2249">
        <v>2023</v>
      </c>
      <c r="J2249">
        <v>2</v>
      </c>
      <c r="K2249" t="s">
        <v>30</v>
      </c>
      <c r="L2249">
        <v>0</v>
      </c>
      <c r="M2249">
        <v>1</v>
      </c>
    </row>
    <row r="2250" spans="1:13" x14ac:dyDescent="0.25">
      <c r="A2250" t="s">
        <v>916</v>
      </c>
      <c r="B2250" t="s">
        <v>13</v>
      </c>
      <c r="C2250" t="s">
        <v>14</v>
      </c>
      <c r="D2250" t="s">
        <v>15</v>
      </c>
      <c r="E2250">
        <v>1300</v>
      </c>
      <c r="F2250">
        <v>0.15</v>
      </c>
      <c r="G2250">
        <v>276</v>
      </c>
      <c r="H2250" s="1">
        <v>44964</v>
      </c>
      <c r="I2250">
        <v>2023</v>
      </c>
      <c r="J2250">
        <v>2</v>
      </c>
      <c r="K2250" t="s">
        <v>36</v>
      </c>
      <c r="L2250">
        <v>0</v>
      </c>
      <c r="M2250">
        <v>1</v>
      </c>
    </row>
    <row r="2251" spans="1:13" x14ac:dyDescent="0.25">
      <c r="A2251" t="s">
        <v>247</v>
      </c>
      <c r="B2251" t="s">
        <v>24</v>
      </c>
      <c r="C2251" t="s">
        <v>14</v>
      </c>
      <c r="D2251" t="s">
        <v>15</v>
      </c>
      <c r="E2251">
        <v>500</v>
      </c>
      <c r="F2251">
        <v>0.04</v>
      </c>
      <c r="G2251">
        <v>1200</v>
      </c>
      <c r="H2251" s="1">
        <v>44964</v>
      </c>
      <c r="I2251">
        <v>2023</v>
      </c>
      <c r="J2251">
        <v>2</v>
      </c>
      <c r="K2251" t="s">
        <v>26</v>
      </c>
      <c r="L2251">
        <v>0</v>
      </c>
      <c r="M2251">
        <v>1</v>
      </c>
    </row>
    <row r="2252" spans="1:13" x14ac:dyDescent="0.25">
      <c r="A2252" t="s">
        <v>1236</v>
      </c>
      <c r="B2252" t="s">
        <v>28</v>
      </c>
      <c r="C2252" t="s">
        <v>14</v>
      </c>
      <c r="D2252" t="s">
        <v>15</v>
      </c>
      <c r="E2252">
        <v>212</v>
      </c>
      <c r="F2252">
        <v>0.09</v>
      </c>
      <c r="G2252">
        <v>83</v>
      </c>
      <c r="H2252" s="1">
        <v>44964</v>
      </c>
      <c r="I2252">
        <v>2023</v>
      </c>
      <c r="J2252">
        <v>2</v>
      </c>
      <c r="K2252" t="s">
        <v>30</v>
      </c>
      <c r="L2252">
        <v>0</v>
      </c>
      <c r="M2252">
        <v>1</v>
      </c>
    </row>
    <row r="2253" spans="1:13" x14ac:dyDescent="0.25">
      <c r="A2253" t="s">
        <v>1720</v>
      </c>
      <c r="B2253" t="s">
        <v>99</v>
      </c>
      <c r="C2253" t="s">
        <v>14</v>
      </c>
      <c r="D2253" t="s">
        <v>20</v>
      </c>
      <c r="E2253">
        <v>100</v>
      </c>
      <c r="F2253">
        <v>0.1</v>
      </c>
      <c r="G2253">
        <v>245</v>
      </c>
      <c r="H2253" s="1">
        <v>44964</v>
      </c>
      <c r="I2253">
        <v>2023</v>
      </c>
      <c r="J2253">
        <v>2</v>
      </c>
      <c r="K2253" t="s">
        <v>36</v>
      </c>
      <c r="L2253">
        <v>0</v>
      </c>
      <c r="M2253">
        <v>1</v>
      </c>
    </row>
    <row r="2254" spans="1:13" x14ac:dyDescent="0.25">
      <c r="A2254" t="s">
        <v>1721</v>
      </c>
      <c r="B2254" t="s">
        <v>77</v>
      </c>
      <c r="C2254" t="s">
        <v>42</v>
      </c>
      <c r="D2254" t="s">
        <v>15</v>
      </c>
      <c r="E2254">
        <v>83</v>
      </c>
      <c r="F2254">
        <v>1</v>
      </c>
      <c r="G2254">
        <v>299</v>
      </c>
      <c r="H2254" s="1">
        <v>44964</v>
      </c>
      <c r="I2254">
        <v>2023</v>
      </c>
      <c r="J2254">
        <v>2</v>
      </c>
      <c r="K2254" t="s">
        <v>36</v>
      </c>
      <c r="L2254">
        <v>1</v>
      </c>
      <c r="M2254">
        <v>1</v>
      </c>
    </row>
    <row r="2255" spans="1:13" x14ac:dyDescent="0.25">
      <c r="A2255" t="s">
        <v>1722</v>
      </c>
      <c r="B2255" t="s">
        <v>106</v>
      </c>
      <c r="C2255" t="s">
        <v>19</v>
      </c>
      <c r="D2255" t="s">
        <v>81</v>
      </c>
      <c r="E2255">
        <v>27</v>
      </c>
      <c r="F2255">
        <v>0.09</v>
      </c>
      <c r="G2255">
        <v>56</v>
      </c>
      <c r="H2255" s="1">
        <v>44964</v>
      </c>
      <c r="I2255">
        <v>2023</v>
      </c>
      <c r="J2255">
        <v>2</v>
      </c>
      <c r="K2255" t="s">
        <v>30</v>
      </c>
      <c r="L2255">
        <v>0</v>
      </c>
      <c r="M2255">
        <v>1</v>
      </c>
    </row>
    <row r="2256" spans="1:13" x14ac:dyDescent="0.25">
      <c r="A2256" t="s">
        <v>1087</v>
      </c>
      <c r="B2256" t="s">
        <v>40</v>
      </c>
      <c r="C2256" t="s">
        <v>14</v>
      </c>
      <c r="D2256" t="s">
        <v>33</v>
      </c>
      <c r="E2256" t="s">
        <v>21</v>
      </c>
      <c r="F2256">
        <v>0.19</v>
      </c>
      <c r="G2256">
        <v>106</v>
      </c>
      <c r="H2256" s="1">
        <v>44964</v>
      </c>
      <c r="I2256">
        <v>2023</v>
      </c>
      <c r="J2256">
        <v>2</v>
      </c>
      <c r="K2256" t="s">
        <v>36</v>
      </c>
      <c r="L2256">
        <v>0</v>
      </c>
      <c r="M2256">
        <v>1</v>
      </c>
    </row>
    <row r="2257" spans="1:13" x14ac:dyDescent="0.25">
      <c r="A2257" t="s">
        <v>228</v>
      </c>
      <c r="B2257" t="s">
        <v>70</v>
      </c>
      <c r="C2257" t="s">
        <v>14</v>
      </c>
      <c r="D2257" t="s">
        <v>15</v>
      </c>
      <c r="E2257">
        <v>6650</v>
      </c>
      <c r="F2257">
        <v>0.05</v>
      </c>
      <c r="G2257" t="s">
        <v>21</v>
      </c>
      <c r="H2257" s="1">
        <v>44963</v>
      </c>
      <c r="I2257">
        <v>2023</v>
      </c>
      <c r="J2257">
        <v>2</v>
      </c>
      <c r="K2257" t="s">
        <v>22</v>
      </c>
      <c r="L2257">
        <v>0</v>
      </c>
      <c r="M2257">
        <v>1</v>
      </c>
    </row>
    <row r="2258" spans="1:13" x14ac:dyDescent="0.25">
      <c r="A2258" t="s">
        <v>1723</v>
      </c>
      <c r="B2258" t="s">
        <v>117</v>
      </c>
      <c r="C2258" t="s">
        <v>230</v>
      </c>
      <c r="D2258" t="s">
        <v>43</v>
      </c>
      <c r="E2258">
        <v>300</v>
      </c>
      <c r="F2258">
        <v>7.0000000000000007E-2</v>
      </c>
      <c r="G2258">
        <v>507</v>
      </c>
      <c r="H2258" s="1">
        <v>44963</v>
      </c>
      <c r="I2258">
        <v>2023</v>
      </c>
      <c r="J2258">
        <v>2</v>
      </c>
      <c r="K2258" t="s">
        <v>36</v>
      </c>
      <c r="L2258">
        <v>0</v>
      </c>
      <c r="M2258">
        <v>1</v>
      </c>
    </row>
    <row r="2259" spans="1:13" x14ac:dyDescent="0.25">
      <c r="A2259" t="s">
        <v>1724</v>
      </c>
      <c r="B2259" t="s">
        <v>24</v>
      </c>
      <c r="C2259" t="s">
        <v>42</v>
      </c>
      <c r="D2259" t="s">
        <v>20</v>
      </c>
      <c r="E2259">
        <v>100</v>
      </c>
      <c r="F2259" t="s">
        <v>21</v>
      </c>
      <c r="G2259">
        <v>80</v>
      </c>
      <c r="H2259" s="1">
        <v>44963</v>
      </c>
      <c r="I2259">
        <v>2023</v>
      </c>
      <c r="J2259">
        <v>2</v>
      </c>
      <c r="K2259" t="s">
        <v>30</v>
      </c>
      <c r="L2259" t="s">
        <v>21</v>
      </c>
      <c r="M2259">
        <v>1</v>
      </c>
    </row>
    <row r="2260" spans="1:13" x14ac:dyDescent="0.25">
      <c r="A2260" t="s">
        <v>1725</v>
      </c>
      <c r="B2260" t="s">
        <v>66</v>
      </c>
      <c r="C2260" t="s">
        <v>14</v>
      </c>
      <c r="D2260" t="s">
        <v>97</v>
      </c>
      <c r="E2260">
        <v>80</v>
      </c>
      <c r="F2260" t="s">
        <v>21</v>
      </c>
      <c r="G2260" t="s">
        <v>21</v>
      </c>
      <c r="H2260" s="1">
        <v>44963</v>
      </c>
      <c r="I2260">
        <v>2023</v>
      </c>
      <c r="J2260">
        <v>2</v>
      </c>
      <c r="K2260" t="s">
        <v>22</v>
      </c>
      <c r="L2260" t="s">
        <v>21</v>
      </c>
      <c r="M2260">
        <v>1</v>
      </c>
    </row>
    <row r="2261" spans="1:13" x14ac:dyDescent="0.25">
      <c r="A2261" t="s">
        <v>1179</v>
      </c>
      <c r="B2261" t="s">
        <v>54</v>
      </c>
      <c r="C2261" t="s">
        <v>14</v>
      </c>
      <c r="D2261" t="s">
        <v>20</v>
      </c>
      <c r="E2261">
        <v>59</v>
      </c>
      <c r="F2261" t="s">
        <v>21</v>
      </c>
      <c r="G2261">
        <v>107</v>
      </c>
      <c r="H2261" s="1">
        <v>44963</v>
      </c>
      <c r="I2261">
        <v>2023</v>
      </c>
      <c r="J2261">
        <v>2</v>
      </c>
      <c r="K2261" t="s">
        <v>36</v>
      </c>
      <c r="L2261" t="s">
        <v>21</v>
      </c>
      <c r="M2261">
        <v>1</v>
      </c>
    </row>
    <row r="2262" spans="1:13" x14ac:dyDescent="0.25">
      <c r="A2262" t="s">
        <v>1726</v>
      </c>
      <c r="B2262" t="s">
        <v>32</v>
      </c>
      <c r="C2262" t="s">
        <v>48</v>
      </c>
      <c r="D2262" t="s">
        <v>22</v>
      </c>
      <c r="E2262">
        <v>50</v>
      </c>
      <c r="F2262">
        <v>0.25</v>
      </c>
      <c r="G2262">
        <v>19</v>
      </c>
      <c r="H2262" s="1">
        <v>44963</v>
      </c>
      <c r="I2262">
        <v>2023</v>
      </c>
      <c r="J2262">
        <v>2</v>
      </c>
      <c r="K2262" t="s">
        <v>30</v>
      </c>
      <c r="L2262">
        <v>0</v>
      </c>
      <c r="M2262">
        <v>1</v>
      </c>
    </row>
    <row r="2263" spans="1:13" x14ac:dyDescent="0.25">
      <c r="A2263" t="s">
        <v>261</v>
      </c>
      <c r="B2263" t="s">
        <v>99</v>
      </c>
      <c r="C2263" t="s">
        <v>14</v>
      </c>
      <c r="D2263" t="s">
        <v>43</v>
      </c>
      <c r="E2263">
        <v>20</v>
      </c>
      <c r="F2263" t="s">
        <v>21</v>
      </c>
      <c r="G2263">
        <v>496</v>
      </c>
      <c r="H2263" s="1">
        <v>44963</v>
      </c>
      <c r="I2263">
        <v>2023</v>
      </c>
      <c r="J2263">
        <v>2</v>
      </c>
      <c r="K2263" t="s">
        <v>36</v>
      </c>
      <c r="L2263" t="s">
        <v>21</v>
      </c>
      <c r="M2263">
        <v>1</v>
      </c>
    </row>
    <row r="2264" spans="1:13" x14ac:dyDescent="0.25">
      <c r="A2264" t="s">
        <v>1727</v>
      </c>
      <c r="B2264" t="s">
        <v>77</v>
      </c>
      <c r="C2264" t="s">
        <v>230</v>
      </c>
      <c r="D2264" t="s">
        <v>22</v>
      </c>
      <c r="E2264" t="s">
        <v>21</v>
      </c>
      <c r="F2264" t="s">
        <v>21</v>
      </c>
      <c r="G2264">
        <v>2300</v>
      </c>
      <c r="H2264" s="1">
        <v>44963</v>
      </c>
      <c r="I2264">
        <v>2023</v>
      </c>
      <c r="J2264">
        <v>2</v>
      </c>
      <c r="K2264" t="s">
        <v>26</v>
      </c>
      <c r="L2264" t="s">
        <v>21</v>
      </c>
      <c r="M2264">
        <v>0</v>
      </c>
    </row>
    <row r="2265" spans="1:13" x14ac:dyDescent="0.25">
      <c r="A2265" t="s">
        <v>862</v>
      </c>
      <c r="B2265" t="s">
        <v>24</v>
      </c>
      <c r="C2265" t="s">
        <v>64</v>
      </c>
      <c r="D2265" t="s">
        <v>22</v>
      </c>
      <c r="E2265" t="s">
        <v>21</v>
      </c>
      <c r="F2265">
        <v>0.11</v>
      </c>
      <c r="G2265" t="s">
        <v>21</v>
      </c>
      <c r="H2265" s="1">
        <v>44963</v>
      </c>
      <c r="I2265">
        <v>2023</v>
      </c>
      <c r="J2265">
        <v>2</v>
      </c>
      <c r="K2265" t="s">
        <v>22</v>
      </c>
      <c r="L2265">
        <v>0</v>
      </c>
      <c r="M2265">
        <v>1</v>
      </c>
    </row>
    <row r="2266" spans="1:13" x14ac:dyDescent="0.25">
      <c r="A2266" t="s">
        <v>1728</v>
      </c>
      <c r="B2266" t="s">
        <v>77</v>
      </c>
      <c r="C2266" t="s">
        <v>29</v>
      </c>
      <c r="D2266" t="s">
        <v>49</v>
      </c>
      <c r="E2266" t="s">
        <v>21</v>
      </c>
      <c r="F2266" t="s">
        <v>21</v>
      </c>
      <c r="G2266">
        <v>6</v>
      </c>
      <c r="H2266" s="1">
        <v>44963</v>
      </c>
      <c r="I2266">
        <v>2023</v>
      </c>
      <c r="J2266">
        <v>2</v>
      </c>
      <c r="K2266" t="s">
        <v>16</v>
      </c>
      <c r="L2266" t="s">
        <v>21</v>
      </c>
      <c r="M2266">
        <v>0</v>
      </c>
    </row>
    <row r="2267" spans="1:13" x14ac:dyDescent="0.25">
      <c r="A2267" t="s">
        <v>1729</v>
      </c>
      <c r="B2267" t="s">
        <v>35</v>
      </c>
      <c r="C2267" t="s">
        <v>14</v>
      </c>
      <c r="D2267" t="s">
        <v>22</v>
      </c>
      <c r="E2267">
        <v>70</v>
      </c>
      <c r="F2267" t="s">
        <v>21</v>
      </c>
      <c r="G2267">
        <v>183</v>
      </c>
      <c r="H2267" s="1">
        <v>44962</v>
      </c>
      <c r="I2267">
        <v>2023</v>
      </c>
      <c r="J2267">
        <v>2</v>
      </c>
      <c r="K2267" t="s">
        <v>36</v>
      </c>
      <c r="L2267" t="s">
        <v>21</v>
      </c>
      <c r="M2267">
        <v>1</v>
      </c>
    </row>
    <row r="2268" spans="1:13" x14ac:dyDescent="0.25">
      <c r="A2268" t="s">
        <v>1730</v>
      </c>
      <c r="B2268" t="s">
        <v>77</v>
      </c>
      <c r="C2268" t="s">
        <v>29</v>
      </c>
      <c r="D2268" t="s">
        <v>33</v>
      </c>
      <c r="E2268">
        <v>20</v>
      </c>
      <c r="F2268">
        <v>0.25</v>
      </c>
      <c r="G2268">
        <v>42</v>
      </c>
      <c r="H2268" s="1">
        <v>44962</v>
      </c>
      <c r="I2268">
        <v>2023</v>
      </c>
      <c r="J2268">
        <v>2</v>
      </c>
      <c r="K2268" t="s">
        <v>30</v>
      </c>
      <c r="L2268">
        <v>0</v>
      </c>
      <c r="M2268">
        <v>1</v>
      </c>
    </row>
    <row r="2269" spans="1:13" x14ac:dyDescent="0.25">
      <c r="A2269" t="s">
        <v>1731</v>
      </c>
      <c r="B2269" t="s">
        <v>40</v>
      </c>
      <c r="C2269" t="s">
        <v>14</v>
      </c>
      <c r="D2269" t="s">
        <v>111</v>
      </c>
      <c r="E2269">
        <v>90</v>
      </c>
      <c r="F2269">
        <v>0.15</v>
      </c>
      <c r="G2269">
        <v>396</v>
      </c>
      <c r="H2269" s="1">
        <v>44960</v>
      </c>
      <c r="I2269">
        <v>2023</v>
      </c>
      <c r="J2269">
        <v>2</v>
      </c>
      <c r="K2269" t="s">
        <v>36</v>
      </c>
      <c r="L2269">
        <v>0</v>
      </c>
      <c r="M2269">
        <v>1</v>
      </c>
    </row>
    <row r="2270" spans="1:13" x14ac:dyDescent="0.25">
      <c r="A2270" t="s">
        <v>1732</v>
      </c>
      <c r="B2270" t="s">
        <v>117</v>
      </c>
      <c r="C2270" t="s">
        <v>48</v>
      </c>
      <c r="D2270" t="s">
        <v>111</v>
      </c>
      <c r="E2270">
        <v>90</v>
      </c>
      <c r="F2270" t="s">
        <v>21</v>
      </c>
      <c r="G2270">
        <v>150</v>
      </c>
      <c r="H2270" s="1">
        <v>44960</v>
      </c>
      <c r="I2270">
        <v>2023</v>
      </c>
      <c r="J2270">
        <v>2</v>
      </c>
      <c r="K2270" t="s">
        <v>36</v>
      </c>
      <c r="L2270" t="s">
        <v>21</v>
      </c>
      <c r="M2270">
        <v>1</v>
      </c>
    </row>
    <row r="2271" spans="1:13" x14ac:dyDescent="0.25">
      <c r="A2271" t="s">
        <v>1733</v>
      </c>
      <c r="B2271" t="s">
        <v>52</v>
      </c>
      <c r="C2271" t="s">
        <v>14</v>
      </c>
      <c r="D2271" t="s">
        <v>22</v>
      </c>
      <c r="E2271">
        <v>89</v>
      </c>
      <c r="F2271">
        <v>0.2</v>
      </c>
      <c r="G2271">
        <v>10</v>
      </c>
      <c r="H2271" s="1">
        <v>44960</v>
      </c>
      <c r="I2271">
        <v>2023</v>
      </c>
      <c r="J2271">
        <v>2</v>
      </c>
      <c r="K2271" t="s">
        <v>30</v>
      </c>
      <c r="L2271">
        <v>0</v>
      </c>
      <c r="M2271">
        <v>1</v>
      </c>
    </row>
    <row r="2272" spans="1:13" x14ac:dyDescent="0.25">
      <c r="A2272" t="s">
        <v>1734</v>
      </c>
      <c r="B2272" t="s">
        <v>533</v>
      </c>
      <c r="C2272" t="s">
        <v>14</v>
      </c>
      <c r="D2272" t="s">
        <v>22</v>
      </c>
      <c r="E2272" t="s">
        <v>21</v>
      </c>
      <c r="F2272">
        <v>0.08</v>
      </c>
      <c r="G2272">
        <v>313</v>
      </c>
      <c r="H2272" s="1">
        <v>44960</v>
      </c>
      <c r="I2272">
        <v>2023</v>
      </c>
      <c r="J2272">
        <v>2</v>
      </c>
      <c r="K2272" t="s">
        <v>36</v>
      </c>
      <c r="L2272">
        <v>0</v>
      </c>
      <c r="M2272">
        <v>1</v>
      </c>
    </row>
    <row r="2273" spans="1:13" x14ac:dyDescent="0.25">
      <c r="A2273" t="s">
        <v>867</v>
      </c>
      <c r="B2273" t="s">
        <v>24</v>
      </c>
      <c r="C2273" t="s">
        <v>42</v>
      </c>
      <c r="D2273" t="s">
        <v>22</v>
      </c>
      <c r="E2273" t="s">
        <v>21</v>
      </c>
      <c r="F2273">
        <v>0.15</v>
      </c>
      <c r="G2273">
        <v>30</v>
      </c>
      <c r="H2273" s="1">
        <v>44960</v>
      </c>
      <c r="I2273">
        <v>2023</v>
      </c>
      <c r="J2273">
        <v>2</v>
      </c>
      <c r="K2273" t="s">
        <v>30</v>
      </c>
      <c r="L2273">
        <v>0</v>
      </c>
      <c r="M2273">
        <v>1</v>
      </c>
    </row>
    <row r="2274" spans="1:13" x14ac:dyDescent="0.25">
      <c r="A2274" t="s">
        <v>823</v>
      </c>
      <c r="B2274" t="s">
        <v>106</v>
      </c>
      <c r="C2274" t="s">
        <v>48</v>
      </c>
      <c r="D2274" t="s">
        <v>81</v>
      </c>
      <c r="E2274">
        <v>1500</v>
      </c>
      <c r="F2274" t="s">
        <v>21</v>
      </c>
      <c r="G2274">
        <v>5500</v>
      </c>
      <c r="H2274" s="1">
        <v>44959</v>
      </c>
      <c r="I2274">
        <v>2023</v>
      </c>
      <c r="J2274">
        <v>2</v>
      </c>
      <c r="K2274" t="s">
        <v>26</v>
      </c>
      <c r="L2274" t="s">
        <v>21</v>
      </c>
      <c r="M2274">
        <v>1</v>
      </c>
    </row>
    <row r="2275" spans="1:13" x14ac:dyDescent="0.25">
      <c r="A2275" t="s">
        <v>508</v>
      </c>
      <c r="B2275" t="s">
        <v>28</v>
      </c>
      <c r="C2275" t="s">
        <v>14</v>
      </c>
      <c r="D2275" t="s">
        <v>15</v>
      </c>
      <c r="E2275">
        <v>300</v>
      </c>
      <c r="F2275">
        <v>0.05</v>
      </c>
      <c r="G2275">
        <v>1200</v>
      </c>
      <c r="H2275" s="1">
        <v>44959</v>
      </c>
      <c r="I2275">
        <v>2023</v>
      </c>
      <c r="J2275">
        <v>2</v>
      </c>
      <c r="K2275" t="s">
        <v>26</v>
      </c>
      <c r="L2275">
        <v>0</v>
      </c>
      <c r="M2275">
        <v>1</v>
      </c>
    </row>
    <row r="2276" spans="1:13" x14ac:dyDescent="0.25">
      <c r="A2276" t="s">
        <v>282</v>
      </c>
      <c r="B2276" t="s">
        <v>13</v>
      </c>
      <c r="C2276" t="s">
        <v>14</v>
      </c>
      <c r="D2276" t="s">
        <v>15</v>
      </c>
      <c r="E2276">
        <v>250</v>
      </c>
      <c r="F2276">
        <v>0.02</v>
      </c>
      <c r="G2276" t="s">
        <v>21</v>
      </c>
      <c r="H2276" s="1">
        <v>44959</v>
      </c>
      <c r="I2276">
        <v>2023</v>
      </c>
      <c r="J2276">
        <v>2</v>
      </c>
      <c r="K2276" t="s">
        <v>22</v>
      </c>
      <c r="L2276">
        <v>0</v>
      </c>
      <c r="M2276">
        <v>1</v>
      </c>
    </row>
    <row r="2277" spans="1:13" x14ac:dyDescent="0.25">
      <c r="A2277" t="s">
        <v>1735</v>
      </c>
      <c r="B2277" t="s">
        <v>35</v>
      </c>
      <c r="C2277" t="s">
        <v>14</v>
      </c>
      <c r="D2277" t="s">
        <v>46</v>
      </c>
      <c r="E2277">
        <v>127</v>
      </c>
      <c r="F2277" t="s">
        <v>21</v>
      </c>
      <c r="G2277">
        <v>160</v>
      </c>
      <c r="H2277" s="1">
        <v>44959</v>
      </c>
      <c r="I2277">
        <v>2023</v>
      </c>
      <c r="J2277">
        <v>2</v>
      </c>
      <c r="K2277" t="s">
        <v>36</v>
      </c>
      <c r="L2277" t="s">
        <v>21</v>
      </c>
      <c r="M2277">
        <v>1</v>
      </c>
    </row>
    <row r="2278" spans="1:13" x14ac:dyDescent="0.25">
      <c r="A2278" t="s">
        <v>1242</v>
      </c>
      <c r="B2278" t="s">
        <v>28</v>
      </c>
      <c r="C2278" t="s">
        <v>80</v>
      </c>
      <c r="D2278" t="s">
        <v>15</v>
      </c>
      <c r="E2278">
        <v>125</v>
      </c>
      <c r="F2278">
        <v>7.0000000000000007E-2</v>
      </c>
      <c r="G2278" t="s">
        <v>21</v>
      </c>
      <c r="H2278" s="1">
        <v>44959</v>
      </c>
      <c r="I2278">
        <v>2023</v>
      </c>
      <c r="J2278">
        <v>2</v>
      </c>
      <c r="K2278" t="s">
        <v>22</v>
      </c>
      <c r="L2278">
        <v>0</v>
      </c>
      <c r="M2278">
        <v>1</v>
      </c>
    </row>
    <row r="2279" spans="1:13" x14ac:dyDescent="0.25">
      <c r="A2279" t="s">
        <v>595</v>
      </c>
      <c r="B2279" t="s">
        <v>13</v>
      </c>
      <c r="C2279" t="s">
        <v>14</v>
      </c>
      <c r="D2279" t="s">
        <v>46</v>
      </c>
      <c r="E2279">
        <v>119</v>
      </c>
      <c r="F2279">
        <v>7.0000000000000007E-2</v>
      </c>
      <c r="G2279">
        <v>476</v>
      </c>
      <c r="H2279" s="1">
        <v>44959</v>
      </c>
      <c r="I2279">
        <v>2023</v>
      </c>
      <c r="J2279">
        <v>2</v>
      </c>
      <c r="K2279" t="s">
        <v>36</v>
      </c>
      <c r="L2279">
        <v>0</v>
      </c>
      <c r="M2279">
        <v>1</v>
      </c>
    </row>
    <row r="2280" spans="1:13" x14ac:dyDescent="0.25">
      <c r="A2280" t="s">
        <v>789</v>
      </c>
      <c r="B2280" t="s">
        <v>95</v>
      </c>
      <c r="C2280" t="s">
        <v>14</v>
      </c>
      <c r="D2280" t="s">
        <v>111</v>
      </c>
      <c r="E2280">
        <v>100</v>
      </c>
      <c r="F2280" t="s">
        <v>21</v>
      </c>
      <c r="G2280">
        <v>1800</v>
      </c>
      <c r="H2280" s="1">
        <v>44959</v>
      </c>
      <c r="I2280">
        <v>2023</v>
      </c>
      <c r="J2280">
        <v>2</v>
      </c>
      <c r="K2280" t="s">
        <v>26</v>
      </c>
      <c r="L2280" t="s">
        <v>21</v>
      </c>
      <c r="M2280">
        <v>1</v>
      </c>
    </row>
    <row r="2281" spans="1:13" x14ac:dyDescent="0.25">
      <c r="A2281" t="s">
        <v>1408</v>
      </c>
      <c r="B2281" t="s">
        <v>99</v>
      </c>
      <c r="C2281" t="s">
        <v>14</v>
      </c>
      <c r="D2281" t="s">
        <v>43</v>
      </c>
      <c r="E2281">
        <v>100</v>
      </c>
      <c r="F2281">
        <v>0.1</v>
      </c>
      <c r="G2281">
        <v>644</v>
      </c>
      <c r="H2281" s="1">
        <v>44959</v>
      </c>
      <c r="I2281">
        <v>2023</v>
      </c>
      <c r="J2281">
        <v>2</v>
      </c>
      <c r="K2281" t="s">
        <v>36</v>
      </c>
      <c r="L2281">
        <v>0</v>
      </c>
      <c r="M2281">
        <v>1</v>
      </c>
    </row>
    <row r="2282" spans="1:13" x14ac:dyDescent="0.25">
      <c r="A2282" t="s">
        <v>1736</v>
      </c>
      <c r="B2282" t="s">
        <v>52</v>
      </c>
      <c r="C2282" t="s">
        <v>14</v>
      </c>
      <c r="D2282" t="s">
        <v>22</v>
      </c>
      <c r="E2282">
        <v>80</v>
      </c>
      <c r="F2282" t="s">
        <v>21</v>
      </c>
      <c r="G2282" t="s">
        <v>21</v>
      </c>
      <c r="H2282" s="1">
        <v>44959</v>
      </c>
      <c r="I2282">
        <v>2023</v>
      </c>
      <c r="J2282">
        <v>2</v>
      </c>
      <c r="K2282" t="s">
        <v>22</v>
      </c>
      <c r="L2282" t="s">
        <v>21</v>
      </c>
      <c r="M2282">
        <v>1</v>
      </c>
    </row>
    <row r="2283" spans="1:13" x14ac:dyDescent="0.25">
      <c r="A2283" t="s">
        <v>1737</v>
      </c>
      <c r="B2283" t="s">
        <v>38</v>
      </c>
      <c r="C2283" t="s">
        <v>80</v>
      </c>
      <c r="D2283" t="s">
        <v>33</v>
      </c>
      <c r="E2283">
        <v>40</v>
      </c>
      <c r="F2283" t="s">
        <v>21</v>
      </c>
      <c r="G2283">
        <v>55</v>
      </c>
      <c r="H2283" s="1">
        <v>44959</v>
      </c>
      <c r="I2283">
        <v>2023</v>
      </c>
      <c r="J2283">
        <v>2</v>
      </c>
      <c r="K2283" t="s">
        <v>30</v>
      </c>
      <c r="L2283" t="s">
        <v>21</v>
      </c>
      <c r="M2283">
        <v>1</v>
      </c>
    </row>
    <row r="2284" spans="1:13" x14ac:dyDescent="0.25">
      <c r="A2284" t="s">
        <v>1738</v>
      </c>
      <c r="B2284" t="s">
        <v>106</v>
      </c>
      <c r="C2284" t="s">
        <v>14</v>
      </c>
      <c r="D2284" t="s">
        <v>68</v>
      </c>
      <c r="E2284">
        <v>38</v>
      </c>
      <c r="F2284" t="s">
        <v>21</v>
      </c>
      <c r="G2284">
        <v>1500</v>
      </c>
      <c r="H2284" s="1">
        <v>44959</v>
      </c>
      <c r="I2284">
        <v>2023</v>
      </c>
      <c r="J2284">
        <v>2</v>
      </c>
      <c r="K2284" t="s">
        <v>26</v>
      </c>
      <c r="L2284" t="s">
        <v>21</v>
      </c>
      <c r="M2284">
        <v>1</v>
      </c>
    </row>
    <row r="2285" spans="1:13" x14ac:dyDescent="0.25">
      <c r="A2285" t="s">
        <v>936</v>
      </c>
      <c r="B2285" t="s">
        <v>13</v>
      </c>
      <c r="C2285" t="s">
        <v>14</v>
      </c>
      <c r="D2285" t="s">
        <v>15</v>
      </c>
      <c r="E2285" t="s">
        <v>21</v>
      </c>
      <c r="F2285" t="s">
        <v>21</v>
      </c>
      <c r="G2285">
        <v>811</v>
      </c>
      <c r="H2285" s="1">
        <v>44959</v>
      </c>
      <c r="I2285">
        <v>2023</v>
      </c>
      <c r="J2285">
        <v>2</v>
      </c>
      <c r="K2285" t="s">
        <v>36</v>
      </c>
      <c r="L2285" t="s">
        <v>21</v>
      </c>
      <c r="M2285">
        <v>0</v>
      </c>
    </row>
    <row r="2286" spans="1:13" x14ac:dyDescent="0.25">
      <c r="A2286" t="s">
        <v>496</v>
      </c>
      <c r="B2286" t="s">
        <v>66</v>
      </c>
      <c r="C2286" t="s">
        <v>14</v>
      </c>
      <c r="D2286" t="s">
        <v>15</v>
      </c>
      <c r="E2286" t="s">
        <v>21</v>
      </c>
      <c r="F2286">
        <v>0.1</v>
      </c>
      <c r="G2286">
        <v>948</v>
      </c>
      <c r="H2286" s="1">
        <v>44959</v>
      </c>
      <c r="I2286">
        <v>2023</v>
      </c>
      <c r="J2286">
        <v>2</v>
      </c>
      <c r="K2286" t="s">
        <v>36</v>
      </c>
      <c r="L2286">
        <v>0</v>
      </c>
      <c r="M2286">
        <v>1</v>
      </c>
    </row>
    <row r="2287" spans="1:13" x14ac:dyDescent="0.25">
      <c r="A2287" t="s">
        <v>1739</v>
      </c>
      <c r="B2287" t="s">
        <v>18</v>
      </c>
      <c r="C2287" t="s">
        <v>1395</v>
      </c>
      <c r="D2287" t="s">
        <v>15</v>
      </c>
      <c r="E2287" t="s">
        <v>21</v>
      </c>
      <c r="F2287">
        <v>0.2</v>
      </c>
      <c r="G2287">
        <v>240</v>
      </c>
      <c r="H2287" s="1">
        <v>44959</v>
      </c>
      <c r="I2287">
        <v>2023</v>
      </c>
      <c r="J2287">
        <v>2</v>
      </c>
      <c r="K2287" t="s">
        <v>36</v>
      </c>
      <c r="L2287">
        <v>0</v>
      </c>
      <c r="M2287">
        <v>1</v>
      </c>
    </row>
    <row r="2288" spans="1:13" x14ac:dyDescent="0.25">
      <c r="A2288" t="s">
        <v>1740</v>
      </c>
      <c r="B2288" t="s">
        <v>77</v>
      </c>
      <c r="C2288" t="s">
        <v>256</v>
      </c>
      <c r="D2288" t="s">
        <v>46</v>
      </c>
      <c r="E2288" t="s">
        <v>21</v>
      </c>
      <c r="F2288" t="s">
        <v>21</v>
      </c>
      <c r="G2288">
        <v>60</v>
      </c>
      <c r="H2288" s="1">
        <v>44959</v>
      </c>
      <c r="I2288">
        <v>2023</v>
      </c>
      <c r="J2288">
        <v>2</v>
      </c>
      <c r="K2288" t="s">
        <v>30</v>
      </c>
      <c r="L2288" t="s">
        <v>21</v>
      </c>
      <c r="M2288">
        <v>0</v>
      </c>
    </row>
    <row r="2289" spans="1:13" x14ac:dyDescent="0.25">
      <c r="A2289" t="s">
        <v>1149</v>
      </c>
      <c r="B2289" t="s">
        <v>89</v>
      </c>
      <c r="C2289" t="s">
        <v>14</v>
      </c>
      <c r="D2289" t="s">
        <v>55</v>
      </c>
      <c r="E2289" t="s">
        <v>21</v>
      </c>
      <c r="F2289" t="s">
        <v>21</v>
      </c>
      <c r="G2289">
        <v>497</v>
      </c>
      <c r="H2289" s="1">
        <v>44959</v>
      </c>
      <c r="I2289">
        <v>2023</v>
      </c>
      <c r="J2289">
        <v>2</v>
      </c>
      <c r="K2289" t="s">
        <v>36</v>
      </c>
      <c r="L2289" t="s">
        <v>21</v>
      </c>
      <c r="M2289">
        <v>0</v>
      </c>
    </row>
    <row r="2290" spans="1:13" x14ac:dyDescent="0.25">
      <c r="A2290" t="s">
        <v>1085</v>
      </c>
      <c r="B2290" t="s">
        <v>38</v>
      </c>
      <c r="C2290" t="s">
        <v>14</v>
      </c>
      <c r="D2290" t="s">
        <v>15</v>
      </c>
      <c r="E2290">
        <v>325</v>
      </c>
      <c r="F2290">
        <v>0.04</v>
      </c>
      <c r="G2290">
        <v>2400</v>
      </c>
      <c r="H2290" s="1">
        <v>44958</v>
      </c>
      <c r="I2290">
        <v>2023</v>
      </c>
      <c r="J2290">
        <v>2</v>
      </c>
      <c r="K2290" t="s">
        <v>26</v>
      </c>
      <c r="L2290">
        <v>0</v>
      </c>
      <c r="M2290">
        <v>1</v>
      </c>
    </row>
    <row r="2291" spans="1:13" x14ac:dyDescent="0.25">
      <c r="A2291" t="s">
        <v>277</v>
      </c>
      <c r="B2291" t="s">
        <v>18</v>
      </c>
      <c r="C2291" t="s">
        <v>14</v>
      </c>
      <c r="D2291" t="s">
        <v>15</v>
      </c>
      <c r="E2291">
        <v>150</v>
      </c>
      <c r="F2291" t="s">
        <v>21</v>
      </c>
      <c r="G2291">
        <v>1500</v>
      </c>
      <c r="H2291" s="1">
        <v>44958</v>
      </c>
      <c r="I2291">
        <v>2023</v>
      </c>
      <c r="J2291">
        <v>2</v>
      </c>
      <c r="K2291" t="s">
        <v>26</v>
      </c>
      <c r="L2291" t="s">
        <v>21</v>
      </c>
      <c r="M2291">
        <v>1</v>
      </c>
    </row>
    <row r="2292" spans="1:13" x14ac:dyDescent="0.25">
      <c r="A2292" t="s">
        <v>252</v>
      </c>
      <c r="B2292" t="s">
        <v>18</v>
      </c>
      <c r="C2292" t="s">
        <v>14</v>
      </c>
      <c r="D2292" t="s">
        <v>15</v>
      </c>
      <c r="E2292">
        <v>140</v>
      </c>
      <c r="F2292">
        <v>0.04</v>
      </c>
      <c r="G2292">
        <v>719</v>
      </c>
      <c r="H2292" s="1">
        <v>44958</v>
      </c>
      <c r="I2292">
        <v>2023</v>
      </c>
      <c r="J2292">
        <v>2</v>
      </c>
      <c r="K2292" t="s">
        <v>36</v>
      </c>
      <c r="L2292">
        <v>0</v>
      </c>
      <c r="M2292">
        <v>1</v>
      </c>
    </row>
    <row r="2293" spans="1:13" x14ac:dyDescent="0.25">
      <c r="A2293" t="s">
        <v>1741</v>
      </c>
      <c r="B2293" t="s">
        <v>28</v>
      </c>
      <c r="C2293" t="s">
        <v>14</v>
      </c>
      <c r="D2293" t="s">
        <v>15</v>
      </c>
      <c r="E2293">
        <v>121</v>
      </c>
      <c r="F2293" t="s">
        <v>21</v>
      </c>
      <c r="G2293">
        <v>161</v>
      </c>
      <c r="H2293" s="1">
        <v>44958</v>
      </c>
      <c r="I2293">
        <v>2023</v>
      </c>
      <c r="J2293">
        <v>2</v>
      </c>
      <c r="K2293" t="s">
        <v>36</v>
      </c>
      <c r="L2293" t="s">
        <v>21</v>
      </c>
      <c r="M2293">
        <v>1</v>
      </c>
    </row>
    <row r="2294" spans="1:13" x14ac:dyDescent="0.25">
      <c r="A2294" t="s">
        <v>1742</v>
      </c>
      <c r="B2294" t="s">
        <v>13</v>
      </c>
      <c r="C2294" t="s">
        <v>14</v>
      </c>
      <c r="D2294" t="s">
        <v>111</v>
      </c>
      <c r="E2294">
        <v>90</v>
      </c>
      <c r="F2294">
        <v>0.1</v>
      </c>
      <c r="G2294">
        <v>415</v>
      </c>
      <c r="H2294" s="1">
        <v>44958</v>
      </c>
      <c r="I2294">
        <v>2023</v>
      </c>
      <c r="J2294">
        <v>2</v>
      </c>
      <c r="K2294" t="s">
        <v>36</v>
      </c>
      <c r="L2294">
        <v>0</v>
      </c>
      <c r="M2294">
        <v>1</v>
      </c>
    </row>
    <row r="2295" spans="1:13" x14ac:dyDescent="0.25">
      <c r="A2295" t="s">
        <v>1743</v>
      </c>
      <c r="B2295" t="s">
        <v>32</v>
      </c>
      <c r="C2295" t="s">
        <v>174</v>
      </c>
      <c r="D2295" t="s">
        <v>15</v>
      </c>
      <c r="E2295">
        <v>60</v>
      </c>
      <c r="F2295">
        <v>0.22</v>
      </c>
      <c r="G2295" t="s">
        <v>21</v>
      </c>
      <c r="H2295" s="1">
        <v>44958</v>
      </c>
      <c r="I2295">
        <v>2023</v>
      </c>
      <c r="J2295">
        <v>2</v>
      </c>
      <c r="K2295" t="s">
        <v>22</v>
      </c>
      <c r="L2295">
        <v>0</v>
      </c>
      <c r="M2295">
        <v>1</v>
      </c>
    </row>
    <row r="2296" spans="1:13" x14ac:dyDescent="0.25">
      <c r="A2296" t="s">
        <v>1744</v>
      </c>
      <c r="B2296" t="s">
        <v>35</v>
      </c>
      <c r="C2296" t="s">
        <v>14</v>
      </c>
      <c r="D2296" t="s">
        <v>46</v>
      </c>
      <c r="E2296">
        <v>56</v>
      </c>
      <c r="F2296">
        <v>0.28000000000000003</v>
      </c>
      <c r="G2296">
        <v>215</v>
      </c>
      <c r="H2296" s="1">
        <v>44958</v>
      </c>
      <c r="I2296">
        <v>2023</v>
      </c>
      <c r="J2296">
        <v>2</v>
      </c>
      <c r="K2296" t="s">
        <v>36</v>
      </c>
      <c r="L2296">
        <v>0</v>
      </c>
      <c r="M2296">
        <v>1</v>
      </c>
    </row>
    <row r="2297" spans="1:13" x14ac:dyDescent="0.25">
      <c r="A2297" t="s">
        <v>1138</v>
      </c>
      <c r="B2297" t="s">
        <v>52</v>
      </c>
      <c r="C2297" t="s">
        <v>14</v>
      </c>
      <c r="D2297" t="s">
        <v>43</v>
      </c>
      <c r="E2297">
        <v>44</v>
      </c>
      <c r="F2297">
        <v>0.05</v>
      </c>
      <c r="G2297">
        <v>536</v>
      </c>
      <c r="H2297" s="1">
        <v>44958</v>
      </c>
      <c r="I2297">
        <v>2023</v>
      </c>
      <c r="J2297">
        <v>2</v>
      </c>
      <c r="K2297" t="s">
        <v>36</v>
      </c>
      <c r="L2297">
        <v>0</v>
      </c>
      <c r="M2297">
        <v>1</v>
      </c>
    </row>
    <row r="2298" spans="1:13" x14ac:dyDescent="0.25">
      <c r="A2298" t="s">
        <v>1745</v>
      </c>
      <c r="B2298" t="s">
        <v>28</v>
      </c>
      <c r="C2298" t="s">
        <v>14</v>
      </c>
      <c r="D2298" t="s">
        <v>15</v>
      </c>
      <c r="E2298">
        <v>34</v>
      </c>
      <c r="F2298">
        <v>0.08</v>
      </c>
      <c r="G2298" t="s">
        <v>21</v>
      </c>
      <c r="H2298" s="1">
        <v>44958</v>
      </c>
      <c r="I2298">
        <v>2023</v>
      </c>
      <c r="J2298">
        <v>2</v>
      </c>
      <c r="K2298" t="s">
        <v>22</v>
      </c>
      <c r="L2298">
        <v>0</v>
      </c>
      <c r="M2298">
        <v>1</v>
      </c>
    </row>
    <row r="2299" spans="1:13" x14ac:dyDescent="0.25">
      <c r="A2299" t="s">
        <v>1746</v>
      </c>
      <c r="B2299" t="s">
        <v>342</v>
      </c>
      <c r="C2299" t="s">
        <v>14</v>
      </c>
      <c r="D2299" t="s">
        <v>81</v>
      </c>
      <c r="E2299">
        <v>24</v>
      </c>
      <c r="F2299">
        <v>0.03</v>
      </c>
      <c r="G2299">
        <v>100</v>
      </c>
      <c r="H2299" s="1">
        <v>44958</v>
      </c>
      <c r="I2299">
        <v>2023</v>
      </c>
      <c r="J2299">
        <v>2</v>
      </c>
      <c r="K2299" t="s">
        <v>36</v>
      </c>
      <c r="L2299">
        <v>0</v>
      </c>
      <c r="M2299">
        <v>1</v>
      </c>
    </row>
    <row r="2300" spans="1:13" x14ac:dyDescent="0.25">
      <c r="A2300" t="s">
        <v>1490</v>
      </c>
      <c r="B2300" t="s">
        <v>32</v>
      </c>
      <c r="C2300" t="s">
        <v>14</v>
      </c>
      <c r="D2300" t="s">
        <v>46</v>
      </c>
      <c r="E2300">
        <v>17</v>
      </c>
      <c r="F2300">
        <v>0.1</v>
      </c>
      <c r="G2300">
        <v>28</v>
      </c>
      <c r="H2300" s="1">
        <v>44958</v>
      </c>
      <c r="I2300">
        <v>2023</v>
      </c>
      <c r="J2300">
        <v>2</v>
      </c>
      <c r="K2300" t="s">
        <v>30</v>
      </c>
      <c r="L2300">
        <v>0</v>
      </c>
      <c r="M2300">
        <v>1</v>
      </c>
    </row>
    <row r="2301" spans="1:13" x14ac:dyDescent="0.25">
      <c r="A2301" t="s">
        <v>1747</v>
      </c>
      <c r="B2301" t="s">
        <v>89</v>
      </c>
      <c r="C2301" t="s">
        <v>174</v>
      </c>
      <c r="D2301" t="s">
        <v>46</v>
      </c>
      <c r="E2301" t="s">
        <v>21</v>
      </c>
      <c r="F2301" t="s">
        <v>21</v>
      </c>
      <c r="G2301">
        <v>190</v>
      </c>
      <c r="H2301" s="1">
        <v>44958</v>
      </c>
      <c r="I2301">
        <v>2023</v>
      </c>
      <c r="J2301">
        <v>2</v>
      </c>
      <c r="K2301" t="s">
        <v>36</v>
      </c>
      <c r="L2301" t="s">
        <v>21</v>
      </c>
      <c r="M2301">
        <v>0</v>
      </c>
    </row>
    <row r="2302" spans="1:13" x14ac:dyDescent="0.25">
      <c r="A2302" t="s">
        <v>1748</v>
      </c>
      <c r="B2302" t="s">
        <v>32</v>
      </c>
      <c r="C2302" t="s">
        <v>14</v>
      </c>
      <c r="D2302" t="s">
        <v>111</v>
      </c>
      <c r="E2302" t="s">
        <v>21</v>
      </c>
      <c r="F2302">
        <v>0.08</v>
      </c>
      <c r="G2302">
        <v>80</v>
      </c>
      <c r="H2302" s="1">
        <v>44958</v>
      </c>
      <c r="I2302">
        <v>2023</v>
      </c>
      <c r="J2302">
        <v>2</v>
      </c>
      <c r="K2302" t="s">
        <v>30</v>
      </c>
      <c r="L2302">
        <v>0</v>
      </c>
      <c r="M2302">
        <v>1</v>
      </c>
    </row>
    <row r="2303" spans="1:13" x14ac:dyDescent="0.25">
      <c r="A2303" t="s">
        <v>1749</v>
      </c>
      <c r="B2303" t="s">
        <v>35</v>
      </c>
      <c r="C2303" t="s">
        <v>14</v>
      </c>
      <c r="D2303" t="s">
        <v>15</v>
      </c>
      <c r="E2303" t="s">
        <v>21</v>
      </c>
      <c r="F2303">
        <v>0.5</v>
      </c>
      <c r="G2303">
        <v>76</v>
      </c>
      <c r="H2303" s="1">
        <v>44958</v>
      </c>
      <c r="I2303">
        <v>2023</v>
      </c>
      <c r="J2303">
        <v>2</v>
      </c>
      <c r="K2303" t="s">
        <v>30</v>
      </c>
      <c r="L2303">
        <v>0</v>
      </c>
      <c r="M2303">
        <v>1</v>
      </c>
    </row>
    <row r="2304" spans="1:13" x14ac:dyDescent="0.25">
      <c r="A2304" t="s">
        <v>1120</v>
      </c>
      <c r="B2304" t="s">
        <v>38</v>
      </c>
      <c r="C2304" t="s">
        <v>901</v>
      </c>
      <c r="D2304" t="s">
        <v>15</v>
      </c>
      <c r="E2304" t="s">
        <v>21</v>
      </c>
      <c r="F2304">
        <v>0.08</v>
      </c>
      <c r="G2304">
        <v>245</v>
      </c>
      <c r="H2304" s="1">
        <v>44958</v>
      </c>
      <c r="I2304">
        <v>2023</v>
      </c>
      <c r="J2304">
        <v>2</v>
      </c>
      <c r="K2304" t="s">
        <v>36</v>
      </c>
      <c r="L2304">
        <v>0</v>
      </c>
      <c r="M2304">
        <v>1</v>
      </c>
    </row>
    <row r="2305" spans="1:13" x14ac:dyDescent="0.25">
      <c r="A2305" t="s">
        <v>432</v>
      </c>
      <c r="B2305" t="s">
        <v>18</v>
      </c>
      <c r="C2305" t="s">
        <v>14</v>
      </c>
      <c r="D2305" t="s">
        <v>15</v>
      </c>
      <c r="E2305" t="s">
        <v>21</v>
      </c>
      <c r="F2305">
        <v>0.08</v>
      </c>
      <c r="G2305" t="s">
        <v>21</v>
      </c>
      <c r="H2305" s="1">
        <v>44958</v>
      </c>
      <c r="I2305">
        <v>2023</v>
      </c>
      <c r="J2305">
        <v>2</v>
      </c>
      <c r="K2305" t="s">
        <v>22</v>
      </c>
      <c r="L2305">
        <v>0</v>
      </c>
      <c r="M2305">
        <v>1</v>
      </c>
    </row>
    <row r="2306" spans="1:13" x14ac:dyDescent="0.25">
      <c r="A2306" t="s">
        <v>1750</v>
      </c>
      <c r="B2306" t="s">
        <v>40</v>
      </c>
      <c r="C2306" t="s">
        <v>80</v>
      </c>
      <c r="D2306" t="s">
        <v>33</v>
      </c>
      <c r="E2306" t="s">
        <v>21</v>
      </c>
      <c r="F2306" t="s">
        <v>21</v>
      </c>
      <c r="G2306">
        <v>137</v>
      </c>
      <c r="H2306" s="1">
        <v>44958</v>
      </c>
      <c r="I2306">
        <v>2023</v>
      </c>
      <c r="J2306">
        <v>2</v>
      </c>
      <c r="K2306" t="s">
        <v>36</v>
      </c>
      <c r="L2306" t="s">
        <v>21</v>
      </c>
      <c r="M2306">
        <v>0</v>
      </c>
    </row>
    <row r="2307" spans="1:13" x14ac:dyDescent="0.25">
      <c r="A2307" t="s">
        <v>128</v>
      </c>
      <c r="B2307" t="s">
        <v>95</v>
      </c>
      <c r="C2307" t="s">
        <v>14</v>
      </c>
      <c r="D2307" t="s">
        <v>22</v>
      </c>
      <c r="E2307" t="s">
        <v>21</v>
      </c>
      <c r="F2307" t="s">
        <v>21</v>
      </c>
      <c r="G2307">
        <v>52</v>
      </c>
      <c r="H2307" s="1">
        <v>44958</v>
      </c>
      <c r="I2307">
        <v>2023</v>
      </c>
      <c r="J2307">
        <v>2</v>
      </c>
      <c r="K2307" t="s">
        <v>30</v>
      </c>
      <c r="L2307" t="s">
        <v>21</v>
      </c>
      <c r="M2307">
        <v>0</v>
      </c>
    </row>
    <row r="2308" spans="1:13" x14ac:dyDescent="0.25">
      <c r="A2308" t="s">
        <v>85</v>
      </c>
      <c r="B2308" t="s">
        <v>66</v>
      </c>
      <c r="C2308" t="s">
        <v>14</v>
      </c>
      <c r="D2308" t="s">
        <v>15</v>
      </c>
      <c r="E2308" t="s">
        <v>21</v>
      </c>
      <c r="F2308">
        <v>0.06</v>
      </c>
      <c r="G2308">
        <v>10700</v>
      </c>
      <c r="H2308" s="1">
        <v>44958</v>
      </c>
      <c r="I2308">
        <v>2023</v>
      </c>
      <c r="J2308">
        <v>2</v>
      </c>
      <c r="K2308" t="s">
        <v>26</v>
      </c>
      <c r="L2308">
        <v>0</v>
      </c>
      <c r="M2308">
        <v>1</v>
      </c>
    </row>
    <row r="2309" spans="1:13" x14ac:dyDescent="0.25">
      <c r="A2309" t="s">
        <v>167</v>
      </c>
      <c r="B2309" t="s">
        <v>77</v>
      </c>
      <c r="C2309" t="s">
        <v>14</v>
      </c>
      <c r="D2309" t="s">
        <v>15</v>
      </c>
      <c r="E2309">
        <v>2000</v>
      </c>
      <c r="F2309">
        <v>7.0000000000000007E-2</v>
      </c>
      <c r="G2309">
        <v>216</v>
      </c>
      <c r="H2309" s="1">
        <v>44957</v>
      </c>
      <c r="I2309">
        <v>2023</v>
      </c>
      <c r="J2309">
        <v>1</v>
      </c>
      <c r="K2309" t="s">
        <v>36</v>
      </c>
      <c r="L2309">
        <v>0</v>
      </c>
      <c r="M2309">
        <v>1</v>
      </c>
    </row>
    <row r="2310" spans="1:13" x14ac:dyDescent="0.25">
      <c r="A2310" t="s">
        <v>124</v>
      </c>
      <c r="B2310" t="s">
        <v>38</v>
      </c>
      <c r="C2310" t="s">
        <v>14</v>
      </c>
      <c r="D2310" t="s">
        <v>15</v>
      </c>
      <c r="E2310">
        <v>960</v>
      </c>
      <c r="F2310">
        <v>0.08</v>
      </c>
      <c r="G2310" t="s">
        <v>21</v>
      </c>
      <c r="H2310" s="1">
        <v>44957</v>
      </c>
      <c r="I2310">
        <v>2023</v>
      </c>
      <c r="J2310">
        <v>1</v>
      </c>
      <c r="K2310" t="s">
        <v>22</v>
      </c>
      <c r="L2310">
        <v>0</v>
      </c>
      <c r="M2310">
        <v>1</v>
      </c>
    </row>
    <row r="2311" spans="1:13" x14ac:dyDescent="0.25">
      <c r="A2311" t="s">
        <v>265</v>
      </c>
      <c r="B2311" t="s">
        <v>40</v>
      </c>
      <c r="C2311" t="s">
        <v>14</v>
      </c>
      <c r="D2311" t="s">
        <v>15</v>
      </c>
      <c r="E2311">
        <v>525</v>
      </c>
      <c r="F2311">
        <v>0.03</v>
      </c>
      <c r="G2311">
        <v>230</v>
      </c>
      <c r="H2311" s="1">
        <v>44957</v>
      </c>
      <c r="I2311">
        <v>2023</v>
      </c>
      <c r="J2311">
        <v>1</v>
      </c>
      <c r="K2311" t="s">
        <v>36</v>
      </c>
      <c r="L2311">
        <v>0</v>
      </c>
      <c r="M2311">
        <v>1</v>
      </c>
    </row>
    <row r="2312" spans="1:13" x14ac:dyDescent="0.25">
      <c r="A2312" t="s">
        <v>937</v>
      </c>
      <c r="B2312" t="s">
        <v>54</v>
      </c>
      <c r="C2312" t="s">
        <v>14</v>
      </c>
      <c r="D2312" t="s">
        <v>15</v>
      </c>
      <c r="E2312">
        <v>500</v>
      </c>
      <c r="F2312">
        <v>7.0000000000000007E-2</v>
      </c>
      <c r="G2312">
        <v>100</v>
      </c>
      <c r="H2312" s="1">
        <v>44957</v>
      </c>
      <c r="I2312">
        <v>2023</v>
      </c>
      <c r="J2312">
        <v>1</v>
      </c>
      <c r="K2312" t="s">
        <v>36</v>
      </c>
      <c r="L2312">
        <v>0</v>
      </c>
      <c r="M2312">
        <v>1</v>
      </c>
    </row>
    <row r="2313" spans="1:13" x14ac:dyDescent="0.25">
      <c r="A2313" t="s">
        <v>1751</v>
      </c>
      <c r="B2313" t="s">
        <v>77</v>
      </c>
      <c r="C2313" t="s">
        <v>14</v>
      </c>
      <c r="D2313" t="s">
        <v>15</v>
      </c>
      <c r="E2313">
        <v>365</v>
      </c>
      <c r="F2313">
        <v>0.2</v>
      </c>
      <c r="G2313">
        <v>144</v>
      </c>
      <c r="H2313" s="1">
        <v>44957</v>
      </c>
      <c r="I2313">
        <v>2023</v>
      </c>
      <c r="J2313">
        <v>1</v>
      </c>
      <c r="K2313" t="s">
        <v>36</v>
      </c>
      <c r="L2313">
        <v>0</v>
      </c>
      <c r="M2313">
        <v>1</v>
      </c>
    </row>
    <row r="2314" spans="1:13" x14ac:dyDescent="0.25">
      <c r="A2314" t="s">
        <v>1752</v>
      </c>
      <c r="B2314" t="s">
        <v>38</v>
      </c>
      <c r="C2314" t="s">
        <v>83</v>
      </c>
      <c r="D2314" t="s">
        <v>15</v>
      </c>
      <c r="E2314">
        <v>200</v>
      </c>
      <c r="F2314">
        <v>0.04</v>
      </c>
      <c r="G2314">
        <v>344</v>
      </c>
      <c r="H2314" s="1">
        <v>44957</v>
      </c>
      <c r="I2314">
        <v>2023</v>
      </c>
      <c r="J2314">
        <v>1</v>
      </c>
      <c r="K2314" t="s">
        <v>36</v>
      </c>
      <c r="L2314">
        <v>0</v>
      </c>
      <c r="M2314">
        <v>1</v>
      </c>
    </row>
    <row r="2315" spans="1:13" x14ac:dyDescent="0.25">
      <c r="A2315" t="s">
        <v>1286</v>
      </c>
      <c r="B2315" t="s">
        <v>24</v>
      </c>
      <c r="C2315" t="s">
        <v>14</v>
      </c>
      <c r="D2315" t="s">
        <v>15</v>
      </c>
      <c r="E2315">
        <v>150</v>
      </c>
      <c r="F2315">
        <v>0.17</v>
      </c>
      <c r="G2315">
        <v>1600</v>
      </c>
      <c r="H2315" s="1">
        <v>44957</v>
      </c>
      <c r="I2315">
        <v>2023</v>
      </c>
      <c r="J2315">
        <v>1</v>
      </c>
      <c r="K2315" t="s">
        <v>26</v>
      </c>
      <c r="L2315">
        <v>0</v>
      </c>
      <c r="M2315">
        <v>1</v>
      </c>
    </row>
    <row r="2316" spans="1:13" x14ac:dyDescent="0.25">
      <c r="A2316" t="s">
        <v>764</v>
      </c>
      <c r="B2316" t="s">
        <v>77</v>
      </c>
      <c r="C2316" t="s">
        <v>83</v>
      </c>
      <c r="D2316" t="s">
        <v>55</v>
      </c>
      <c r="E2316">
        <v>100</v>
      </c>
      <c r="F2316" t="s">
        <v>21</v>
      </c>
      <c r="G2316">
        <v>1300</v>
      </c>
      <c r="H2316" s="1">
        <v>44957</v>
      </c>
      <c r="I2316">
        <v>2023</v>
      </c>
      <c r="J2316">
        <v>1</v>
      </c>
      <c r="K2316" t="s">
        <v>26</v>
      </c>
      <c r="L2316" t="s">
        <v>21</v>
      </c>
      <c r="M2316">
        <v>1</v>
      </c>
    </row>
    <row r="2317" spans="1:13" x14ac:dyDescent="0.25">
      <c r="A2317" t="s">
        <v>1753</v>
      </c>
      <c r="B2317" t="s">
        <v>18</v>
      </c>
      <c r="C2317" t="s">
        <v>14</v>
      </c>
      <c r="D2317" t="s">
        <v>22</v>
      </c>
      <c r="E2317">
        <v>60</v>
      </c>
      <c r="F2317">
        <v>0.14000000000000001</v>
      </c>
      <c r="G2317">
        <v>235</v>
      </c>
      <c r="H2317" s="1">
        <v>44957</v>
      </c>
      <c r="I2317">
        <v>2023</v>
      </c>
      <c r="J2317">
        <v>1</v>
      </c>
      <c r="K2317" t="s">
        <v>36</v>
      </c>
      <c r="L2317">
        <v>0</v>
      </c>
      <c r="M2317">
        <v>1</v>
      </c>
    </row>
    <row r="2318" spans="1:13" x14ac:dyDescent="0.25">
      <c r="A2318" t="s">
        <v>1754</v>
      </c>
      <c r="B2318" t="s">
        <v>66</v>
      </c>
      <c r="C2318" t="s">
        <v>143</v>
      </c>
      <c r="D2318" t="s">
        <v>22</v>
      </c>
      <c r="E2318">
        <v>54</v>
      </c>
      <c r="F2318" t="s">
        <v>21</v>
      </c>
      <c r="G2318">
        <v>12</v>
      </c>
      <c r="H2318" s="1">
        <v>44957</v>
      </c>
      <c r="I2318">
        <v>2023</v>
      </c>
      <c r="J2318">
        <v>1</v>
      </c>
      <c r="K2318" t="s">
        <v>30</v>
      </c>
      <c r="L2318" t="s">
        <v>21</v>
      </c>
      <c r="M2318">
        <v>1</v>
      </c>
    </row>
    <row r="2319" spans="1:13" x14ac:dyDescent="0.25">
      <c r="A2319" t="s">
        <v>1411</v>
      </c>
      <c r="B2319" t="s">
        <v>77</v>
      </c>
      <c r="C2319" t="s">
        <v>230</v>
      </c>
      <c r="D2319" t="s">
        <v>15</v>
      </c>
      <c r="E2319">
        <v>40</v>
      </c>
      <c r="F2319" t="s">
        <v>21</v>
      </c>
      <c r="G2319">
        <v>4100</v>
      </c>
      <c r="H2319" s="1">
        <v>44957</v>
      </c>
      <c r="I2319">
        <v>2023</v>
      </c>
      <c r="J2319">
        <v>1</v>
      </c>
      <c r="K2319" t="s">
        <v>26</v>
      </c>
      <c r="L2319" t="s">
        <v>21</v>
      </c>
      <c r="M2319">
        <v>1</v>
      </c>
    </row>
    <row r="2320" spans="1:13" x14ac:dyDescent="0.25">
      <c r="A2320" t="s">
        <v>1755</v>
      </c>
      <c r="B2320" t="s">
        <v>28</v>
      </c>
      <c r="C2320" t="s">
        <v>29</v>
      </c>
      <c r="D2320" t="s">
        <v>22</v>
      </c>
      <c r="E2320">
        <v>19</v>
      </c>
      <c r="F2320">
        <v>0.09</v>
      </c>
      <c r="G2320">
        <v>80</v>
      </c>
      <c r="H2320" s="1">
        <v>44957</v>
      </c>
      <c r="I2320">
        <v>2023</v>
      </c>
      <c r="J2320">
        <v>1</v>
      </c>
      <c r="K2320" t="s">
        <v>30</v>
      </c>
      <c r="L2320">
        <v>0</v>
      </c>
      <c r="M2320">
        <v>1</v>
      </c>
    </row>
    <row r="2321" spans="1:13" x14ac:dyDescent="0.25">
      <c r="A2321" t="s">
        <v>1756</v>
      </c>
      <c r="B2321" t="s">
        <v>70</v>
      </c>
      <c r="C2321" t="s">
        <v>14</v>
      </c>
      <c r="D2321" t="s">
        <v>15</v>
      </c>
      <c r="E2321" t="s">
        <v>21</v>
      </c>
      <c r="F2321">
        <v>0.04</v>
      </c>
      <c r="G2321" t="s">
        <v>21</v>
      </c>
      <c r="H2321" s="1">
        <v>44957</v>
      </c>
      <c r="I2321">
        <v>2023</v>
      </c>
      <c r="J2321">
        <v>1</v>
      </c>
      <c r="K2321" t="s">
        <v>22</v>
      </c>
      <c r="L2321">
        <v>0</v>
      </c>
      <c r="M2321">
        <v>1</v>
      </c>
    </row>
    <row r="2322" spans="1:13" x14ac:dyDescent="0.25">
      <c r="A2322" t="s">
        <v>222</v>
      </c>
      <c r="B2322" t="s">
        <v>38</v>
      </c>
      <c r="C2322" t="s">
        <v>174</v>
      </c>
      <c r="D2322" t="s">
        <v>15</v>
      </c>
      <c r="E2322" t="s">
        <v>21</v>
      </c>
      <c r="F2322">
        <v>0.08</v>
      </c>
      <c r="G2322">
        <v>1100</v>
      </c>
      <c r="H2322" s="1">
        <v>44957</v>
      </c>
      <c r="I2322">
        <v>2023</v>
      </c>
      <c r="J2322">
        <v>1</v>
      </c>
      <c r="K2322" t="s">
        <v>26</v>
      </c>
      <c r="L2322">
        <v>0</v>
      </c>
      <c r="M2322">
        <v>1</v>
      </c>
    </row>
    <row r="2323" spans="1:13" x14ac:dyDescent="0.25">
      <c r="A2323" t="s">
        <v>1757</v>
      </c>
      <c r="B2323" t="s">
        <v>35</v>
      </c>
      <c r="C2323" t="s">
        <v>74</v>
      </c>
      <c r="D2323" t="s">
        <v>15</v>
      </c>
      <c r="E2323">
        <v>6000</v>
      </c>
      <c r="F2323">
        <v>0.13</v>
      </c>
      <c r="G2323" t="s">
        <v>21</v>
      </c>
      <c r="H2323" s="1">
        <v>44956</v>
      </c>
      <c r="I2323">
        <v>2023</v>
      </c>
      <c r="J2323">
        <v>1</v>
      </c>
      <c r="K2323" t="s">
        <v>22</v>
      </c>
      <c r="L2323">
        <v>0</v>
      </c>
      <c r="M2323">
        <v>1</v>
      </c>
    </row>
    <row r="2324" spans="1:13" x14ac:dyDescent="0.25">
      <c r="A2324" t="s">
        <v>1385</v>
      </c>
      <c r="B2324" t="s">
        <v>54</v>
      </c>
      <c r="C2324" t="s">
        <v>74</v>
      </c>
      <c r="D2324" t="s">
        <v>20</v>
      </c>
      <c r="E2324">
        <v>1500</v>
      </c>
      <c r="F2324">
        <v>0.15</v>
      </c>
      <c r="G2324" t="s">
        <v>21</v>
      </c>
      <c r="H2324" s="1">
        <v>44956</v>
      </c>
      <c r="I2324">
        <v>2023</v>
      </c>
      <c r="J2324">
        <v>1</v>
      </c>
      <c r="K2324" t="s">
        <v>22</v>
      </c>
      <c r="L2324">
        <v>0</v>
      </c>
      <c r="M2324">
        <v>1</v>
      </c>
    </row>
    <row r="2325" spans="1:13" x14ac:dyDescent="0.25">
      <c r="A2325" t="s">
        <v>470</v>
      </c>
      <c r="B2325" t="s">
        <v>66</v>
      </c>
      <c r="C2325" t="s">
        <v>80</v>
      </c>
      <c r="D2325" t="s">
        <v>15</v>
      </c>
      <c r="E2325">
        <v>800</v>
      </c>
      <c r="F2325">
        <v>0.5</v>
      </c>
      <c r="G2325">
        <v>629</v>
      </c>
      <c r="H2325" s="1">
        <v>44956</v>
      </c>
      <c r="I2325">
        <v>2023</v>
      </c>
      <c r="J2325">
        <v>1</v>
      </c>
      <c r="K2325" t="s">
        <v>36</v>
      </c>
      <c r="L2325">
        <v>0</v>
      </c>
      <c r="M2325">
        <v>1</v>
      </c>
    </row>
    <row r="2326" spans="1:13" x14ac:dyDescent="0.25">
      <c r="A2326" t="s">
        <v>126</v>
      </c>
      <c r="B2326" t="s">
        <v>24</v>
      </c>
      <c r="C2326" t="s">
        <v>14</v>
      </c>
      <c r="D2326" t="s">
        <v>15</v>
      </c>
      <c r="E2326">
        <v>500</v>
      </c>
      <c r="F2326" t="s">
        <v>21</v>
      </c>
      <c r="G2326">
        <v>1400</v>
      </c>
      <c r="H2326" s="1">
        <v>44956</v>
      </c>
      <c r="I2326">
        <v>2023</v>
      </c>
      <c r="J2326">
        <v>1</v>
      </c>
      <c r="K2326" t="s">
        <v>26</v>
      </c>
      <c r="L2326" t="s">
        <v>21</v>
      </c>
      <c r="M2326">
        <v>1</v>
      </c>
    </row>
    <row r="2327" spans="1:13" x14ac:dyDescent="0.25">
      <c r="A2327" t="s">
        <v>402</v>
      </c>
      <c r="B2327" t="s">
        <v>70</v>
      </c>
      <c r="C2327" t="s">
        <v>14</v>
      </c>
      <c r="D2327" t="s">
        <v>15</v>
      </c>
      <c r="E2327">
        <v>343</v>
      </c>
      <c r="F2327" t="s">
        <v>21</v>
      </c>
      <c r="G2327">
        <v>12</v>
      </c>
      <c r="H2327" s="1">
        <v>44956</v>
      </c>
      <c r="I2327">
        <v>2023</v>
      </c>
      <c r="J2327">
        <v>1</v>
      </c>
      <c r="K2327" t="s">
        <v>30</v>
      </c>
      <c r="L2327" t="s">
        <v>21</v>
      </c>
      <c r="M2327">
        <v>1</v>
      </c>
    </row>
    <row r="2328" spans="1:13" x14ac:dyDescent="0.25">
      <c r="A2328" t="s">
        <v>756</v>
      </c>
      <c r="B2328" t="s">
        <v>95</v>
      </c>
      <c r="C2328" t="s">
        <v>757</v>
      </c>
      <c r="D2328" t="s">
        <v>20</v>
      </c>
      <c r="E2328">
        <v>250</v>
      </c>
      <c r="F2328">
        <v>0.06</v>
      </c>
      <c r="G2328">
        <v>1200</v>
      </c>
      <c r="H2328" s="1">
        <v>44956</v>
      </c>
      <c r="I2328">
        <v>2023</v>
      </c>
      <c r="J2328">
        <v>1</v>
      </c>
      <c r="K2328" t="s">
        <v>26</v>
      </c>
      <c r="L2328">
        <v>0</v>
      </c>
      <c r="M2328">
        <v>1</v>
      </c>
    </row>
    <row r="2329" spans="1:13" x14ac:dyDescent="0.25">
      <c r="A2329" t="s">
        <v>692</v>
      </c>
      <c r="B2329" t="s">
        <v>95</v>
      </c>
      <c r="C2329" t="s">
        <v>83</v>
      </c>
      <c r="D2329" t="s">
        <v>15</v>
      </c>
      <c r="E2329">
        <v>156</v>
      </c>
      <c r="F2329">
        <v>0.04</v>
      </c>
      <c r="G2329">
        <v>9900</v>
      </c>
      <c r="H2329" s="1">
        <v>44956</v>
      </c>
      <c r="I2329">
        <v>2023</v>
      </c>
      <c r="J2329">
        <v>1</v>
      </c>
      <c r="K2329" t="s">
        <v>26</v>
      </c>
      <c r="L2329">
        <v>0</v>
      </c>
      <c r="M2329">
        <v>1</v>
      </c>
    </row>
    <row r="2330" spans="1:13" x14ac:dyDescent="0.25">
      <c r="A2330" t="s">
        <v>1758</v>
      </c>
      <c r="B2330" t="s">
        <v>95</v>
      </c>
      <c r="C2330" t="s">
        <v>14</v>
      </c>
      <c r="D2330" t="s">
        <v>347</v>
      </c>
      <c r="E2330">
        <v>140</v>
      </c>
      <c r="F2330">
        <v>0.2</v>
      </c>
      <c r="G2330">
        <v>1900</v>
      </c>
      <c r="H2330" s="1">
        <v>44956</v>
      </c>
      <c r="I2330">
        <v>2023</v>
      </c>
      <c r="J2330">
        <v>1</v>
      </c>
      <c r="K2330" t="s">
        <v>26</v>
      </c>
      <c r="L2330">
        <v>0</v>
      </c>
      <c r="M2330">
        <v>1</v>
      </c>
    </row>
    <row r="2331" spans="1:13" x14ac:dyDescent="0.25">
      <c r="A2331" t="s">
        <v>522</v>
      </c>
      <c r="B2331" t="s">
        <v>24</v>
      </c>
      <c r="C2331" t="s">
        <v>83</v>
      </c>
      <c r="D2331" t="s">
        <v>46</v>
      </c>
      <c r="E2331">
        <v>65</v>
      </c>
      <c r="F2331">
        <v>0.13</v>
      </c>
      <c r="G2331">
        <v>205</v>
      </c>
      <c r="H2331" s="1">
        <v>44956</v>
      </c>
      <c r="I2331">
        <v>2023</v>
      </c>
      <c r="J2331">
        <v>1</v>
      </c>
      <c r="K2331" t="s">
        <v>36</v>
      </c>
      <c r="L2331">
        <v>0</v>
      </c>
      <c r="M2331">
        <v>1</v>
      </c>
    </row>
    <row r="2332" spans="1:13" x14ac:dyDescent="0.25">
      <c r="A2332" t="s">
        <v>1759</v>
      </c>
      <c r="B2332" t="s">
        <v>77</v>
      </c>
      <c r="C2332" t="s">
        <v>14</v>
      </c>
      <c r="D2332" t="s">
        <v>15</v>
      </c>
      <c r="E2332" t="s">
        <v>21</v>
      </c>
      <c r="F2332">
        <v>0.25</v>
      </c>
      <c r="G2332" t="s">
        <v>21</v>
      </c>
      <c r="H2332" s="1">
        <v>44956</v>
      </c>
      <c r="I2332">
        <v>2023</v>
      </c>
      <c r="J2332">
        <v>1</v>
      </c>
      <c r="K2332" t="s">
        <v>22</v>
      </c>
      <c r="L2332">
        <v>0</v>
      </c>
      <c r="M2332">
        <v>1</v>
      </c>
    </row>
    <row r="2333" spans="1:13" x14ac:dyDescent="0.25">
      <c r="A2333" t="s">
        <v>1760</v>
      </c>
      <c r="B2333" t="s">
        <v>24</v>
      </c>
      <c r="C2333" t="s">
        <v>230</v>
      </c>
      <c r="D2333" t="s">
        <v>111</v>
      </c>
      <c r="E2333" t="s">
        <v>21</v>
      </c>
      <c r="F2333" t="s">
        <v>21</v>
      </c>
      <c r="G2333">
        <v>322</v>
      </c>
      <c r="H2333" s="1">
        <v>44956</v>
      </c>
      <c r="I2333">
        <v>2023</v>
      </c>
      <c r="J2333">
        <v>1</v>
      </c>
      <c r="K2333" t="s">
        <v>36</v>
      </c>
      <c r="L2333" t="s">
        <v>21</v>
      </c>
      <c r="M2333">
        <v>0</v>
      </c>
    </row>
    <row r="2334" spans="1:13" x14ac:dyDescent="0.25">
      <c r="A2334" t="s">
        <v>1177</v>
      </c>
      <c r="B2334" t="s">
        <v>40</v>
      </c>
      <c r="C2334" t="s">
        <v>14</v>
      </c>
      <c r="D2334" t="s">
        <v>46</v>
      </c>
      <c r="E2334" t="s">
        <v>21</v>
      </c>
      <c r="F2334" t="s">
        <v>21</v>
      </c>
      <c r="G2334">
        <v>224</v>
      </c>
      <c r="H2334" s="1">
        <v>44956</v>
      </c>
      <c r="I2334">
        <v>2023</v>
      </c>
      <c r="J2334">
        <v>1</v>
      </c>
      <c r="K2334" t="s">
        <v>36</v>
      </c>
      <c r="L2334" t="s">
        <v>21</v>
      </c>
      <c r="M2334">
        <v>0</v>
      </c>
    </row>
    <row r="2335" spans="1:13" x14ac:dyDescent="0.25">
      <c r="A2335" t="s">
        <v>1761</v>
      </c>
      <c r="B2335" t="s">
        <v>52</v>
      </c>
      <c r="C2335" t="s">
        <v>14</v>
      </c>
      <c r="D2335" t="s">
        <v>33</v>
      </c>
      <c r="E2335" t="s">
        <v>21</v>
      </c>
      <c r="F2335">
        <v>0.33</v>
      </c>
      <c r="G2335">
        <v>176</v>
      </c>
      <c r="H2335" s="1">
        <v>44956</v>
      </c>
      <c r="I2335">
        <v>2023</v>
      </c>
      <c r="J2335">
        <v>1</v>
      </c>
      <c r="K2335" t="s">
        <v>36</v>
      </c>
      <c r="L2335">
        <v>0</v>
      </c>
      <c r="M2335">
        <v>1</v>
      </c>
    </row>
    <row r="2336" spans="1:13" x14ac:dyDescent="0.25">
      <c r="A2336" t="s">
        <v>1762</v>
      </c>
      <c r="B2336" t="s">
        <v>35</v>
      </c>
      <c r="C2336" t="s">
        <v>14</v>
      </c>
      <c r="D2336" t="s">
        <v>15</v>
      </c>
      <c r="E2336" t="s">
        <v>21</v>
      </c>
      <c r="F2336">
        <v>0.12</v>
      </c>
      <c r="G2336">
        <v>425</v>
      </c>
      <c r="H2336" s="1">
        <v>44956</v>
      </c>
      <c r="I2336">
        <v>2023</v>
      </c>
      <c r="J2336">
        <v>1</v>
      </c>
      <c r="K2336" t="s">
        <v>36</v>
      </c>
      <c r="L2336">
        <v>0</v>
      </c>
      <c r="M2336">
        <v>1</v>
      </c>
    </row>
    <row r="2337" spans="1:13" x14ac:dyDescent="0.25">
      <c r="A2337" t="s">
        <v>973</v>
      </c>
      <c r="B2337" t="s">
        <v>77</v>
      </c>
      <c r="C2337" t="s">
        <v>14</v>
      </c>
      <c r="D2337" t="s">
        <v>15</v>
      </c>
      <c r="E2337" t="s">
        <v>21</v>
      </c>
      <c r="F2337" t="s">
        <v>21</v>
      </c>
      <c r="G2337">
        <v>3000</v>
      </c>
      <c r="H2337" s="1">
        <v>44956</v>
      </c>
      <c r="I2337">
        <v>2023</v>
      </c>
      <c r="J2337">
        <v>1</v>
      </c>
      <c r="K2337" t="s">
        <v>26</v>
      </c>
      <c r="L2337" t="s">
        <v>21</v>
      </c>
      <c r="M2337">
        <v>0</v>
      </c>
    </row>
    <row r="2338" spans="1:13" x14ac:dyDescent="0.25">
      <c r="A2338" t="s">
        <v>1763</v>
      </c>
      <c r="B2338" t="s">
        <v>28</v>
      </c>
      <c r="C2338" t="s">
        <v>901</v>
      </c>
      <c r="D2338" t="s">
        <v>33</v>
      </c>
      <c r="E2338" t="s">
        <v>21</v>
      </c>
      <c r="F2338" t="s">
        <v>21</v>
      </c>
      <c r="G2338">
        <v>43</v>
      </c>
      <c r="H2338" s="1">
        <v>44955</v>
      </c>
      <c r="I2338">
        <v>2023</v>
      </c>
      <c r="J2338">
        <v>1</v>
      </c>
      <c r="K2338" t="s">
        <v>30</v>
      </c>
      <c r="L2338" t="s">
        <v>21</v>
      </c>
      <c r="M2338">
        <v>0</v>
      </c>
    </row>
    <row r="2339" spans="1:13" x14ac:dyDescent="0.25">
      <c r="A2339" t="s">
        <v>1764</v>
      </c>
      <c r="B2339" t="s">
        <v>77</v>
      </c>
      <c r="C2339" t="s">
        <v>230</v>
      </c>
      <c r="D2339" t="s">
        <v>22</v>
      </c>
      <c r="E2339">
        <v>60</v>
      </c>
      <c r="F2339">
        <v>0.5</v>
      </c>
      <c r="G2339" t="s">
        <v>21</v>
      </c>
      <c r="H2339" s="1">
        <v>44954</v>
      </c>
      <c r="I2339">
        <v>2023</v>
      </c>
      <c r="J2339">
        <v>1</v>
      </c>
      <c r="K2339" t="s">
        <v>22</v>
      </c>
      <c r="L2339">
        <v>0</v>
      </c>
      <c r="M2339">
        <v>1</v>
      </c>
    </row>
    <row r="2340" spans="1:13" x14ac:dyDescent="0.25">
      <c r="A2340" t="s">
        <v>1765</v>
      </c>
      <c r="B2340" t="s">
        <v>52</v>
      </c>
      <c r="C2340" t="s">
        <v>14</v>
      </c>
      <c r="D2340" t="s">
        <v>68</v>
      </c>
      <c r="E2340">
        <v>19</v>
      </c>
      <c r="F2340" t="s">
        <v>21</v>
      </c>
      <c r="G2340">
        <v>101</v>
      </c>
      <c r="H2340" s="1">
        <v>44954</v>
      </c>
      <c r="I2340">
        <v>2023</v>
      </c>
      <c r="J2340">
        <v>1</v>
      </c>
      <c r="K2340" t="s">
        <v>36</v>
      </c>
      <c r="L2340" t="s">
        <v>21</v>
      </c>
      <c r="M2340">
        <v>1</v>
      </c>
    </row>
    <row r="2341" spans="1:13" x14ac:dyDescent="0.25">
      <c r="A2341" t="s">
        <v>236</v>
      </c>
      <c r="B2341" t="s">
        <v>24</v>
      </c>
      <c r="C2341" t="s">
        <v>174</v>
      </c>
      <c r="D2341" t="s">
        <v>68</v>
      </c>
      <c r="E2341">
        <v>138</v>
      </c>
      <c r="F2341">
        <v>7.0000000000000007E-2</v>
      </c>
      <c r="G2341" t="s">
        <v>21</v>
      </c>
      <c r="H2341" s="1">
        <v>44953</v>
      </c>
      <c r="I2341">
        <v>2023</v>
      </c>
      <c r="J2341">
        <v>1</v>
      </c>
      <c r="K2341" t="s">
        <v>22</v>
      </c>
      <c r="L2341">
        <v>0</v>
      </c>
      <c r="M2341">
        <v>1</v>
      </c>
    </row>
    <row r="2342" spans="1:13" x14ac:dyDescent="0.25">
      <c r="A2342" t="s">
        <v>1156</v>
      </c>
      <c r="B2342" t="s">
        <v>24</v>
      </c>
      <c r="C2342" t="s">
        <v>48</v>
      </c>
      <c r="D2342" t="s">
        <v>111</v>
      </c>
      <c r="E2342">
        <v>100</v>
      </c>
      <c r="F2342">
        <v>0.06</v>
      </c>
      <c r="G2342">
        <v>390</v>
      </c>
      <c r="H2342" s="1">
        <v>44953</v>
      </c>
      <c r="I2342">
        <v>2023</v>
      </c>
      <c r="J2342">
        <v>1</v>
      </c>
      <c r="K2342" t="s">
        <v>36</v>
      </c>
      <c r="L2342">
        <v>0</v>
      </c>
      <c r="M2342">
        <v>1</v>
      </c>
    </row>
    <row r="2343" spans="1:13" x14ac:dyDescent="0.25">
      <c r="A2343" t="s">
        <v>1766</v>
      </c>
      <c r="B2343" t="s">
        <v>24</v>
      </c>
      <c r="C2343" t="s">
        <v>14</v>
      </c>
      <c r="D2343" t="s">
        <v>49</v>
      </c>
      <c r="E2343">
        <v>100</v>
      </c>
      <c r="F2343" t="s">
        <v>21</v>
      </c>
      <c r="G2343" t="s">
        <v>21</v>
      </c>
      <c r="H2343" s="1">
        <v>44953</v>
      </c>
      <c r="I2343">
        <v>2023</v>
      </c>
      <c r="J2343">
        <v>1</v>
      </c>
      <c r="K2343" t="s">
        <v>22</v>
      </c>
      <c r="L2343" t="s">
        <v>21</v>
      </c>
      <c r="M2343">
        <v>1</v>
      </c>
    </row>
    <row r="2344" spans="1:13" x14ac:dyDescent="0.25">
      <c r="A2344" t="s">
        <v>328</v>
      </c>
      <c r="B2344" t="s">
        <v>13</v>
      </c>
      <c r="C2344" t="s">
        <v>14</v>
      </c>
      <c r="D2344" t="s">
        <v>15</v>
      </c>
      <c r="E2344">
        <v>100</v>
      </c>
      <c r="F2344" t="s">
        <v>21</v>
      </c>
      <c r="G2344" t="s">
        <v>21</v>
      </c>
      <c r="H2344" s="1">
        <v>44953</v>
      </c>
      <c r="I2344">
        <v>2023</v>
      </c>
      <c r="J2344">
        <v>1</v>
      </c>
      <c r="K2344" t="s">
        <v>22</v>
      </c>
      <c r="L2344" t="s">
        <v>21</v>
      </c>
      <c r="M2344">
        <v>1</v>
      </c>
    </row>
    <row r="2345" spans="1:13" x14ac:dyDescent="0.25">
      <c r="A2345" t="s">
        <v>1767</v>
      </c>
      <c r="B2345" t="s">
        <v>66</v>
      </c>
      <c r="C2345" t="s">
        <v>83</v>
      </c>
      <c r="D2345" t="s">
        <v>22</v>
      </c>
      <c r="E2345">
        <v>73</v>
      </c>
      <c r="F2345" t="s">
        <v>21</v>
      </c>
      <c r="G2345" t="s">
        <v>21</v>
      </c>
      <c r="H2345" s="1">
        <v>44953</v>
      </c>
      <c r="I2345">
        <v>2023</v>
      </c>
      <c r="J2345">
        <v>1</v>
      </c>
      <c r="K2345" t="s">
        <v>22</v>
      </c>
      <c r="L2345" t="s">
        <v>21</v>
      </c>
      <c r="M2345">
        <v>1</v>
      </c>
    </row>
    <row r="2346" spans="1:13" x14ac:dyDescent="0.25">
      <c r="A2346" t="s">
        <v>1768</v>
      </c>
      <c r="B2346" t="s">
        <v>52</v>
      </c>
      <c r="C2346" t="s">
        <v>64</v>
      </c>
      <c r="D2346" t="s">
        <v>46</v>
      </c>
      <c r="E2346">
        <v>29</v>
      </c>
      <c r="F2346">
        <v>0.1</v>
      </c>
      <c r="G2346">
        <v>100</v>
      </c>
      <c r="H2346" s="1">
        <v>44953</v>
      </c>
      <c r="I2346">
        <v>2023</v>
      </c>
      <c r="J2346">
        <v>1</v>
      </c>
      <c r="K2346" t="s">
        <v>36</v>
      </c>
      <c r="L2346">
        <v>0</v>
      </c>
      <c r="M2346">
        <v>1</v>
      </c>
    </row>
    <row r="2347" spans="1:13" x14ac:dyDescent="0.25">
      <c r="A2347" t="s">
        <v>1769</v>
      </c>
      <c r="B2347" t="s">
        <v>52</v>
      </c>
      <c r="C2347" t="s">
        <v>174</v>
      </c>
      <c r="D2347" t="s">
        <v>68</v>
      </c>
      <c r="E2347">
        <v>21</v>
      </c>
      <c r="F2347">
        <v>0.25</v>
      </c>
      <c r="G2347">
        <v>45</v>
      </c>
      <c r="H2347" s="1">
        <v>44953</v>
      </c>
      <c r="I2347">
        <v>2023</v>
      </c>
      <c r="J2347">
        <v>1</v>
      </c>
      <c r="K2347" t="s">
        <v>30</v>
      </c>
      <c r="L2347">
        <v>0</v>
      </c>
      <c r="M2347">
        <v>1</v>
      </c>
    </row>
    <row r="2348" spans="1:13" x14ac:dyDescent="0.25">
      <c r="A2348" t="s">
        <v>1770</v>
      </c>
      <c r="B2348" t="s">
        <v>54</v>
      </c>
      <c r="C2348" t="s">
        <v>174</v>
      </c>
      <c r="D2348" t="s">
        <v>33</v>
      </c>
      <c r="E2348">
        <v>19</v>
      </c>
      <c r="F2348">
        <v>0.17</v>
      </c>
      <c r="G2348">
        <v>21</v>
      </c>
      <c r="H2348" s="1">
        <v>44953</v>
      </c>
      <c r="I2348">
        <v>2023</v>
      </c>
      <c r="J2348">
        <v>1</v>
      </c>
      <c r="K2348" t="s">
        <v>30</v>
      </c>
      <c r="L2348">
        <v>0</v>
      </c>
      <c r="M2348">
        <v>1</v>
      </c>
    </row>
    <row r="2349" spans="1:13" x14ac:dyDescent="0.25">
      <c r="A2349" t="s">
        <v>1771</v>
      </c>
      <c r="B2349" t="s">
        <v>35</v>
      </c>
      <c r="C2349" t="s">
        <v>14</v>
      </c>
      <c r="D2349" t="s">
        <v>68</v>
      </c>
      <c r="E2349" t="s">
        <v>21</v>
      </c>
      <c r="F2349" t="s">
        <v>21</v>
      </c>
      <c r="G2349">
        <v>18</v>
      </c>
      <c r="H2349" s="1">
        <v>44953</v>
      </c>
      <c r="I2349">
        <v>2023</v>
      </c>
      <c r="J2349">
        <v>1</v>
      </c>
      <c r="K2349" t="s">
        <v>30</v>
      </c>
      <c r="L2349" t="s">
        <v>21</v>
      </c>
      <c r="M2349">
        <v>0</v>
      </c>
    </row>
    <row r="2350" spans="1:13" x14ac:dyDescent="0.25">
      <c r="A2350" t="s">
        <v>1772</v>
      </c>
      <c r="B2350" t="s">
        <v>77</v>
      </c>
      <c r="C2350" t="s">
        <v>521</v>
      </c>
      <c r="D2350" t="s">
        <v>22</v>
      </c>
      <c r="E2350" t="s">
        <v>21</v>
      </c>
      <c r="F2350" t="s">
        <v>21</v>
      </c>
      <c r="G2350">
        <v>273</v>
      </c>
      <c r="H2350" s="1">
        <v>44953</v>
      </c>
      <c r="I2350">
        <v>2023</v>
      </c>
      <c r="J2350">
        <v>1</v>
      </c>
      <c r="K2350" t="s">
        <v>36</v>
      </c>
      <c r="L2350" t="s">
        <v>21</v>
      </c>
      <c r="M2350">
        <v>0</v>
      </c>
    </row>
    <row r="2351" spans="1:13" x14ac:dyDescent="0.25">
      <c r="A2351" t="s">
        <v>1773</v>
      </c>
      <c r="B2351" t="s">
        <v>24</v>
      </c>
      <c r="C2351" t="s">
        <v>14</v>
      </c>
      <c r="D2351" t="s">
        <v>68</v>
      </c>
      <c r="E2351" t="s">
        <v>21</v>
      </c>
      <c r="F2351" t="s">
        <v>21</v>
      </c>
      <c r="G2351">
        <v>47</v>
      </c>
      <c r="H2351" s="1">
        <v>44953</v>
      </c>
      <c r="I2351">
        <v>2023</v>
      </c>
      <c r="J2351">
        <v>1</v>
      </c>
      <c r="K2351" t="s">
        <v>30</v>
      </c>
      <c r="L2351" t="s">
        <v>21</v>
      </c>
      <c r="M2351">
        <v>0</v>
      </c>
    </row>
    <row r="2352" spans="1:13" x14ac:dyDescent="0.25">
      <c r="A2352" t="s">
        <v>1774</v>
      </c>
      <c r="B2352" t="s">
        <v>13</v>
      </c>
      <c r="C2352" t="s">
        <v>83</v>
      </c>
      <c r="E2352" t="s">
        <v>21</v>
      </c>
      <c r="F2352">
        <v>0.08</v>
      </c>
      <c r="G2352" t="s">
        <v>21</v>
      </c>
      <c r="H2352" s="1">
        <v>44953</v>
      </c>
      <c r="I2352">
        <v>2023</v>
      </c>
      <c r="J2352">
        <v>1</v>
      </c>
      <c r="K2352" t="s">
        <v>22</v>
      </c>
      <c r="L2352">
        <v>0</v>
      </c>
      <c r="M2352">
        <v>1</v>
      </c>
    </row>
    <row r="2353" spans="1:13" x14ac:dyDescent="0.25">
      <c r="A2353" t="s">
        <v>938</v>
      </c>
      <c r="B2353" t="s">
        <v>13</v>
      </c>
      <c r="C2353" t="s">
        <v>83</v>
      </c>
      <c r="D2353" t="s">
        <v>15</v>
      </c>
      <c r="E2353">
        <v>3000</v>
      </c>
      <c r="F2353">
        <v>0.03</v>
      </c>
      <c r="G2353">
        <v>1300</v>
      </c>
      <c r="H2353" s="1">
        <v>44952</v>
      </c>
      <c r="I2353">
        <v>2023</v>
      </c>
      <c r="J2353">
        <v>1</v>
      </c>
      <c r="K2353" t="s">
        <v>26</v>
      </c>
      <c r="L2353">
        <v>0</v>
      </c>
      <c r="M2353">
        <v>1</v>
      </c>
    </row>
    <row r="2354" spans="1:13" x14ac:dyDescent="0.25">
      <c r="A2354" t="s">
        <v>1775</v>
      </c>
      <c r="B2354" t="s">
        <v>38</v>
      </c>
      <c r="C2354" t="s">
        <v>14</v>
      </c>
      <c r="D2354" t="s">
        <v>15</v>
      </c>
      <c r="E2354">
        <v>221</v>
      </c>
      <c r="F2354">
        <v>0.08</v>
      </c>
      <c r="G2354">
        <v>455</v>
      </c>
      <c r="H2354" s="1">
        <v>44952</v>
      </c>
      <c r="I2354">
        <v>2023</v>
      </c>
      <c r="J2354">
        <v>1</v>
      </c>
      <c r="K2354" t="s">
        <v>36</v>
      </c>
      <c r="L2354">
        <v>0</v>
      </c>
      <c r="M2354">
        <v>1</v>
      </c>
    </row>
    <row r="2355" spans="1:13" x14ac:dyDescent="0.25">
      <c r="A2355" t="s">
        <v>1776</v>
      </c>
      <c r="B2355" t="s">
        <v>73</v>
      </c>
      <c r="C2355" t="s">
        <v>80</v>
      </c>
      <c r="D2355" t="s">
        <v>22</v>
      </c>
      <c r="E2355">
        <v>25</v>
      </c>
      <c r="F2355">
        <v>1</v>
      </c>
      <c r="G2355">
        <v>1</v>
      </c>
      <c r="H2355" s="1">
        <v>44952</v>
      </c>
      <c r="I2355">
        <v>2023</v>
      </c>
      <c r="J2355">
        <v>1</v>
      </c>
      <c r="K2355" t="s">
        <v>16</v>
      </c>
      <c r="L2355">
        <v>1</v>
      </c>
      <c r="M2355">
        <v>1</v>
      </c>
    </row>
    <row r="2356" spans="1:13" x14ac:dyDescent="0.25">
      <c r="A2356" t="s">
        <v>1777</v>
      </c>
      <c r="B2356" t="s">
        <v>77</v>
      </c>
      <c r="C2356" t="s">
        <v>14</v>
      </c>
      <c r="D2356" t="s">
        <v>55</v>
      </c>
      <c r="E2356" t="s">
        <v>21</v>
      </c>
      <c r="F2356">
        <v>0.2</v>
      </c>
      <c r="G2356">
        <v>550</v>
      </c>
      <c r="H2356" s="1">
        <v>44952</v>
      </c>
      <c r="I2356">
        <v>2023</v>
      </c>
      <c r="J2356">
        <v>1</v>
      </c>
      <c r="K2356" t="s">
        <v>36</v>
      </c>
      <c r="L2356">
        <v>0</v>
      </c>
      <c r="M2356">
        <v>1</v>
      </c>
    </row>
    <row r="2357" spans="1:13" x14ac:dyDescent="0.25">
      <c r="A2357" t="s">
        <v>1778</v>
      </c>
      <c r="B2357" t="s">
        <v>77</v>
      </c>
      <c r="C2357" t="s">
        <v>80</v>
      </c>
      <c r="D2357" t="s">
        <v>15</v>
      </c>
      <c r="E2357" t="s">
        <v>21</v>
      </c>
      <c r="F2357">
        <v>1</v>
      </c>
      <c r="G2357" t="s">
        <v>21</v>
      </c>
      <c r="H2357" s="1">
        <v>44952</v>
      </c>
      <c r="I2357">
        <v>2023</v>
      </c>
      <c r="J2357">
        <v>1</v>
      </c>
      <c r="K2357" t="s">
        <v>22</v>
      </c>
      <c r="L2357">
        <v>1</v>
      </c>
      <c r="M2357">
        <v>1</v>
      </c>
    </row>
    <row r="2358" spans="1:13" x14ac:dyDescent="0.25">
      <c r="A2358" t="s">
        <v>1779</v>
      </c>
      <c r="B2358" t="s">
        <v>13</v>
      </c>
      <c r="C2358" t="s">
        <v>14</v>
      </c>
      <c r="D2358" t="s">
        <v>33</v>
      </c>
      <c r="E2358" t="s">
        <v>21</v>
      </c>
      <c r="F2358">
        <v>0.1</v>
      </c>
      <c r="G2358">
        <v>43</v>
      </c>
      <c r="H2358" s="1">
        <v>44952</v>
      </c>
      <c r="I2358">
        <v>2023</v>
      </c>
      <c r="J2358">
        <v>1</v>
      </c>
      <c r="K2358" t="s">
        <v>30</v>
      </c>
      <c r="L2358">
        <v>0</v>
      </c>
      <c r="M2358">
        <v>1</v>
      </c>
    </row>
    <row r="2359" spans="1:13" x14ac:dyDescent="0.25">
      <c r="A2359" t="s">
        <v>186</v>
      </c>
      <c r="B2359" t="s">
        <v>18</v>
      </c>
      <c r="C2359" t="s">
        <v>14</v>
      </c>
      <c r="D2359" t="s">
        <v>55</v>
      </c>
      <c r="E2359" t="s">
        <v>21</v>
      </c>
      <c r="F2359" t="s">
        <v>21</v>
      </c>
      <c r="G2359">
        <v>226</v>
      </c>
      <c r="H2359" s="1">
        <v>44952</v>
      </c>
      <c r="I2359">
        <v>2023</v>
      </c>
      <c r="J2359">
        <v>1</v>
      </c>
      <c r="K2359" t="s">
        <v>36</v>
      </c>
      <c r="L2359" t="s">
        <v>21</v>
      </c>
      <c r="M2359">
        <v>0</v>
      </c>
    </row>
    <row r="2360" spans="1:13" x14ac:dyDescent="0.25">
      <c r="A2360" t="s">
        <v>640</v>
      </c>
      <c r="B2360" t="s">
        <v>70</v>
      </c>
      <c r="C2360" t="s">
        <v>14</v>
      </c>
      <c r="D2360" t="s">
        <v>15</v>
      </c>
      <c r="E2360">
        <v>3900</v>
      </c>
      <c r="F2360">
        <v>0.02</v>
      </c>
      <c r="G2360" t="s">
        <v>21</v>
      </c>
      <c r="H2360" s="1">
        <v>44951</v>
      </c>
      <c r="I2360">
        <v>2023</v>
      </c>
      <c r="J2360">
        <v>1</v>
      </c>
      <c r="K2360" t="s">
        <v>22</v>
      </c>
      <c r="L2360">
        <v>0</v>
      </c>
      <c r="M2360">
        <v>1</v>
      </c>
    </row>
    <row r="2361" spans="1:13" x14ac:dyDescent="0.25">
      <c r="A2361" t="s">
        <v>1780</v>
      </c>
      <c r="B2361" t="s">
        <v>70</v>
      </c>
      <c r="C2361" t="s">
        <v>14</v>
      </c>
      <c r="D2361" t="s">
        <v>15</v>
      </c>
      <c r="E2361">
        <v>1300</v>
      </c>
      <c r="F2361">
        <v>7.0000000000000007E-2</v>
      </c>
      <c r="G2361" t="s">
        <v>21</v>
      </c>
      <c r="H2361" s="1">
        <v>44951</v>
      </c>
      <c r="I2361">
        <v>2023</v>
      </c>
      <c r="J2361">
        <v>1</v>
      </c>
      <c r="K2361" t="s">
        <v>22</v>
      </c>
      <c r="L2361">
        <v>0</v>
      </c>
      <c r="M2361">
        <v>1</v>
      </c>
    </row>
    <row r="2362" spans="1:13" x14ac:dyDescent="0.25">
      <c r="A2362" t="s">
        <v>185</v>
      </c>
      <c r="B2362" t="s">
        <v>24</v>
      </c>
      <c r="C2362" t="s">
        <v>14</v>
      </c>
      <c r="D2362" t="s">
        <v>20</v>
      </c>
      <c r="E2362">
        <v>360</v>
      </c>
      <c r="F2362" t="s">
        <v>21</v>
      </c>
      <c r="G2362">
        <v>50</v>
      </c>
      <c r="H2362" s="1">
        <v>44951</v>
      </c>
      <c r="I2362">
        <v>2023</v>
      </c>
      <c r="J2362">
        <v>1</v>
      </c>
      <c r="K2362" t="s">
        <v>30</v>
      </c>
      <c r="L2362" t="s">
        <v>21</v>
      </c>
      <c r="M2362">
        <v>1</v>
      </c>
    </row>
    <row r="2363" spans="1:13" x14ac:dyDescent="0.25">
      <c r="A2363" t="s">
        <v>1781</v>
      </c>
      <c r="B2363" t="s">
        <v>52</v>
      </c>
      <c r="C2363" t="s">
        <v>80</v>
      </c>
      <c r="D2363" t="s">
        <v>20</v>
      </c>
      <c r="E2363">
        <v>330</v>
      </c>
      <c r="F2363">
        <v>0.35</v>
      </c>
      <c r="G2363">
        <v>13</v>
      </c>
      <c r="H2363" s="1">
        <v>44951</v>
      </c>
      <c r="I2363">
        <v>2023</v>
      </c>
      <c r="J2363">
        <v>1</v>
      </c>
      <c r="K2363" t="s">
        <v>30</v>
      </c>
      <c r="L2363">
        <v>0</v>
      </c>
      <c r="M2363">
        <v>1</v>
      </c>
    </row>
    <row r="2364" spans="1:13" x14ac:dyDescent="0.25">
      <c r="A2364" t="s">
        <v>1782</v>
      </c>
      <c r="B2364" t="s">
        <v>91</v>
      </c>
      <c r="C2364" t="s">
        <v>14</v>
      </c>
      <c r="D2364" t="s">
        <v>22</v>
      </c>
      <c r="E2364">
        <v>250</v>
      </c>
      <c r="F2364">
        <v>0.25</v>
      </c>
      <c r="G2364" t="s">
        <v>21</v>
      </c>
      <c r="H2364" s="1">
        <v>44951</v>
      </c>
      <c r="I2364">
        <v>2023</v>
      </c>
      <c r="J2364">
        <v>1</v>
      </c>
      <c r="K2364" t="s">
        <v>22</v>
      </c>
      <c r="L2364">
        <v>0</v>
      </c>
      <c r="M2364">
        <v>1</v>
      </c>
    </row>
    <row r="2365" spans="1:13" x14ac:dyDescent="0.25">
      <c r="A2365" t="s">
        <v>1783</v>
      </c>
      <c r="B2365" t="s">
        <v>35</v>
      </c>
      <c r="C2365" t="s">
        <v>14</v>
      </c>
      <c r="D2365" t="s">
        <v>15</v>
      </c>
      <c r="E2365">
        <v>130</v>
      </c>
      <c r="F2365">
        <v>7.0000000000000007E-2</v>
      </c>
      <c r="G2365">
        <v>550</v>
      </c>
      <c r="H2365" s="1">
        <v>44951</v>
      </c>
      <c r="I2365">
        <v>2023</v>
      </c>
      <c r="J2365">
        <v>1</v>
      </c>
      <c r="K2365" t="s">
        <v>36</v>
      </c>
      <c r="L2365">
        <v>0</v>
      </c>
      <c r="M2365">
        <v>1</v>
      </c>
    </row>
    <row r="2366" spans="1:13" x14ac:dyDescent="0.25">
      <c r="A2366" t="s">
        <v>1784</v>
      </c>
      <c r="B2366" t="s">
        <v>342</v>
      </c>
      <c r="C2366" t="s">
        <v>14</v>
      </c>
      <c r="D2366" t="s">
        <v>55</v>
      </c>
      <c r="E2366">
        <v>130</v>
      </c>
      <c r="F2366">
        <v>0.15</v>
      </c>
      <c r="G2366">
        <v>171</v>
      </c>
      <c r="H2366" s="1">
        <v>44951</v>
      </c>
      <c r="I2366">
        <v>2023</v>
      </c>
      <c r="J2366">
        <v>1</v>
      </c>
      <c r="K2366" t="s">
        <v>36</v>
      </c>
      <c r="L2366">
        <v>0</v>
      </c>
      <c r="M2366">
        <v>1</v>
      </c>
    </row>
    <row r="2367" spans="1:13" x14ac:dyDescent="0.25">
      <c r="A2367" t="s">
        <v>1042</v>
      </c>
      <c r="B2367" t="s">
        <v>66</v>
      </c>
      <c r="C2367" t="s">
        <v>83</v>
      </c>
      <c r="D2367" t="s">
        <v>55</v>
      </c>
      <c r="E2367">
        <v>80</v>
      </c>
      <c r="F2367">
        <v>7.0000000000000007E-2</v>
      </c>
      <c r="G2367">
        <v>646</v>
      </c>
      <c r="H2367" s="1">
        <v>44951</v>
      </c>
      <c r="I2367">
        <v>2023</v>
      </c>
      <c r="J2367">
        <v>1</v>
      </c>
      <c r="K2367" t="s">
        <v>36</v>
      </c>
      <c r="L2367">
        <v>0</v>
      </c>
      <c r="M2367">
        <v>1</v>
      </c>
    </row>
    <row r="2368" spans="1:13" x14ac:dyDescent="0.25">
      <c r="A2368" t="s">
        <v>1393</v>
      </c>
      <c r="B2368" t="s">
        <v>35</v>
      </c>
      <c r="C2368" t="s">
        <v>14</v>
      </c>
      <c r="D2368" t="s">
        <v>68</v>
      </c>
      <c r="E2368" t="s">
        <v>21</v>
      </c>
      <c r="F2368" t="s">
        <v>21</v>
      </c>
      <c r="G2368">
        <v>51</v>
      </c>
      <c r="H2368" s="1">
        <v>44951</v>
      </c>
      <c r="I2368">
        <v>2023</v>
      </c>
      <c r="J2368">
        <v>1</v>
      </c>
      <c r="K2368" t="s">
        <v>30</v>
      </c>
      <c r="L2368" t="s">
        <v>21</v>
      </c>
      <c r="M2368">
        <v>0</v>
      </c>
    </row>
    <row r="2369" spans="1:13" x14ac:dyDescent="0.25">
      <c r="A2369" t="s">
        <v>1263</v>
      </c>
      <c r="B2369" t="s">
        <v>77</v>
      </c>
      <c r="C2369" t="s">
        <v>29</v>
      </c>
      <c r="D2369" t="s">
        <v>22</v>
      </c>
      <c r="E2369" t="s">
        <v>21</v>
      </c>
      <c r="F2369" t="s">
        <v>21</v>
      </c>
      <c r="G2369" t="s">
        <v>21</v>
      </c>
      <c r="H2369" s="1">
        <v>44951</v>
      </c>
      <c r="I2369">
        <v>2023</v>
      </c>
      <c r="J2369">
        <v>1</v>
      </c>
      <c r="K2369" t="s">
        <v>22</v>
      </c>
      <c r="L2369" t="s">
        <v>21</v>
      </c>
      <c r="M2369">
        <v>0</v>
      </c>
    </row>
    <row r="2370" spans="1:13" x14ac:dyDescent="0.25">
      <c r="A2370" t="s">
        <v>926</v>
      </c>
      <c r="B2370" t="s">
        <v>207</v>
      </c>
      <c r="C2370" t="s">
        <v>14</v>
      </c>
      <c r="D2370" t="s">
        <v>43</v>
      </c>
      <c r="E2370" t="s">
        <v>21</v>
      </c>
      <c r="F2370" t="s">
        <v>21</v>
      </c>
      <c r="G2370">
        <v>657</v>
      </c>
      <c r="H2370" s="1">
        <v>44951</v>
      </c>
      <c r="I2370">
        <v>2023</v>
      </c>
      <c r="J2370">
        <v>1</v>
      </c>
      <c r="K2370" t="s">
        <v>36</v>
      </c>
      <c r="L2370" t="s">
        <v>21</v>
      </c>
      <c r="M2370">
        <v>0</v>
      </c>
    </row>
    <row r="2371" spans="1:13" x14ac:dyDescent="0.25">
      <c r="A2371" t="s">
        <v>1785</v>
      </c>
      <c r="B2371" t="s">
        <v>77</v>
      </c>
      <c r="C2371" t="s">
        <v>230</v>
      </c>
      <c r="D2371" t="s">
        <v>15</v>
      </c>
      <c r="E2371" t="s">
        <v>21</v>
      </c>
      <c r="F2371">
        <v>7.0000000000000007E-2</v>
      </c>
      <c r="G2371" t="s">
        <v>21</v>
      </c>
      <c r="H2371" s="1">
        <v>44951</v>
      </c>
      <c r="I2371">
        <v>2023</v>
      </c>
      <c r="J2371">
        <v>1</v>
      </c>
      <c r="K2371" t="s">
        <v>22</v>
      </c>
      <c r="L2371">
        <v>0</v>
      </c>
      <c r="M2371">
        <v>1</v>
      </c>
    </row>
    <row r="2372" spans="1:13" x14ac:dyDescent="0.25">
      <c r="A2372" t="s">
        <v>1786</v>
      </c>
      <c r="B2372" t="s">
        <v>13</v>
      </c>
      <c r="C2372" t="s">
        <v>74</v>
      </c>
      <c r="D2372" t="s">
        <v>22</v>
      </c>
      <c r="E2372" t="s">
        <v>21</v>
      </c>
      <c r="F2372">
        <v>0.3</v>
      </c>
      <c r="G2372" t="s">
        <v>21</v>
      </c>
      <c r="H2372" s="1">
        <v>44951</v>
      </c>
      <c r="I2372">
        <v>2023</v>
      </c>
      <c r="J2372">
        <v>1</v>
      </c>
      <c r="K2372" t="s">
        <v>22</v>
      </c>
      <c r="L2372">
        <v>0</v>
      </c>
      <c r="M2372">
        <v>1</v>
      </c>
    </row>
    <row r="2373" spans="1:13" x14ac:dyDescent="0.25">
      <c r="A2373" t="s">
        <v>774</v>
      </c>
      <c r="B2373" t="s">
        <v>73</v>
      </c>
      <c r="C2373" t="s">
        <v>14</v>
      </c>
      <c r="D2373" t="s">
        <v>15</v>
      </c>
      <c r="E2373">
        <v>1300</v>
      </c>
      <c r="F2373">
        <v>0.17</v>
      </c>
      <c r="G2373">
        <v>834</v>
      </c>
      <c r="H2373" s="1">
        <v>44950</v>
      </c>
      <c r="I2373">
        <v>2023</v>
      </c>
      <c r="J2373">
        <v>1</v>
      </c>
      <c r="K2373" t="s">
        <v>36</v>
      </c>
      <c r="L2373">
        <v>0</v>
      </c>
      <c r="M2373">
        <v>1</v>
      </c>
    </row>
    <row r="2374" spans="1:13" x14ac:dyDescent="0.25">
      <c r="A2374" t="s">
        <v>135</v>
      </c>
      <c r="B2374" t="s">
        <v>35</v>
      </c>
      <c r="C2374" t="s">
        <v>14</v>
      </c>
      <c r="D2374" t="s">
        <v>111</v>
      </c>
      <c r="E2374">
        <v>245</v>
      </c>
      <c r="F2374">
        <v>0.15</v>
      </c>
      <c r="G2374">
        <v>379</v>
      </c>
      <c r="H2374" s="1">
        <v>44950</v>
      </c>
      <c r="I2374">
        <v>2023</v>
      </c>
      <c r="J2374">
        <v>1</v>
      </c>
      <c r="K2374" t="s">
        <v>36</v>
      </c>
      <c r="L2374">
        <v>0</v>
      </c>
      <c r="M2374">
        <v>1</v>
      </c>
    </row>
    <row r="2375" spans="1:13" x14ac:dyDescent="0.25">
      <c r="A2375" t="s">
        <v>205</v>
      </c>
      <c r="B2375" t="s">
        <v>77</v>
      </c>
      <c r="C2375" t="s">
        <v>14</v>
      </c>
      <c r="D2375" t="s">
        <v>111</v>
      </c>
      <c r="E2375">
        <v>50</v>
      </c>
      <c r="F2375">
        <v>0.1</v>
      </c>
      <c r="G2375">
        <v>1300</v>
      </c>
      <c r="H2375" s="1">
        <v>44950</v>
      </c>
      <c r="I2375">
        <v>2023</v>
      </c>
      <c r="J2375">
        <v>1</v>
      </c>
      <c r="K2375" t="s">
        <v>26</v>
      </c>
      <c r="L2375">
        <v>0</v>
      </c>
      <c r="M2375">
        <v>1</v>
      </c>
    </row>
    <row r="2376" spans="1:13" x14ac:dyDescent="0.25">
      <c r="A2376" t="s">
        <v>1787</v>
      </c>
      <c r="B2376" t="s">
        <v>99</v>
      </c>
      <c r="C2376" t="s">
        <v>174</v>
      </c>
      <c r="D2376" t="s">
        <v>33</v>
      </c>
      <c r="E2376">
        <v>40</v>
      </c>
      <c r="F2376">
        <v>0.2</v>
      </c>
      <c r="G2376">
        <v>36</v>
      </c>
      <c r="H2376" s="1">
        <v>44950</v>
      </c>
      <c r="I2376">
        <v>2023</v>
      </c>
      <c r="J2376">
        <v>1</v>
      </c>
      <c r="K2376" t="s">
        <v>30</v>
      </c>
      <c r="L2376">
        <v>0</v>
      </c>
      <c r="M2376">
        <v>1</v>
      </c>
    </row>
    <row r="2377" spans="1:13" x14ac:dyDescent="0.25">
      <c r="A2377" t="s">
        <v>1788</v>
      </c>
      <c r="B2377" t="s">
        <v>114</v>
      </c>
      <c r="C2377" t="s">
        <v>83</v>
      </c>
      <c r="D2377" t="s">
        <v>68</v>
      </c>
      <c r="E2377">
        <v>21</v>
      </c>
      <c r="F2377">
        <v>0.28000000000000003</v>
      </c>
      <c r="G2377">
        <v>41</v>
      </c>
      <c r="H2377" s="1">
        <v>44950</v>
      </c>
      <c r="I2377">
        <v>2023</v>
      </c>
      <c r="J2377">
        <v>1</v>
      </c>
      <c r="K2377" t="s">
        <v>30</v>
      </c>
      <c r="L2377">
        <v>0</v>
      </c>
      <c r="M2377">
        <v>1</v>
      </c>
    </row>
    <row r="2378" spans="1:13" x14ac:dyDescent="0.25">
      <c r="A2378" t="s">
        <v>1789</v>
      </c>
      <c r="B2378" t="s">
        <v>35</v>
      </c>
      <c r="C2378" t="s">
        <v>14</v>
      </c>
      <c r="D2378" t="s">
        <v>68</v>
      </c>
      <c r="E2378">
        <v>16</v>
      </c>
      <c r="F2378" t="s">
        <v>21</v>
      </c>
      <c r="G2378">
        <v>14</v>
      </c>
      <c r="H2378" s="1">
        <v>44950</v>
      </c>
      <c r="I2378">
        <v>2023</v>
      </c>
      <c r="J2378">
        <v>1</v>
      </c>
      <c r="K2378" t="s">
        <v>30</v>
      </c>
      <c r="L2378" t="s">
        <v>21</v>
      </c>
      <c r="M2378">
        <v>1</v>
      </c>
    </row>
    <row r="2379" spans="1:13" x14ac:dyDescent="0.25">
      <c r="A2379" t="s">
        <v>1790</v>
      </c>
      <c r="B2379" t="s">
        <v>54</v>
      </c>
      <c r="C2379" t="s">
        <v>174</v>
      </c>
      <c r="D2379" t="s">
        <v>22</v>
      </c>
      <c r="E2379">
        <v>11</v>
      </c>
      <c r="F2379">
        <v>0.2</v>
      </c>
      <c r="G2379" t="s">
        <v>21</v>
      </c>
      <c r="H2379" s="1">
        <v>44950</v>
      </c>
      <c r="I2379">
        <v>2023</v>
      </c>
      <c r="J2379">
        <v>1</v>
      </c>
      <c r="K2379" t="s">
        <v>22</v>
      </c>
      <c r="L2379">
        <v>0</v>
      </c>
      <c r="M2379">
        <v>1</v>
      </c>
    </row>
    <row r="2380" spans="1:13" x14ac:dyDescent="0.25">
      <c r="A2380" t="s">
        <v>1429</v>
      </c>
      <c r="B2380" t="s">
        <v>40</v>
      </c>
      <c r="C2380" t="s">
        <v>83</v>
      </c>
      <c r="D2380" t="s">
        <v>46</v>
      </c>
      <c r="E2380" t="s">
        <v>21</v>
      </c>
      <c r="F2380">
        <v>0.1</v>
      </c>
      <c r="G2380">
        <v>332</v>
      </c>
      <c r="H2380" s="1">
        <v>44950</v>
      </c>
      <c r="I2380">
        <v>2023</v>
      </c>
      <c r="J2380">
        <v>1</v>
      </c>
      <c r="K2380" t="s">
        <v>36</v>
      </c>
      <c r="L2380">
        <v>0</v>
      </c>
      <c r="M2380">
        <v>1</v>
      </c>
    </row>
    <row r="2381" spans="1:13" x14ac:dyDescent="0.25">
      <c r="A2381" t="s">
        <v>1791</v>
      </c>
      <c r="B2381" t="s">
        <v>77</v>
      </c>
      <c r="C2381" t="s">
        <v>14</v>
      </c>
      <c r="D2381" t="s">
        <v>46</v>
      </c>
      <c r="E2381" t="s">
        <v>21</v>
      </c>
      <c r="F2381">
        <v>0.14000000000000001</v>
      </c>
      <c r="G2381">
        <v>160</v>
      </c>
      <c r="H2381" s="1">
        <v>44950</v>
      </c>
      <c r="I2381">
        <v>2023</v>
      </c>
      <c r="J2381">
        <v>1</v>
      </c>
      <c r="K2381" t="s">
        <v>36</v>
      </c>
      <c r="L2381">
        <v>0</v>
      </c>
      <c r="M2381">
        <v>1</v>
      </c>
    </row>
    <row r="2382" spans="1:13" x14ac:dyDescent="0.25">
      <c r="A2382" t="s">
        <v>532</v>
      </c>
      <c r="B2382" t="s">
        <v>533</v>
      </c>
      <c r="C2382" t="s">
        <v>14</v>
      </c>
      <c r="D2382" t="s">
        <v>33</v>
      </c>
      <c r="E2382" t="s">
        <v>21</v>
      </c>
      <c r="F2382" t="s">
        <v>21</v>
      </c>
      <c r="G2382">
        <v>451</v>
      </c>
      <c r="H2382" s="1">
        <v>44950</v>
      </c>
      <c r="I2382">
        <v>2023</v>
      </c>
      <c r="J2382">
        <v>1</v>
      </c>
      <c r="K2382" t="s">
        <v>36</v>
      </c>
      <c r="L2382" t="s">
        <v>21</v>
      </c>
      <c r="M2382">
        <v>0</v>
      </c>
    </row>
    <row r="2383" spans="1:13" x14ac:dyDescent="0.25">
      <c r="A2383" t="s">
        <v>1792</v>
      </c>
      <c r="B2383" t="s">
        <v>114</v>
      </c>
      <c r="C2383" t="s">
        <v>14</v>
      </c>
      <c r="D2383" t="s">
        <v>15</v>
      </c>
      <c r="E2383" t="s">
        <v>21</v>
      </c>
      <c r="F2383">
        <v>7.0000000000000007E-2</v>
      </c>
      <c r="G2383">
        <v>173</v>
      </c>
      <c r="H2383" s="1">
        <v>44950</v>
      </c>
      <c r="I2383">
        <v>2023</v>
      </c>
      <c r="J2383">
        <v>1</v>
      </c>
      <c r="K2383" t="s">
        <v>36</v>
      </c>
      <c r="L2383">
        <v>0</v>
      </c>
      <c r="M2383">
        <v>1</v>
      </c>
    </row>
    <row r="2384" spans="1:13" x14ac:dyDescent="0.25">
      <c r="A2384" t="s">
        <v>1793</v>
      </c>
      <c r="B2384" t="s">
        <v>40</v>
      </c>
      <c r="C2384" t="s">
        <v>80</v>
      </c>
      <c r="D2384" t="s">
        <v>33</v>
      </c>
      <c r="E2384" t="s">
        <v>21</v>
      </c>
      <c r="F2384">
        <v>0.09</v>
      </c>
      <c r="G2384">
        <v>23</v>
      </c>
      <c r="H2384" s="1">
        <v>44950</v>
      </c>
      <c r="I2384">
        <v>2023</v>
      </c>
      <c r="J2384">
        <v>1</v>
      </c>
      <c r="K2384" t="s">
        <v>30</v>
      </c>
      <c r="L2384">
        <v>0</v>
      </c>
      <c r="M2384">
        <v>1</v>
      </c>
    </row>
    <row r="2385" spans="1:13" x14ac:dyDescent="0.25">
      <c r="A2385" t="s">
        <v>223</v>
      </c>
      <c r="B2385" t="s">
        <v>32</v>
      </c>
      <c r="C2385" t="s">
        <v>161</v>
      </c>
      <c r="D2385" t="s">
        <v>15</v>
      </c>
      <c r="E2385">
        <v>600</v>
      </c>
      <c r="F2385">
        <v>0.06</v>
      </c>
      <c r="G2385">
        <v>2100</v>
      </c>
      <c r="H2385" s="1">
        <v>44949</v>
      </c>
      <c r="I2385">
        <v>2023</v>
      </c>
      <c r="J2385">
        <v>1</v>
      </c>
      <c r="K2385" t="s">
        <v>26</v>
      </c>
      <c r="L2385">
        <v>0</v>
      </c>
      <c r="M2385">
        <v>1</v>
      </c>
    </row>
    <row r="2386" spans="1:13" x14ac:dyDescent="0.25">
      <c r="A2386" t="s">
        <v>978</v>
      </c>
      <c r="B2386" t="s">
        <v>117</v>
      </c>
      <c r="C2386" t="s">
        <v>14</v>
      </c>
      <c r="D2386" t="s">
        <v>97</v>
      </c>
      <c r="E2386">
        <v>150</v>
      </c>
      <c r="F2386">
        <v>0.03</v>
      </c>
      <c r="G2386">
        <v>2700</v>
      </c>
      <c r="H2386" s="1">
        <v>44949</v>
      </c>
      <c r="I2386">
        <v>2023</v>
      </c>
      <c r="J2386">
        <v>1</v>
      </c>
      <c r="K2386" t="s">
        <v>26</v>
      </c>
      <c r="L2386">
        <v>0</v>
      </c>
      <c r="M2386">
        <v>1</v>
      </c>
    </row>
    <row r="2387" spans="1:13" x14ac:dyDescent="0.25">
      <c r="A2387" t="s">
        <v>963</v>
      </c>
      <c r="B2387" t="s">
        <v>54</v>
      </c>
      <c r="C2387" t="s">
        <v>48</v>
      </c>
      <c r="D2387" t="s">
        <v>22</v>
      </c>
      <c r="E2387">
        <v>50</v>
      </c>
      <c r="F2387" t="s">
        <v>21</v>
      </c>
      <c r="G2387">
        <v>320</v>
      </c>
      <c r="H2387" s="1">
        <v>44949</v>
      </c>
      <c r="I2387">
        <v>2023</v>
      </c>
      <c r="J2387">
        <v>1</v>
      </c>
      <c r="K2387" t="s">
        <v>36</v>
      </c>
      <c r="L2387" t="s">
        <v>21</v>
      </c>
      <c r="M2387">
        <v>1</v>
      </c>
    </row>
    <row r="2388" spans="1:13" x14ac:dyDescent="0.25">
      <c r="A2388" t="s">
        <v>1794</v>
      </c>
      <c r="B2388" t="s">
        <v>54</v>
      </c>
      <c r="C2388" t="s">
        <v>14</v>
      </c>
      <c r="D2388" t="s">
        <v>15</v>
      </c>
      <c r="E2388">
        <v>40</v>
      </c>
      <c r="F2388">
        <v>0.1</v>
      </c>
      <c r="G2388">
        <v>295</v>
      </c>
      <c r="H2388" s="1">
        <v>44949</v>
      </c>
      <c r="I2388">
        <v>2023</v>
      </c>
      <c r="J2388">
        <v>1</v>
      </c>
      <c r="K2388" t="s">
        <v>36</v>
      </c>
      <c r="L2388">
        <v>0</v>
      </c>
      <c r="M2388">
        <v>1</v>
      </c>
    </row>
    <row r="2389" spans="1:13" x14ac:dyDescent="0.25">
      <c r="A2389" t="s">
        <v>1795</v>
      </c>
      <c r="B2389" t="s">
        <v>24</v>
      </c>
      <c r="C2389" t="s">
        <v>42</v>
      </c>
      <c r="D2389" t="s">
        <v>68</v>
      </c>
      <c r="E2389">
        <v>30</v>
      </c>
      <c r="F2389" t="s">
        <v>21</v>
      </c>
      <c r="G2389">
        <v>23</v>
      </c>
      <c r="H2389" s="1">
        <v>44949</v>
      </c>
      <c r="I2389">
        <v>2023</v>
      </c>
      <c r="J2389">
        <v>1</v>
      </c>
      <c r="K2389" t="s">
        <v>30</v>
      </c>
      <c r="L2389" t="s">
        <v>21</v>
      </c>
      <c r="M2389">
        <v>1</v>
      </c>
    </row>
    <row r="2390" spans="1:13" x14ac:dyDescent="0.25">
      <c r="A2390" t="s">
        <v>1796</v>
      </c>
      <c r="B2390" t="s">
        <v>28</v>
      </c>
      <c r="C2390" t="s">
        <v>14</v>
      </c>
      <c r="D2390" t="s">
        <v>33</v>
      </c>
      <c r="E2390">
        <v>30</v>
      </c>
      <c r="F2390">
        <v>0.17</v>
      </c>
      <c r="G2390">
        <v>97</v>
      </c>
      <c r="H2390" s="1">
        <v>44949</v>
      </c>
      <c r="I2390">
        <v>2023</v>
      </c>
      <c r="J2390">
        <v>1</v>
      </c>
      <c r="K2390" t="s">
        <v>30</v>
      </c>
      <c r="L2390">
        <v>0</v>
      </c>
      <c r="M2390">
        <v>1</v>
      </c>
    </row>
    <row r="2391" spans="1:13" x14ac:dyDescent="0.25">
      <c r="A2391" t="s">
        <v>1797</v>
      </c>
      <c r="B2391" t="s">
        <v>54</v>
      </c>
      <c r="C2391" t="s">
        <v>29</v>
      </c>
      <c r="D2391" t="s">
        <v>46</v>
      </c>
      <c r="E2391">
        <v>20</v>
      </c>
      <c r="F2391">
        <v>0.15</v>
      </c>
      <c r="G2391">
        <v>69</v>
      </c>
      <c r="H2391" s="1">
        <v>44949</v>
      </c>
      <c r="I2391">
        <v>2023</v>
      </c>
      <c r="J2391">
        <v>1</v>
      </c>
      <c r="K2391" t="s">
        <v>30</v>
      </c>
      <c r="L2391">
        <v>0</v>
      </c>
      <c r="M2391">
        <v>1</v>
      </c>
    </row>
    <row r="2392" spans="1:13" x14ac:dyDescent="0.25">
      <c r="A2392" t="s">
        <v>1798</v>
      </c>
      <c r="B2392" t="s">
        <v>106</v>
      </c>
      <c r="C2392" t="s">
        <v>48</v>
      </c>
      <c r="D2392" t="s">
        <v>68</v>
      </c>
      <c r="E2392" t="s">
        <v>21</v>
      </c>
      <c r="F2392">
        <v>0.7</v>
      </c>
      <c r="G2392">
        <v>16</v>
      </c>
      <c r="H2392" s="1">
        <v>44949</v>
      </c>
      <c r="I2392">
        <v>2023</v>
      </c>
      <c r="J2392">
        <v>1</v>
      </c>
      <c r="K2392" t="s">
        <v>30</v>
      </c>
      <c r="L2392">
        <v>0</v>
      </c>
      <c r="M2392">
        <v>1</v>
      </c>
    </row>
    <row r="2393" spans="1:13" x14ac:dyDescent="0.25">
      <c r="A2393" t="s">
        <v>224</v>
      </c>
      <c r="B2393" t="s">
        <v>52</v>
      </c>
      <c r="C2393" t="s">
        <v>14</v>
      </c>
      <c r="D2393" t="s">
        <v>22</v>
      </c>
      <c r="E2393" t="s">
        <v>21</v>
      </c>
      <c r="F2393">
        <v>0.1</v>
      </c>
      <c r="G2393">
        <v>423</v>
      </c>
      <c r="H2393" s="1">
        <v>44949</v>
      </c>
      <c r="I2393">
        <v>2023</v>
      </c>
      <c r="J2393">
        <v>1</v>
      </c>
      <c r="K2393" t="s">
        <v>36</v>
      </c>
      <c r="L2393">
        <v>0</v>
      </c>
      <c r="M2393">
        <v>1</v>
      </c>
    </row>
    <row r="2394" spans="1:13" x14ac:dyDescent="0.25">
      <c r="A2394" t="s">
        <v>748</v>
      </c>
      <c r="B2394" t="s">
        <v>54</v>
      </c>
      <c r="C2394" t="s">
        <v>14</v>
      </c>
      <c r="D2394" t="s">
        <v>15</v>
      </c>
      <c r="E2394" t="s">
        <v>21</v>
      </c>
      <c r="F2394">
        <v>0.08</v>
      </c>
      <c r="G2394">
        <v>117</v>
      </c>
      <c r="H2394" s="1">
        <v>44949</v>
      </c>
      <c r="I2394">
        <v>2023</v>
      </c>
      <c r="J2394">
        <v>1</v>
      </c>
      <c r="K2394" t="s">
        <v>36</v>
      </c>
      <c r="L2394">
        <v>0</v>
      </c>
      <c r="M2394">
        <v>1</v>
      </c>
    </row>
    <row r="2395" spans="1:13" x14ac:dyDescent="0.25">
      <c r="A2395" t="s">
        <v>1799</v>
      </c>
      <c r="B2395" t="s">
        <v>77</v>
      </c>
      <c r="C2395" t="s">
        <v>74</v>
      </c>
      <c r="D2395" t="s">
        <v>46</v>
      </c>
      <c r="E2395" t="s">
        <v>21</v>
      </c>
      <c r="F2395" t="s">
        <v>21</v>
      </c>
      <c r="G2395">
        <v>115</v>
      </c>
      <c r="H2395" s="1">
        <v>44948</v>
      </c>
      <c r="I2395">
        <v>2023</v>
      </c>
      <c r="J2395">
        <v>1</v>
      </c>
      <c r="K2395" t="s">
        <v>36</v>
      </c>
      <c r="L2395" t="s">
        <v>21</v>
      </c>
      <c r="M2395">
        <v>0</v>
      </c>
    </row>
    <row r="2396" spans="1:13" x14ac:dyDescent="0.25">
      <c r="A2396" t="s">
        <v>108</v>
      </c>
      <c r="B2396" t="s">
        <v>18</v>
      </c>
      <c r="C2396" t="s">
        <v>14</v>
      </c>
      <c r="D2396" t="s">
        <v>15</v>
      </c>
      <c r="E2396">
        <v>12000</v>
      </c>
      <c r="F2396">
        <v>0.06</v>
      </c>
      <c r="G2396">
        <v>26</v>
      </c>
      <c r="H2396" s="1">
        <v>44946</v>
      </c>
      <c r="I2396">
        <v>2023</v>
      </c>
      <c r="J2396">
        <v>1</v>
      </c>
      <c r="K2396" t="s">
        <v>30</v>
      </c>
      <c r="L2396">
        <v>0</v>
      </c>
      <c r="M2396">
        <v>1</v>
      </c>
    </row>
    <row r="2397" spans="1:13" x14ac:dyDescent="0.25">
      <c r="A2397" t="s">
        <v>472</v>
      </c>
      <c r="B2397" t="s">
        <v>24</v>
      </c>
      <c r="C2397" t="s">
        <v>14</v>
      </c>
      <c r="D2397" t="s">
        <v>15</v>
      </c>
      <c r="E2397">
        <v>1750</v>
      </c>
      <c r="F2397">
        <v>0.1</v>
      </c>
      <c r="G2397">
        <v>1700</v>
      </c>
      <c r="H2397" s="1">
        <v>44946</v>
      </c>
      <c r="I2397">
        <v>2023</v>
      </c>
      <c r="J2397">
        <v>1</v>
      </c>
      <c r="K2397" t="s">
        <v>26</v>
      </c>
      <c r="L2397">
        <v>0</v>
      </c>
      <c r="M2397">
        <v>1</v>
      </c>
    </row>
    <row r="2398" spans="1:13" x14ac:dyDescent="0.25">
      <c r="A2398" t="s">
        <v>930</v>
      </c>
      <c r="B2398" t="s">
        <v>95</v>
      </c>
      <c r="C2398" t="s">
        <v>48</v>
      </c>
      <c r="D2398" t="s">
        <v>22</v>
      </c>
      <c r="E2398">
        <v>380</v>
      </c>
      <c r="F2398">
        <v>0.06</v>
      </c>
      <c r="G2398">
        <v>3600</v>
      </c>
      <c r="H2398" s="1">
        <v>44946</v>
      </c>
      <c r="I2398">
        <v>2023</v>
      </c>
      <c r="J2398">
        <v>1</v>
      </c>
      <c r="K2398" t="s">
        <v>26</v>
      </c>
      <c r="L2398">
        <v>0</v>
      </c>
      <c r="M2398">
        <v>1</v>
      </c>
    </row>
    <row r="2399" spans="1:13" x14ac:dyDescent="0.25">
      <c r="A2399" t="s">
        <v>1800</v>
      </c>
      <c r="B2399" t="s">
        <v>35</v>
      </c>
      <c r="C2399" t="s">
        <v>48</v>
      </c>
      <c r="D2399" t="s">
        <v>20</v>
      </c>
      <c r="E2399">
        <v>200</v>
      </c>
      <c r="F2399">
        <v>0.08</v>
      </c>
      <c r="G2399">
        <v>192</v>
      </c>
      <c r="H2399" s="1">
        <v>44946</v>
      </c>
      <c r="I2399">
        <v>2023</v>
      </c>
      <c r="J2399">
        <v>1</v>
      </c>
      <c r="K2399" t="s">
        <v>36</v>
      </c>
      <c r="L2399">
        <v>0</v>
      </c>
      <c r="M2399">
        <v>1</v>
      </c>
    </row>
    <row r="2400" spans="1:13" x14ac:dyDescent="0.25">
      <c r="A2400" t="s">
        <v>556</v>
      </c>
      <c r="B2400" t="s">
        <v>32</v>
      </c>
      <c r="C2400" t="s">
        <v>14</v>
      </c>
      <c r="D2400" t="s">
        <v>43</v>
      </c>
      <c r="E2400">
        <v>130</v>
      </c>
      <c r="F2400">
        <v>7.0000000000000007E-2</v>
      </c>
      <c r="G2400">
        <v>307</v>
      </c>
      <c r="H2400" s="1">
        <v>44946</v>
      </c>
      <c r="I2400">
        <v>2023</v>
      </c>
      <c r="J2400">
        <v>1</v>
      </c>
      <c r="K2400" t="s">
        <v>36</v>
      </c>
      <c r="L2400">
        <v>0</v>
      </c>
      <c r="M2400">
        <v>1</v>
      </c>
    </row>
    <row r="2401" spans="1:13" x14ac:dyDescent="0.25">
      <c r="A2401" t="s">
        <v>1801</v>
      </c>
      <c r="B2401" t="s">
        <v>140</v>
      </c>
      <c r="C2401" t="s">
        <v>14</v>
      </c>
      <c r="D2401" t="s">
        <v>20</v>
      </c>
      <c r="E2401">
        <v>92</v>
      </c>
      <c r="F2401" t="s">
        <v>21</v>
      </c>
      <c r="G2401" t="s">
        <v>21</v>
      </c>
      <c r="H2401" s="1">
        <v>44946</v>
      </c>
      <c r="I2401">
        <v>2023</v>
      </c>
      <c r="J2401">
        <v>1</v>
      </c>
      <c r="K2401" t="s">
        <v>22</v>
      </c>
      <c r="L2401" t="s">
        <v>21</v>
      </c>
      <c r="M2401">
        <v>1</v>
      </c>
    </row>
    <row r="2402" spans="1:13" x14ac:dyDescent="0.25">
      <c r="A2402" t="s">
        <v>1366</v>
      </c>
      <c r="B2402" t="s">
        <v>40</v>
      </c>
      <c r="C2402" t="s">
        <v>14</v>
      </c>
      <c r="D2402" t="s">
        <v>22</v>
      </c>
      <c r="E2402">
        <v>47</v>
      </c>
      <c r="F2402" t="s">
        <v>21</v>
      </c>
      <c r="G2402">
        <v>169</v>
      </c>
      <c r="H2402" s="1">
        <v>44946</v>
      </c>
      <c r="I2402">
        <v>2023</v>
      </c>
      <c r="J2402">
        <v>1</v>
      </c>
      <c r="K2402" t="s">
        <v>36</v>
      </c>
      <c r="L2402" t="s">
        <v>21</v>
      </c>
      <c r="M2402">
        <v>1</v>
      </c>
    </row>
    <row r="2403" spans="1:13" x14ac:dyDescent="0.25">
      <c r="A2403" t="s">
        <v>1802</v>
      </c>
      <c r="B2403" t="s">
        <v>24</v>
      </c>
      <c r="C2403" t="s">
        <v>230</v>
      </c>
      <c r="D2403" t="s">
        <v>22</v>
      </c>
      <c r="E2403">
        <v>31</v>
      </c>
      <c r="F2403">
        <v>0.1</v>
      </c>
      <c r="G2403">
        <v>14</v>
      </c>
      <c r="H2403" s="1">
        <v>44946</v>
      </c>
      <c r="I2403">
        <v>2023</v>
      </c>
      <c r="J2403">
        <v>1</v>
      </c>
      <c r="K2403" t="s">
        <v>30</v>
      </c>
      <c r="L2403">
        <v>0</v>
      </c>
      <c r="M2403">
        <v>1</v>
      </c>
    </row>
    <row r="2404" spans="1:13" x14ac:dyDescent="0.25">
      <c r="A2404" t="s">
        <v>1803</v>
      </c>
      <c r="B2404" t="s">
        <v>35</v>
      </c>
      <c r="C2404" t="s">
        <v>14</v>
      </c>
      <c r="D2404" t="s">
        <v>22</v>
      </c>
      <c r="E2404">
        <v>30</v>
      </c>
      <c r="F2404" t="s">
        <v>21</v>
      </c>
      <c r="G2404">
        <v>1</v>
      </c>
      <c r="H2404" s="1">
        <v>44946</v>
      </c>
      <c r="I2404">
        <v>2023</v>
      </c>
      <c r="J2404">
        <v>1</v>
      </c>
      <c r="K2404" t="s">
        <v>16</v>
      </c>
      <c r="L2404" t="s">
        <v>21</v>
      </c>
      <c r="M2404">
        <v>1</v>
      </c>
    </row>
    <row r="2405" spans="1:13" x14ac:dyDescent="0.25">
      <c r="A2405" t="s">
        <v>1804</v>
      </c>
      <c r="B2405" t="s">
        <v>38</v>
      </c>
      <c r="C2405" t="s">
        <v>14</v>
      </c>
      <c r="D2405" t="s">
        <v>46</v>
      </c>
      <c r="E2405">
        <v>22</v>
      </c>
      <c r="F2405">
        <v>0.27</v>
      </c>
      <c r="G2405">
        <v>64</v>
      </c>
      <c r="H2405" s="1">
        <v>44946</v>
      </c>
      <c r="I2405">
        <v>2023</v>
      </c>
      <c r="J2405">
        <v>1</v>
      </c>
      <c r="K2405" t="s">
        <v>30</v>
      </c>
      <c r="L2405">
        <v>0</v>
      </c>
      <c r="M2405">
        <v>1</v>
      </c>
    </row>
    <row r="2406" spans="1:13" x14ac:dyDescent="0.25">
      <c r="A2406" t="s">
        <v>1805</v>
      </c>
      <c r="B2406" t="s">
        <v>77</v>
      </c>
      <c r="C2406" t="s">
        <v>14</v>
      </c>
      <c r="D2406" t="s">
        <v>20</v>
      </c>
      <c r="E2406" t="s">
        <v>21</v>
      </c>
      <c r="F2406" t="s">
        <v>21</v>
      </c>
      <c r="G2406">
        <v>341</v>
      </c>
      <c r="H2406" s="1">
        <v>44946</v>
      </c>
      <c r="I2406">
        <v>2023</v>
      </c>
      <c r="J2406">
        <v>1</v>
      </c>
      <c r="K2406" t="s">
        <v>36</v>
      </c>
      <c r="L2406" t="s">
        <v>21</v>
      </c>
      <c r="M2406">
        <v>0</v>
      </c>
    </row>
    <row r="2407" spans="1:13" x14ac:dyDescent="0.25">
      <c r="A2407" t="s">
        <v>1806</v>
      </c>
      <c r="B2407" t="s">
        <v>35</v>
      </c>
      <c r="C2407" t="s">
        <v>14</v>
      </c>
      <c r="D2407" t="s">
        <v>46</v>
      </c>
      <c r="E2407" t="s">
        <v>21</v>
      </c>
      <c r="F2407">
        <v>0.7</v>
      </c>
      <c r="G2407">
        <v>156</v>
      </c>
      <c r="H2407" s="1">
        <v>44946</v>
      </c>
      <c r="I2407">
        <v>2023</v>
      </c>
      <c r="J2407">
        <v>1</v>
      </c>
      <c r="K2407" t="s">
        <v>36</v>
      </c>
      <c r="L2407">
        <v>0</v>
      </c>
      <c r="M2407">
        <v>1</v>
      </c>
    </row>
    <row r="2408" spans="1:13" x14ac:dyDescent="0.25">
      <c r="A2408" t="s">
        <v>983</v>
      </c>
      <c r="B2408" t="s">
        <v>38</v>
      </c>
      <c r="C2408" t="s">
        <v>14</v>
      </c>
      <c r="D2408" t="s">
        <v>33</v>
      </c>
      <c r="E2408" t="s">
        <v>21</v>
      </c>
      <c r="F2408" t="s">
        <v>21</v>
      </c>
      <c r="G2408">
        <v>91</v>
      </c>
      <c r="H2408" s="1">
        <v>44946</v>
      </c>
      <c r="I2408">
        <v>2023</v>
      </c>
      <c r="J2408">
        <v>1</v>
      </c>
      <c r="K2408" t="s">
        <v>30</v>
      </c>
      <c r="L2408" t="s">
        <v>21</v>
      </c>
      <c r="M2408">
        <v>0</v>
      </c>
    </row>
    <row r="2409" spans="1:13" x14ac:dyDescent="0.25">
      <c r="A2409" t="s">
        <v>17</v>
      </c>
      <c r="B2409" t="s">
        <v>18</v>
      </c>
      <c r="C2409" t="s">
        <v>14</v>
      </c>
      <c r="D2409" t="s">
        <v>20</v>
      </c>
      <c r="E2409" t="s">
        <v>21</v>
      </c>
      <c r="F2409" t="s">
        <v>21</v>
      </c>
      <c r="G2409" t="s">
        <v>21</v>
      </c>
      <c r="H2409" s="1">
        <v>44946</v>
      </c>
      <c r="I2409">
        <v>2023</v>
      </c>
      <c r="J2409">
        <v>1</v>
      </c>
      <c r="K2409" t="s">
        <v>22</v>
      </c>
      <c r="L2409" t="s">
        <v>21</v>
      </c>
      <c r="M2409">
        <v>0</v>
      </c>
    </row>
    <row r="2410" spans="1:13" x14ac:dyDescent="0.25">
      <c r="A2410" t="s">
        <v>1807</v>
      </c>
      <c r="B2410" t="s">
        <v>24</v>
      </c>
      <c r="C2410" t="s">
        <v>14</v>
      </c>
      <c r="D2410" t="s">
        <v>20</v>
      </c>
      <c r="E2410" t="s">
        <v>21</v>
      </c>
      <c r="F2410" t="s">
        <v>21</v>
      </c>
      <c r="G2410">
        <v>62</v>
      </c>
      <c r="H2410" s="1">
        <v>44946</v>
      </c>
      <c r="I2410">
        <v>2023</v>
      </c>
      <c r="J2410">
        <v>1</v>
      </c>
      <c r="K2410" t="s">
        <v>30</v>
      </c>
      <c r="L2410" t="s">
        <v>21</v>
      </c>
      <c r="M2410">
        <v>0</v>
      </c>
    </row>
    <row r="2411" spans="1:13" x14ac:dyDescent="0.25">
      <c r="A2411" t="s">
        <v>1808</v>
      </c>
      <c r="B2411" t="s">
        <v>77</v>
      </c>
      <c r="C2411" t="s">
        <v>14</v>
      </c>
      <c r="D2411" t="s">
        <v>15</v>
      </c>
      <c r="E2411">
        <v>1100</v>
      </c>
      <c r="F2411" t="s">
        <v>21</v>
      </c>
      <c r="G2411" t="s">
        <v>21</v>
      </c>
      <c r="H2411" s="1">
        <v>44945</v>
      </c>
      <c r="I2411">
        <v>2023</v>
      </c>
      <c r="J2411">
        <v>1</v>
      </c>
      <c r="K2411" t="s">
        <v>22</v>
      </c>
      <c r="L2411" t="s">
        <v>21</v>
      </c>
      <c r="M2411">
        <v>1</v>
      </c>
    </row>
    <row r="2412" spans="1:13" x14ac:dyDescent="0.25">
      <c r="A2412" t="s">
        <v>1809</v>
      </c>
      <c r="B2412" t="s">
        <v>66</v>
      </c>
      <c r="C2412" t="s">
        <v>14</v>
      </c>
      <c r="D2412" t="s">
        <v>15</v>
      </c>
      <c r="E2412">
        <v>300</v>
      </c>
      <c r="F2412" t="s">
        <v>21</v>
      </c>
      <c r="G2412">
        <v>1200</v>
      </c>
      <c r="H2412" s="1">
        <v>44945</v>
      </c>
      <c r="I2412">
        <v>2023</v>
      </c>
      <c r="J2412">
        <v>1</v>
      </c>
      <c r="K2412" t="s">
        <v>26</v>
      </c>
      <c r="L2412" t="s">
        <v>21</v>
      </c>
      <c r="M2412">
        <v>1</v>
      </c>
    </row>
    <row r="2413" spans="1:13" x14ac:dyDescent="0.25">
      <c r="A2413" t="s">
        <v>1810</v>
      </c>
      <c r="B2413" t="s">
        <v>91</v>
      </c>
      <c r="C2413" t="s">
        <v>14</v>
      </c>
      <c r="D2413" t="s">
        <v>15</v>
      </c>
      <c r="E2413">
        <v>300</v>
      </c>
      <c r="F2413" t="s">
        <v>21</v>
      </c>
      <c r="G2413">
        <v>22200</v>
      </c>
      <c r="H2413" s="1">
        <v>44945</v>
      </c>
      <c r="I2413">
        <v>2023</v>
      </c>
      <c r="J2413">
        <v>1</v>
      </c>
      <c r="K2413" t="s">
        <v>26</v>
      </c>
      <c r="L2413" t="s">
        <v>21</v>
      </c>
      <c r="M2413">
        <v>1</v>
      </c>
    </row>
    <row r="2414" spans="1:13" x14ac:dyDescent="0.25">
      <c r="A2414" t="s">
        <v>1090</v>
      </c>
      <c r="B2414" t="s">
        <v>13</v>
      </c>
      <c r="C2414" t="s">
        <v>14</v>
      </c>
      <c r="D2414" t="s">
        <v>33</v>
      </c>
      <c r="E2414">
        <v>115</v>
      </c>
      <c r="F2414">
        <v>0.35</v>
      </c>
      <c r="G2414">
        <v>153</v>
      </c>
      <c r="H2414" s="1">
        <v>44945</v>
      </c>
      <c r="I2414">
        <v>2023</v>
      </c>
      <c r="J2414">
        <v>1</v>
      </c>
      <c r="K2414" t="s">
        <v>36</v>
      </c>
      <c r="L2414">
        <v>0</v>
      </c>
      <c r="M2414">
        <v>1</v>
      </c>
    </row>
    <row r="2415" spans="1:13" x14ac:dyDescent="0.25">
      <c r="A2415" t="s">
        <v>1811</v>
      </c>
      <c r="B2415" t="s">
        <v>24</v>
      </c>
      <c r="C2415" t="s">
        <v>14</v>
      </c>
      <c r="D2415" t="s">
        <v>22</v>
      </c>
      <c r="E2415">
        <v>100</v>
      </c>
      <c r="F2415">
        <v>0.05</v>
      </c>
      <c r="G2415">
        <v>965</v>
      </c>
      <c r="H2415" s="1">
        <v>44945</v>
      </c>
      <c r="I2415">
        <v>2023</v>
      </c>
      <c r="J2415">
        <v>1</v>
      </c>
      <c r="K2415" t="s">
        <v>36</v>
      </c>
      <c r="L2415">
        <v>0</v>
      </c>
      <c r="M2415">
        <v>1</v>
      </c>
    </row>
    <row r="2416" spans="1:13" x14ac:dyDescent="0.25">
      <c r="A2416" t="s">
        <v>1471</v>
      </c>
      <c r="B2416" t="s">
        <v>342</v>
      </c>
      <c r="C2416" t="s">
        <v>14</v>
      </c>
      <c r="D2416" t="s">
        <v>15</v>
      </c>
      <c r="E2416">
        <v>62</v>
      </c>
      <c r="F2416">
        <v>0.09</v>
      </c>
      <c r="G2416">
        <v>233</v>
      </c>
      <c r="H2416" s="1">
        <v>44945</v>
      </c>
      <c r="I2416">
        <v>2023</v>
      </c>
      <c r="J2416">
        <v>1</v>
      </c>
      <c r="K2416" t="s">
        <v>36</v>
      </c>
      <c r="L2416">
        <v>0</v>
      </c>
      <c r="M2416">
        <v>1</v>
      </c>
    </row>
    <row r="2417" spans="1:13" x14ac:dyDescent="0.25">
      <c r="A2417" t="s">
        <v>945</v>
      </c>
      <c r="B2417" t="s">
        <v>18</v>
      </c>
      <c r="C2417" t="s">
        <v>14</v>
      </c>
      <c r="D2417" t="s">
        <v>20</v>
      </c>
      <c r="E2417">
        <v>46</v>
      </c>
      <c r="F2417" t="s">
        <v>21</v>
      </c>
      <c r="G2417">
        <v>21</v>
      </c>
      <c r="H2417" s="1">
        <v>44945</v>
      </c>
      <c r="I2417">
        <v>2023</v>
      </c>
      <c r="J2417">
        <v>1</v>
      </c>
      <c r="K2417" t="s">
        <v>30</v>
      </c>
      <c r="L2417" t="s">
        <v>21</v>
      </c>
      <c r="M2417">
        <v>1</v>
      </c>
    </row>
    <row r="2418" spans="1:13" x14ac:dyDescent="0.25">
      <c r="A2418" t="s">
        <v>1812</v>
      </c>
      <c r="B2418" t="s">
        <v>207</v>
      </c>
      <c r="C2418" t="s">
        <v>14</v>
      </c>
      <c r="D2418" t="s">
        <v>55</v>
      </c>
      <c r="E2418">
        <v>30</v>
      </c>
      <c r="F2418" t="s">
        <v>21</v>
      </c>
      <c r="G2418">
        <v>269</v>
      </c>
      <c r="H2418" s="1">
        <v>44945</v>
      </c>
      <c r="I2418">
        <v>2023</v>
      </c>
      <c r="J2418">
        <v>1</v>
      </c>
      <c r="K2418" t="s">
        <v>36</v>
      </c>
      <c r="L2418" t="s">
        <v>21</v>
      </c>
      <c r="M2418">
        <v>1</v>
      </c>
    </row>
    <row r="2419" spans="1:13" x14ac:dyDescent="0.25">
      <c r="A2419" t="s">
        <v>1813</v>
      </c>
      <c r="B2419" t="s">
        <v>66</v>
      </c>
      <c r="C2419" t="s">
        <v>14</v>
      </c>
      <c r="D2419" t="s">
        <v>22</v>
      </c>
      <c r="E2419" t="s">
        <v>21</v>
      </c>
      <c r="F2419">
        <v>1</v>
      </c>
      <c r="G2419">
        <v>2</v>
      </c>
      <c r="H2419" s="1">
        <v>44945</v>
      </c>
      <c r="I2419">
        <v>2023</v>
      </c>
      <c r="J2419">
        <v>1</v>
      </c>
      <c r="K2419" t="s">
        <v>16</v>
      </c>
      <c r="L2419">
        <v>1</v>
      </c>
      <c r="M2419">
        <v>1</v>
      </c>
    </row>
    <row r="2420" spans="1:13" x14ac:dyDescent="0.25">
      <c r="A2420" t="s">
        <v>1814</v>
      </c>
      <c r="B2420" t="s">
        <v>32</v>
      </c>
      <c r="C2420" t="s">
        <v>14</v>
      </c>
      <c r="D2420" t="s">
        <v>111</v>
      </c>
      <c r="E2420" t="s">
        <v>21</v>
      </c>
      <c r="F2420" t="s">
        <v>21</v>
      </c>
      <c r="G2420">
        <v>145</v>
      </c>
      <c r="H2420" s="1">
        <v>44945</v>
      </c>
      <c r="I2420">
        <v>2023</v>
      </c>
      <c r="J2420">
        <v>1</v>
      </c>
      <c r="K2420" t="s">
        <v>36</v>
      </c>
      <c r="L2420" t="s">
        <v>21</v>
      </c>
      <c r="M2420">
        <v>0</v>
      </c>
    </row>
    <row r="2421" spans="1:13" x14ac:dyDescent="0.25">
      <c r="A2421" t="s">
        <v>1815</v>
      </c>
      <c r="B2421" t="s">
        <v>70</v>
      </c>
      <c r="C2421" t="s">
        <v>14</v>
      </c>
      <c r="D2421" t="s">
        <v>22</v>
      </c>
      <c r="E2421" t="s">
        <v>21</v>
      </c>
      <c r="F2421" t="s">
        <v>21</v>
      </c>
      <c r="G2421">
        <v>21</v>
      </c>
      <c r="H2421" s="1">
        <v>44945</v>
      </c>
      <c r="I2421">
        <v>2023</v>
      </c>
      <c r="J2421">
        <v>1</v>
      </c>
      <c r="K2421" t="s">
        <v>30</v>
      </c>
      <c r="L2421" t="s">
        <v>21</v>
      </c>
      <c r="M2421">
        <v>0</v>
      </c>
    </row>
    <row r="2422" spans="1:13" x14ac:dyDescent="0.25">
      <c r="A2422" t="s">
        <v>1816</v>
      </c>
      <c r="B2422" t="s">
        <v>342</v>
      </c>
      <c r="C2422" t="s">
        <v>14</v>
      </c>
      <c r="D2422" t="s">
        <v>22</v>
      </c>
      <c r="E2422" t="s">
        <v>21</v>
      </c>
      <c r="F2422" t="s">
        <v>21</v>
      </c>
      <c r="G2422">
        <v>521</v>
      </c>
      <c r="H2422" s="1">
        <v>44945</v>
      </c>
      <c r="I2422">
        <v>2023</v>
      </c>
      <c r="J2422">
        <v>1</v>
      </c>
      <c r="K2422" t="s">
        <v>36</v>
      </c>
      <c r="L2422" t="s">
        <v>21</v>
      </c>
      <c r="M2422">
        <v>0</v>
      </c>
    </row>
    <row r="2423" spans="1:13" x14ac:dyDescent="0.25">
      <c r="A2423" t="s">
        <v>1817</v>
      </c>
      <c r="B2423" t="s">
        <v>54</v>
      </c>
      <c r="C2423" t="s">
        <v>14</v>
      </c>
      <c r="D2423" t="s">
        <v>15</v>
      </c>
      <c r="E2423" t="s">
        <v>21</v>
      </c>
      <c r="F2423">
        <v>0.06</v>
      </c>
      <c r="G2423">
        <v>400</v>
      </c>
      <c r="H2423" s="1">
        <v>44945</v>
      </c>
      <c r="I2423">
        <v>2023</v>
      </c>
      <c r="J2423">
        <v>1</v>
      </c>
      <c r="K2423" t="s">
        <v>36</v>
      </c>
      <c r="L2423">
        <v>0</v>
      </c>
      <c r="M2423">
        <v>1</v>
      </c>
    </row>
    <row r="2424" spans="1:13" x14ac:dyDescent="0.25">
      <c r="A2424" t="s">
        <v>1818</v>
      </c>
      <c r="B2424" t="s">
        <v>91</v>
      </c>
      <c r="C2424" t="s">
        <v>1362</v>
      </c>
      <c r="D2424" t="s">
        <v>68</v>
      </c>
      <c r="E2424" t="s">
        <v>21</v>
      </c>
      <c r="F2424">
        <v>0.7</v>
      </c>
      <c r="G2424">
        <v>13</v>
      </c>
      <c r="H2424" s="1">
        <v>44945</v>
      </c>
      <c r="I2424">
        <v>2023</v>
      </c>
      <c r="J2424">
        <v>1</v>
      </c>
      <c r="K2424" t="s">
        <v>30</v>
      </c>
      <c r="L2424">
        <v>0</v>
      </c>
      <c r="M2424">
        <v>1</v>
      </c>
    </row>
    <row r="2425" spans="1:13" x14ac:dyDescent="0.25">
      <c r="A2425" t="s">
        <v>1819</v>
      </c>
      <c r="B2425" t="s">
        <v>35</v>
      </c>
      <c r="C2425" t="s">
        <v>14</v>
      </c>
      <c r="D2425" t="s">
        <v>15</v>
      </c>
      <c r="E2425" t="s">
        <v>21</v>
      </c>
      <c r="F2425">
        <v>0.3</v>
      </c>
      <c r="G2425">
        <v>225</v>
      </c>
      <c r="H2425" s="1">
        <v>44945</v>
      </c>
      <c r="I2425">
        <v>2023</v>
      </c>
      <c r="J2425">
        <v>1</v>
      </c>
      <c r="K2425" t="s">
        <v>36</v>
      </c>
      <c r="L2425">
        <v>0</v>
      </c>
      <c r="M2425">
        <v>1</v>
      </c>
    </row>
    <row r="2426" spans="1:13" x14ac:dyDescent="0.25">
      <c r="A2426" t="s">
        <v>1820</v>
      </c>
      <c r="B2426" t="s">
        <v>38</v>
      </c>
      <c r="C2426" t="s">
        <v>14</v>
      </c>
      <c r="D2426" t="s">
        <v>33</v>
      </c>
      <c r="E2426" t="s">
        <v>21</v>
      </c>
      <c r="F2426">
        <v>0.28000000000000003</v>
      </c>
      <c r="G2426">
        <v>56</v>
      </c>
      <c r="H2426" s="1">
        <v>44945</v>
      </c>
      <c r="I2426">
        <v>2023</v>
      </c>
      <c r="J2426">
        <v>1</v>
      </c>
      <c r="K2426" t="s">
        <v>30</v>
      </c>
      <c r="L2426">
        <v>0</v>
      </c>
      <c r="M2426">
        <v>1</v>
      </c>
    </row>
    <row r="2427" spans="1:13" x14ac:dyDescent="0.25">
      <c r="A2427" t="s">
        <v>1821</v>
      </c>
      <c r="B2427" t="s">
        <v>77</v>
      </c>
      <c r="C2427" t="s">
        <v>42</v>
      </c>
      <c r="D2427" t="s">
        <v>68</v>
      </c>
      <c r="E2427" t="s">
        <v>21</v>
      </c>
      <c r="F2427" t="s">
        <v>21</v>
      </c>
      <c r="G2427">
        <v>41</v>
      </c>
      <c r="H2427" s="1">
        <v>44945</v>
      </c>
      <c r="I2427">
        <v>2023</v>
      </c>
      <c r="J2427">
        <v>1</v>
      </c>
      <c r="K2427" t="s">
        <v>30</v>
      </c>
      <c r="L2427" t="s">
        <v>21</v>
      </c>
      <c r="M2427">
        <v>0</v>
      </c>
    </row>
    <row r="2428" spans="1:13" x14ac:dyDescent="0.25">
      <c r="A2428" t="s">
        <v>1822</v>
      </c>
      <c r="B2428" t="s">
        <v>217</v>
      </c>
      <c r="C2428" t="s">
        <v>757</v>
      </c>
      <c r="D2428" t="s">
        <v>15</v>
      </c>
      <c r="E2428" t="s">
        <v>21</v>
      </c>
      <c r="F2428">
        <v>0.15</v>
      </c>
      <c r="G2428">
        <v>167</v>
      </c>
      <c r="H2428" s="1">
        <v>44945</v>
      </c>
      <c r="I2428">
        <v>2023</v>
      </c>
      <c r="J2428">
        <v>1</v>
      </c>
      <c r="K2428" t="s">
        <v>36</v>
      </c>
      <c r="L2428">
        <v>0</v>
      </c>
      <c r="M2428">
        <v>1</v>
      </c>
    </row>
    <row r="2429" spans="1:13" x14ac:dyDescent="0.25">
      <c r="A2429" t="s">
        <v>12</v>
      </c>
      <c r="B2429" t="s">
        <v>13</v>
      </c>
      <c r="C2429" t="s">
        <v>14</v>
      </c>
      <c r="D2429" t="s">
        <v>15</v>
      </c>
      <c r="E2429">
        <v>10000</v>
      </c>
      <c r="F2429">
        <v>0.05</v>
      </c>
      <c r="G2429">
        <v>1</v>
      </c>
      <c r="H2429" s="1">
        <v>44944</v>
      </c>
      <c r="I2429">
        <v>2023</v>
      </c>
      <c r="J2429">
        <v>1</v>
      </c>
      <c r="K2429" t="s">
        <v>16</v>
      </c>
      <c r="L2429">
        <v>0</v>
      </c>
      <c r="M2429">
        <v>1</v>
      </c>
    </row>
    <row r="2430" spans="1:13" x14ac:dyDescent="0.25">
      <c r="A2430" t="s">
        <v>493</v>
      </c>
      <c r="B2430" t="s">
        <v>28</v>
      </c>
      <c r="C2430" t="s">
        <v>80</v>
      </c>
      <c r="D2430" t="s">
        <v>20</v>
      </c>
      <c r="E2430">
        <v>450</v>
      </c>
      <c r="F2430">
        <v>0.1</v>
      </c>
      <c r="G2430">
        <v>125</v>
      </c>
      <c r="H2430" s="1">
        <v>44944</v>
      </c>
      <c r="I2430">
        <v>2023</v>
      </c>
      <c r="J2430">
        <v>1</v>
      </c>
      <c r="K2430" t="s">
        <v>36</v>
      </c>
      <c r="L2430">
        <v>0</v>
      </c>
      <c r="M2430">
        <v>1</v>
      </c>
    </row>
    <row r="2431" spans="1:13" x14ac:dyDescent="0.25">
      <c r="A2431" t="s">
        <v>1823</v>
      </c>
      <c r="B2431" t="s">
        <v>35</v>
      </c>
      <c r="C2431" t="s">
        <v>14</v>
      </c>
      <c r="D2431" t="s">
        <v>15</v>
      </c>
      <c r="E2431">
        <v>300</v>
      </c>
      <c r="F2431">
        <v>0.06</v>
      </c>
      <c r="G2431">
        <v>172</v>
      </c>
      <c r="H2431" s="1">
        <v>44944</v>
      </c>
      <c r="I2431">
        <v>2023</v>
      </c>
      <c r="J2431">
        <v>1</v>
      </c>
      <c r="K2431" t="s">
        <v>36</v>
      </c>
      <c r="L2431">
        <v>0</v>
      </c>
      <c r="M2431">
        <v>1</v>
      </c>
    </row>
    <row r="2432" spans="1:13" x14ac:dyDescent="0.25">
      <c r="A2432" t="s">
        <v>939</v>
      </c>
      <c r="B2432" t="s">
        <v>66</v>
      </c>
      <c r="C2432" t="s">
        <v>14</v>
      </c>
      <c r="D2432" t="s">
        <v>15</v>
      </c>
      <c r="E2432">
        <v>275</v>
      </c>
      <c r="F2432">
        <v>0.2</v>
      </c>
      <c r="G2432">
        <v>1300</v>
      </c>
      <c r="H2432" s="1">
        <v>44944</v>
      </c>
      <c r="I2432">
        <v>2023</v>
      </c>
      <c r="J2432">
        <v>1</v>
      </c>
      <c r="K2432" t="s">
        <v>26</v>
      </c>
      <c r="L2432">
        <v>0</v>
      </c>
      <c r="M2432">
        <v>1</v>
      </c>
    </row>
    <row r="2433" spans="1:13" x14ac:dyDescent="0.25">
      <c r="A2433" t="s">
        <v>1824</v>
      </c>
      <c r="B2433" t="s">
        <v>89</v>
      </c>
      <c r="C2433" t="s">
        <v>14</v>
      </c>
      <c r="D2433" t="s">
        <v>15</v>
      </c>
      <c r="E2433">
        <v>155</v>
      </c>
      <c r="F2433">
        <v>7.0000000000000007E-2</v>
      </c>
      <c r="G2433">
        <v>253</v>
      </c>
      <c r="H2433" s="1">
        <v>44944</v>
      </c>
      <c r="I2433">
        <v>2023</v>
      </c>
      <c r="J2433">
        <v>1</v>
      </c>
      <c r="K2433" t="s">
        <v>36</v>
      </c>
      <c r="L2433">
        <v>0</v>
      </c>
      <c r="M2433">
        <v>1</v>
      </c>
    </row>
    <row r="2434" spans="1:13" x14ac:dyDescent="0.25">
      <c r="A2434" t="s">
        <v>746</v>
      </c>
      <c r="B2434" t="s">
        <v>77</v>
      </c>
      <c r="C2434" t="s">
        <v>29</v>
      </c>
      <c r="D2434" t="s">
        <v>15</v>
      </c>
      <c r="E2434">
        <v>140</v>
      </c>
      <c r="F2434">
        <v>0.2</v>
      </c>
      <c r="G2434">
        <v>571</v>
      </c>
      <c r="H2434" s="1">
        <v>44944</v>
      </c>
      <c r="I2434">
        <v>2023</v>
      </c>
      <c r="J2434">
        <v>1</v>
      </c>
      <c r="K2434" t="s">
        <v>36</v>
      </c>
      <c r="L2434">
        <v>0</v>
      </c>
      <c r="M2434">
        <v>1</v>
      </c>
    </row>
    <row r="2435" spans="1:13" x14ac:dyDescent="0.25">
      <c r="A2435" t="s">
        <v>1825</v>
      </c>
      <c r="B2435" t="s">
        <v>13</v>
      </c>
      <c r="C2435" t="s">
        <v>174</v>
      </c>
      <c r="D2435" t="s">
        <v>22</v>
      </c>
      <c r="E2435">
        <v>137</v>
      </c>
      <c r="F2435">
        <v>0.14000000000000001</v>
      </c>
      <c r="G2435">
        <v>69</v>
      </c>
      <c r="H2435" s="1">
        <v>44944</v>
      </c>
      <c r="I2435">
        <v>2023</v>
      </c>
      <c r="J2435">
        <v>1</v>
      </c>
      <c r="K2435" t="s">
        <v>30</v>
      </c>
      <c r="L2435">
        <v>0</v>
      </c>
      <c r="M2435">
        <v>1</v>
      </c>
    </row>
    <row r="2436" spans="1:13" x14ac:dyDescent="0.25">
      <c r="A2436" t="s">
        <v>1307</v>
      </c>
      <c r="B2436" t="s">
        <v>73</v>
      </c>
      <c r="C2436" t="s">
        <v>14</v>
      </c>
      <c r="D2436" t="s">
        <v>15</v>
      </c>
      <c r="E2436">
        <v>109</v>
      </c>
      <c r="F2436">
        <v>0.12</v>
      </c>
      <c r="G2436">
        <v>179</v>
      </c>
      <c r="H2436" s="1">
        <v>44944</v>
      </c>
      <c r="I2436">
        <v>2023</v>
      </c>
      <c r="J2436">
        <v>1</v>
      </c>
      <c r="K2436" t="s">
        <v>36</v>
      </c>
      <c r="L2436">
        <v>0</v>
      </c>
      <c r="M2436">
        <v>1</v>
      </c>
    </row>
    <row r="2437" spans="1:13" x14ac:dyDescent="0.25">
      <c r="A2437" t="s">
        <v>1826</v>
      </c>
      <c r="B2437" t="s">
        <v>28</v>
      </c>
      <c r="C2437" t="s">
        <v>14</v>
      </c>
      <c r="D2437" t="s">
        <v>43</v>
      </c>
      <c r="E2437">
        <v>100</v>
      </c>
      <c r="F2437">
        <v>0.12</v>
      </c>
      <c r="G2437">
        <v>416</v>
      </c>
      <c r="H2437" s="1">
        <v>44944</v>
      </c>
      <c r="I2437">
        <v>2023</v>
      </c>
      <c r="J2437">
        <v>1</v>
      </c>
      <c r="K2437" t="s">
        <v>36</v>
      </c>
      <c r="L2437">
        <v>0</v>
      </c>
      <c r="M2437">
        <v>1</v>
      </c>
    </row>
    <row r="2438" spans="1:13" x14ac:dyDescent="0.25">
      <c r="A2438" t="s">
        <v>421</v>
      </c>
      <c r="B2438" t="s">
        <v>77</v>
      </c>
      <c r="C2438" t="s">
        <v>14</v>
      </c>
      <c r="D2438" t="s">
        <v>15</v>
      </c>
      <c r="E2438">
        <v>100</v>
      </c>
      <c r="F2438">
        <v>7.0000000000000007E-2</v>
      </c>
      <c r="G2438">
        <v>1100</v>
      </c>
      <c r="H2438" s="1">
        <v>44944</v>
      </c>
      <c r="I2438">
        <v>2023</v>
      </c>
      <c r="J2438">
        <v>1</v>
      </c>
      <c r="K2438" t="s">
        <v>26</v>
      </c>
      <c r="L2438">
        <v>0</v>
      </c>
      <c r="M2438">
        <v>1</v>
      </c>
    </row>
    <row r="2439" spans="1:13" x14ac:dyDescent="0.25">
      <c r="A2439" t="s">
        <v>1827</v>
      </c>
      <c r="B2439" t="s">
        <v>13</v>
      </c>
      <c r="C2439" t="s">
        <v>14</v>
      </c>
      <c r="D2439" t="s">
        <v>15</v>
      </c>
      <c r="E2439">
        <v>100</v>
      </c>
      <c r="F2439">
        <v>0.24</v>
      </c>
      <c r="G2439">
        <v>260</v>
      </c>
      <c r="H2439" s="1">
        <v>44944</v>
      </c>
      <c r="I2439">
        <v>2023</v>
      </c>
      <c r="J2439">
        <v>1</v>
      </c>
      <c r="K2439" t="s">
        <v>36</v>
      </c>
      <c r="L2439">
        <v>0</v>
      </c>
      <c r="M2439">
        <v>1</v>
      </c>
    </row>
    <row r="2440" spans="1:13" x14ac:dyDescent="0.25">
      <c r="A2440" t="s">
        <v>340</v>
      </c>
      <c r="B2440" t="s">
        <v>54</v>
      </c>
      <c r="C2440" t="s">
        <v>174</v>
      </c>
      <c r="D2440" t="s">
        <v>46</v>
      </c>
      <c r="E2440">
        <v>70</v>
      </c>
      <c r="F2440">
        <v>7.0000000000000007E-2</v>
      </c>
      <c r="G2440">
        <v>300</v>
      </c>
      <c r="H2440" s="1">
        <v>44944</v>
      </c>
      <c r="I2440">
        <v>2023</v>
      </c>
      <c r="J2440">
        <v>1</v>
      </c>
      <c r="K2440" t="s">
        <v>36</v>
      </c>
      <c r="L2440">
        <v>0</v>
      </c>
      <c r="M2440">
        <v>1</v>
      </c>
    </row>
    <row r="2441" spans="1:13" x14ac:dyDescent="0.25">
      <c r="A2441" t="s">
        <v>1828</v>
      </c>
      <c r="B2441" t="s">
        <v>35</v>
      </c>
      <c r="C2441" t="s">
        <v>83</v>
      </c>
      <c r="D2441" t="s">
        <v>22</v>
      </c>
      <c r="E2441">
        <v>31</v>
      </c>
      <c r="F2441">
        <v>0.31</v>
      </c>
      <c r="G2441">
        <v>47</v>
      </c>
      <c r="H2441" s="1">
        <v>44944</v>
      </c>
      <c r="I2441">
        <v>2023</v>
      </c>
      <c r="J2441">
        <v>1</v>
      </c>
      <c r="K2441" t="s">
        <v>30</v>
      </c>
      <c r="L2441">
        <v>0</v>
      </c>
      <c r="M2441">
        <v>1</v>
      </c>
    </row>
    <row r="2442" spans="1:13" x14ac:dyDescent="0.25">
      <c r="A2442" t="s">
        <v>1829</v>
      </c>
      <c r="B2442" t="s">
        <v>77</v>
      </c>
      <c r="C2442" t="s">
        <v>14</v>
      </c>
      <c r="D2442" t="s">
        <v>43</v>
      </c>
      <c r="E2442">
        <v>20</v>
      </c>
      <c r="F2442">
        <v>0.03</v>
      </c>
      <c r="G2442">
        <v>491</v>
      </c>
      <c r="H2442" s="1">
        <v>44944</v>
      </c>
      <c r="I2442">
        <v>2023</v>
      </c>
      <c r="J2442">
        <v>1</v>
      </c>
      <c r="K2442" t="s">
        <v>36</v>
      </c>
      <c r="L2442">
        <v>0</v>
      </c>
      <c r="M2442">
        <v>1</v>
      </c>
    </row>
    <row r="2443" spans="1:13" x14ac:dyDescent="0.25">
      <c r="A2443" t="s">
        <v>1830</v>
      </c>
      <c r="B2443" t="s">
        <v>95</v>
      </c>
      <c r="C2443" t="s">
        <v>14</v>
      </c>
      <c r="D2443" t="s">
        <v>22</v>
      </c>
      <c r="E2443" t="s">
        <v>21</v>
      </c>
      <c r="F2443">
        <v>0.1</v>
      </c>
      <c r="G2443">
        <v>275</v>
      </c>
      <c r="H2443" s="1">
        <v>44944</v>
      </c>
      <c r="I2443">
        <v>2023</v>
      </c>
      <c r="J2443">
        <v>1</v>
      </c>
      <c r="K2443" t="s">
        <v>36</v>
      </c>
      <c r="L2443">
        <v>0</v>
      </c>
      <c r="M2443">
        <v>1</v>
      </c>
    </row>
    <row r="2444" spans="1:13" x14ac:dyDescent="0.25">
      <c r="A2444" t="s">
        <v>1831</v>
      </c>
      <c r="B2444" t="s">
        <v>140</v>
      </c>
      <c r="C2444" t="s">
        <v>901</v>
      </c>
      <c r="D2444" t="s">
        <v>55</v>
      </c>
      <c r="E2444" t="s">
        <v>21</v>
      </c>
      <c r="F2444">
        <v>0.2</v>
      </c>
      <c r="G2444">
        <v>420</v>
      </c>
      <c r="H2444" s="1">
        <v>44944</v>
      </c>
      <c r="I2444">
        <v>2023</v>
      </c>
      <c r="J2444">
        <v>1</v>
      </c>
      <c r="K2444" t="s">
        <v>36</v>
      </c>
      <c r="L2444">
        <v>0</v>
      </c>
      <c r="M2444">
        <v>1</v>
      </c>
    </row>
    <row r="2445" spans="1:13" x14ac:dyDescent="0.25">
      <c r="A2445" t="s">
        <v>1832</v>
      </c>
      <c r="B2445" t="s">
        <v>18</v>
      </c>
      <c r="C2445" t="s">
        <v>14</v>
      </c>
      <c r="D2445" t="s">
        <v>15</v>
      </c>
      <c r="E2445" t="s">
        <v>21</v>
      </c>
      <c r="F2445">
        <v>0.15</v>
      </c>
      <c r="G2445">
        <v>946</v>
      </c>
      <c r="H2445" s="1">
        <v>44944</v>
      </c>
      <c r="I2445">
        <v>2023</v>
      </c>
      <c r="J2445">
        <v>1</v>
      </c>
      <c r="K2445" t="s">
        <v>36</v>
      </c>
      <c r="L2445">
        <v>0</v>
      </c>
      <c r="M2445">
        <v>1</v>
      </c>
    </row>
    <row r="2446" spans="1:13" x14ac:dyDescent="0.25">
      <c r="A2446" t="s">
        <v>1833</v>
      </c>
      <c r="B2446" t="s">
        <v>35</v>
      </c>
      <c r="C2446" t="s">
        <v>812</v>
      </c>
      <c r="D2446" t="s">
        <v>46</v>
      </c>
      <c r="E2446" t="s">
        <v>21</v>
      </c>
      <c r="F2446">
        <v>0.3</v>
      </c>
      <c r="G2446">
        <v>204</v>
      </c>
      <c r="H2446" s="1">
        <v>44944</v>
      </c>
      <c r="I2446">
        <v>2023</v>
      </c>
      <c r="J2446">
        <v>1</v>
      </c>
      <c r="K2446" t="s">
        <v>36</v>
      </c>
      <c r="L2446">
        <v>0</v>
      </c>
      <c r="M2446">
        <v>1</v>
      </c>
    </row>
    <row r="2447" spans="1:13" x14ac:dyDescent="0.25">
      <c r="A2447" t="s">
        <v>1834</v>
      </c>
      <c r="B2447" t="s">
        <v>66</v>
      </c>
      <c r="C2447" t="s">
        <v>80</v>
      </c>
      <c r="D2447" t="s">
        <v>15</v>
      </c>
      <c r="E2447" t="s">
        <v>21</v>
      </c>
      <c r="F2447" t="s">
        <v>21</v>
      </c>
      <c r="G2447">
        <v>2000</v>
      </c>
      <c r="H2447" s="1">
        <v>44944</v>
      </c>
      <c r="I2447">
        <v>2023</v>
      </c>
      <c r="J2447">
        <v>1</v>
      </c>
      <c r="K2447" t="s">
        <v>26</v>
      </c>
      <c r="L2447" t="s">
        <v>21</v>
      </c>
      <c r="M2447">
        <v>0</v>
      </c>
    </row>
    <row r="2448" spans="1:13" x14ac:dyDescent="0.25">
      <c r="A2448" t="s">
        <v>1835</v>
      </c>
      <c r="B2448" t="s">
        <v>13</v>
      </c>
      <c r="C2448" t="s">
        <v>14</v>
      </c>
      <c r="D2448" t="s">
        <v>55</v>
      </c>
      <c r="E2448" t="s">
        <v>21</v>
      </c>
      <c r="F2448" t="s">
        <v>21</v>
      </c>
      <c r="G2448">
        <v>240</v>
      </c>
      <c r="H2448" s="1">
        <v>44944</v>
      </c>
      <c r="I2448">
        <v>2023</v>
      </c>
      <c r="J2448">
        <v>1</v>
      </c>
      <c r="K2448" t="s">
        <v>36</v>
      </c>
      <c r="L2448" t="s">
        <v>21</v>
      </c>
      <c r="M2448">
        <v>0</v>
      </c>
    </row>
    <row r="2449" spans="1:13" x14ac:dyDescent="0.25">
      <c r="A2449" t="s">
        <v>737</v>
      </c>
      <c r="B2449" t="s">
        <v>114</v>
      </c>
      <c r="C2449" t="s">
        <v>14</v>
      </c>
      <c r="D2449" t="s">
        <v>33</v>
      </c>
      <c r="E2449" t="s">
        <v>21</v>
      </c>
      <c r="F2449" t="s">
        <v>21</v>
      </c>
      <c r="G2449">
        <v>54</v>
      </c>
      <c r="H2449" s="1">
        <v>44944</v>
      </c>
      <c r="I2449">
        <v>2023</v>
      </c>
      <c r="J2449">
        <v>1</v>
      </c>
      <c r="K2449" t="s">
        <v>30</v>
      </c>
      <c r="L2449" t="s">
        <v>21</v>
      </c>
      <c r="M2449">
        <v>0</v>
      </c>
    </row>
    <row r="2450" spans="1:13" x14ac:dyDescent="0.25">
      <c r="A2450" t="s">
        <v>1836</v>
      </c>
      <c r="B2450" t="s">
        <v>35</v>
      </c>
      <c r="C2450" t="s">
        <v>14</v>
      </c>
      <c r="D2450" t="s">
        <v>15</v>
      </c>
      <c r="E2450" t="s">
        <v>21</v>
      </c>
      <c r="F2450">
        <v>0.2</v>
      </c>
      <c r="G2450" t="s">
        <v>21</v>
      </c>
      <c r="H2450" s="1">
        <v>44944</v>
      </c>
      <c r="I2450">
        <v>2023</v>
      </c>
      <c r="J2450">
        <v>1</v>
      </c>
      <c r="K2450" t="s">
        <v>22</v>
      </c>
      <c r="L2450">
        <v>0</v>
      </c>
      <c r="M2450">
        <v>1</v>
      </c>
    </row>
    <row r="2451" spans="1:13" x14ac:dyDescent="0.25">
      <c r="A2451" t="s">
        <v>1837</v>
      </c>
      <c r="B2451" t="s">
        <v>140</v>
      </c>
      <c r="C2451" t="s">
        <v>14</v>
      </c>
      <c r="D2451" t="s">
        <v>20</v>
      </c>
      <c r="E2451" t="s">
        <v>21</v>
      </c>
      <c r="F2451" t="s">
        <v>21</v>
      </c>
      <c r="G2451">
        <v>854</v>
      </c>
      <c r="H2451" s="1">
        <v>44944</v>
      </c>
      <c r="I2451">
        <v>2023</v>
      </c>
      <c r="J2451">
        <v>1</v>
      </c>
      <c r="K2451" t="s">
        <v>36</v>
      </c>
      <c r="L2451" t="s">
        <v>21</v>
      </c>
      <c r="M2451">
        <v>0</v>
      </c>
    </row>
    <row r="2452" spans="1:13" x14ac:dyDescent="0.25">
      <c r="A2452" t="s">
        <v>1472</v>
      </c>
      <c r="B2452" t="s">
        <v>24</v>
      </c>
      <c r="C2452" t="s">
        <v>42</v>
      </c>
      <c r="D2452" t="s">
        <v>15</v>
      </c>
      <c r="E2452" t="s">
        <v>21</v>
      </c>
      <c r="F2452">
        <v>0.14000000000000001</v>
      </c>
      <c r="G2452">
        <v>55</v>
      </c>
      <c r="H2452" s="1">
        <v>44944</v>
      </c>
      <c r="I2452">
        <v>2023</v>
      </c>
      <c r="J2452">
        <v>1</v>
      </c>
      <c r="K2452" t="s">
        <v>30</v>
      </c>
      <c r="L2452">
        <v>0</v>
      </c>
      <c r="M2452">
        <v>1</v>
      </c>
    </row>
    <row r="2453" spans="1:13" x14ac:dyDescent="0.25">
      <c r="A2453" t="s">
        <v>559</v>
      </c>
      <c r="B2453" t="s">
        <v>24</v>
      </c>
      <c r="C2453" t="s">
        <v>174</v>
      </c>
      <c r="D2453" t="s">
        <v>15</v>
      </c>
      <c r="E2453">
        <v>300</v>
      </c>
      <c r="F2453">
        <v>0.1</v>
      </c>
      <c r="G2453">
        <v>1200</v>
      </c>
      <c r="H2453" s="1">
        <v>44943</v>
      </c>
      <c r="I2453">
        <v>2023</v>
      </c>
      <c r="J2453">
        <v>1</v>
      </c>
      <c r="K2453" t="s">
        <v>26</v>
      </c>
      <c r="L2453">
        <v>0</v>
      </c>
      <c r="M2453">
        <v>1</v>
      </c>
    </row>
    <row r="2454" spans="1:13" x14ac:dyDescent="0.25">
      <c r="A2454" t="s">
        <v>497</v>
      </c>
      <c r="B2454" t="s">
        <v>13</v>
      </c>
      <c r="C2454" t="s">
        <v>14</v>
      </c>
      <c r="D2454" t="s">
        <v>15</v>
      </c>
      <c r="E2454">
        <v>284</v>
      </c>
      <c r="F2454">
        <v>0.03</v>
      </c>
      <c r="G2454">
        <v>1300</v>
      </c>
      <c r="H2454" s="1">
        <v>44943</v>
      </c>
      <c r="I2454">
        <v>2023</v>
      </c>
      <c r="J2454">
        <v>1</v>
      </c>
      <c r="K2454" t="s">
        <v>26</v>
      </c>
      <c r="L2454">
        <v>0</v>
      </c>
      <c r="M2454">
        <v>1</v>
      </c>
    </row>
    <row r="2455" spans="1:13" x14ac:dyDescent="0.25">
      <c r="A2455" t="s">
        <v>1838</v>
      </c>
      <c r="B2455" t="s">
        <v>66</v>
      </c>
      <c r="C2455" t="s">
        <v>80</v>
      </c>
      <c r="D2455" t="s">
        <v>22</v>
      </c>
      <c r="E2455">
        <v>206</v>
      </c>
      <c r="F2455">
        <v>1</v>
      </c>
      <c r="G2455">
        <v>2400</v>
      </c>
      <c r="H2455" s="1">
        <v>44943</v>
      </c>
      <c r="I2455">
        <v>2023</v>
      </c>
      <c r="J2455">
        <v>1</v>
      </c>
      <c r="K2455" t="s">
        <v>26</v>
      </c>
      <c r="L2455">
        <v>1</v>
      </c>
      <c r="M2455">
        <v>1</v>
      </c>
    </row>
    <row r="2456" spans="1:13" x14ac:dyDescent="0.25">
      <c r="A2456" t="s">
        <v>1839</v>
      </c>
      <c r="B2456" t="s">
        <v>66</v>
      </c>
      <c r="C2456" t="s">
        <v>174</v>
      </c>
      <c r="D2456" t="s">
        <v>22</v>
      </c>
      <c r="E2456">
        <v>150</v>
      </c>
      <c r="F2456" t="s">
        <v>21</v>
      </c>
      <c r="G2456">
        <v>253</v>
      </c>
      <c r="H2456" s="1">
        <v>44943</v>
      </c>
      <c r="I2456">
        <v>2023</v>
      </c>
      <c r="J2456">
        <v>1</v>
      </c>
      <c r="K2456" t="s">
        <v>36</v>
      </c>
      <c r="L2456" t="s">
        <v>21</v>
      </c>
      <c r="M2456">
        <v>1</v>
      </c>
    </row>
    <row r="2457" spans="1:13" x14ac:dyDescent="0.25">
      <c r="A2457" t="s">
        <v>1840</v>
      </c>
      <c r="B2457" t="s">
        <v>89</v>
      </c>
      <c r="C2457" t="s">
        <v>48</v>
      </c>
      <c r="D2457" t="s">
        <v>55</v>
      </c>
      <c r="E2457">
        <v>142</v>
      </c>
      <c r="F2457">
        <v>0.15</v>
      </c>
      <c r="G2457">
        <v>87</v>
      </c>
      <c r="H2457" s="1">
        <v>44943</v>
      </c>
      <c r="I2457">
        <v>2023</v>
      </c>
      <c r="J2457">
        <v>1</v>
      </c>
      <c r="K2457" t="s">
        <v>30</v>
      </c>
      <c r="L2457">
        <v>0</v>
      </c>
      <c r="M2457">
        <v>1</v>
      </c>
    </row>
    <row r="2458" spans="1:13" x14ac:dyDescent="0.25">
      <c r="A2458" t="s">
        <v>1841</v>
      </c>
      <c r="B2458" t="s">
        <v>13</v>
      </c>
      <c r="C2458" t="s">
        <v>230</v>
      </c>
      <c r="D2458" t="s">
        <v>55</v>
      </c>
      <c r="E2458">
        <v>110</v>
      </c>
      <c r="F2458">
        <v>0.1</v>
      </c>
      <c r="G2458">
        <v>336</v>
      </c>
      <c r="H2458" s="1">
        <v>44943</v>
      </c>
      <c r="I2458">
        <v>2023</v>
      </c>
      <c r="J2458">
        <v>1</v>
      </c>
      <c r="K2458" t="s">
        <v>36</v>
      </c>
      <c r="L2458">
        <v>0</v>
      </c>
      <c r="M2458">
        <v>1</v>
      </c>
    </row>
    <row r="2459" spans="1:13" x14ac:dyDescent="0.25">
      <c r="A2459" t="s">
        <v>1842</v>
      </c>
      <c r="B2459" t="s">
        <v>533</v>
      </c>
      <c r="C2459" t="s">
        <v>1843</v>
      </c>
      <c r="D2459" t="s">
        <v>33</v>
      </c>
      <c r="E2459">
        <v>100</v>
      </c>
      <c r="F2459" t="s">
        <v>21</v>
      </c>
      <c r="G2459">
        <v>218</v>
      </c>
      <c r="H2459" s="1">
        <v>44943</v>
      </c>
      <c r="I2459">
        <v>2023</v>
      </c>
      <c r="J2459">
        <v>1</v>
      </c>
      <c r="K2459" t="s">
        <v>36</v>
      </c>
      <c r="L2459" t="s">
        <v>21</v>
      </c>
      <c r="M2459">
        <v>1</v>
      </c>
    </row>
    <row r="2460" spans="1:13" x14ac:dyDescent="0.25">
      <c r="A2460" t="s">
        <v>1844</v>
      </c>
      <c r="B2460" t="s">
        <v>13</v>
      </c>
      <c r="C2460" t="s">
        <v>14</v>
      </c>
      <c r="D2460" t="s">
        <v>20</v>
      </c>
      <c r="E2460">
        <v>50</v>
      </c>
      <c r="F2460">
        <v>0.65</v>
      </c>
      <c r="G2460">
        <v>92</v>
      </c>
      <c r="H2460" s="1">
        <v>44943</v>
      </c>
      <c r="I2460">
        <v>2023</v>
      </c>
      <c r="J2460">
        <v>1</v>
      </c>
      <c r="K2460" t="s">
        <v>30</v>
      </c>
      <c r="L2460">
        <v>0</v>
      </c>
      <c r="M2460">
        <v>1</v>
      </c>
    </row>
    <row r="2461" spans="1:13" x14ac:dyDescent="0.25">
      <c r="A2461" t="s">
        <v>1845</v>
      </c>
      <c r="B2461" t="s">
        <v>91</v>
      </c>
      <c r="C2461" t="s">
        <v>14</v>
      </c>
      <c r="D2461" t="s">
        <v>33</v>
      </c>
      <c r="E2461">
        <v>44</v>
      </c>
      <c r="F2461" t="s">
        <v>21</v>
      </c>
      <c r="G2461">
        <v>31</v>
      </c>
      <c r="H2461" s="1">
        <v>44943</v>
      </c>
      <c r="I2461">
        <v>2023</v>
      </c>
      <c r="J2461">
        <v>1</v>
      </c>
      <c r="K2461" t="s">
        <v>30</v>
      </c>
      <c r="L2461" t="s">
        <v>21</v>
      </c>
      <c r="M2461">
        <v>1</v>
      </c>
    </row>
    <row r="2462" spans="1:13" x14ac:dyDescent="0.25">
      <c r="A2462" t="s">
        <v>1846</v>
      </c>
      <c r="B2462" t="s">
        <v>13</v>
      </c>
      <c r="C2462" t="s">
        <v>14</v>
      </c>
      <c r="D2462" t="s">
        <v>15</v>
      </c>
      <c r="E2462">
        <v>30</v>
      </c>
      <c r="F2462" t="s">
        <v>21</v>
      </c>
      <c r="G2462">
        <v>44</v>
      </c>
      <c r="H2462" s="1">
        <v>44943</v>
      </c>
      <c r="I2462">
        <v>2023</v>
      </c>
      <c r="J2462">
        <v>1</v>
      </c>
      <c r="K2462" t="s">
        <v>30</v>
      </c>
      <c r="L2462" t="s">
        <v>21</v>
      </c>
      <c r="M2462">
        <v>1</v>
      </c>
    </row>
    <row r="2463" spans="1:13" x14ac:dyDescent="0.25">
      <c r="A2463" t="s">
        <v>587</v>
      </c>
      <c r="B2463" t="s">
        <v>13</v>
      </c>
      <c r="C2463" t="s">
        <v>14</v>
      </c>
      <c r="D2463" t="s">
        <v>15</v>
      </c>
      <c r="E2463" t="s">
        <v>21</v>
      </c>
      <c r="F2463" t="s">
        <v>21</v>
      </c>
      <c r="G2463">
        <v>700</v>
      </c>
      <c r="H2463" s="1">
        <v>44943</v>
      </c>
      <c r="I2463">
        <v>2023</v>
      </c>
      <c r="J2463">
        <v>1</v>
      </c>
      <c r="K2463" t="s">
        <v>36</v>
      </c>
      <c r="L2463" t="s">
        <v>21</v>
      </c>
      <c r="M2463">
        <v>0</v>
      </c>
    </row>
    <row r="2464" spans="1:13" x14ac:dyDescent="0.25">
      <c r="A2464" t="s">
        <v>1847</v>
      </c>
      <c r="B2464" t="s">
        <v>18</v>
      </c>
      <c r="C2464" t="s">
        <v>161</v>
      </c>
      <c r="D2464" t="s">
        <v>22</v>
      </c>
      <c r="E2464" t="s">
        <v>21</v>
      </c>
      <c r="F2464" t="s">
        <v>21</v>
      </c>
      <c r="G2464">
        <v>59</v>
      </c>
      <c r="H2464" s="1">
        <v>44943</v>
      </c>
      <c r="I2464">
        <v>2023</v>
      </c>
      <c r="J2464">
        <v>1</v>
      </c>
      <c r="K2464" t="s">
        <v>30</v>
      </c>
      <c r="L2464" t="s">
        <v>21</v>
      </c>
      <c r="M2464">
        <v>0</v>
      </c>
    </row>
    <row r="2465" spans="1:13" x14ac:dyDescent="0.25">
      <c r="A2465" t="s">
        <v>1848</v>
      </c>
      <c r="B2465" t="s">
        <v>66</v>
      </c>
      <c r="C2465" t="s">
        <v>48</v>
      </c>
      <c r="D2465" t="s">
        <v>46</v>
      </c>
      <c r="E2465" t="s">
        <v>21</v>
      </c>
      <c r="F2465">
        <v>0.7</v>
      </c>
      <c r="G2465">
        <v>54</v>
      </c>
      <c r="H2465" s="1">
        <v>44943</v>
      </c>
      <c r="I2465">
        <v>2023</v>
      </c>
      <c r="J2465">
        <v>1</v>
      </c>
      <c r="K2465" t="s">
        <v>30</v>
      </c>
      <c r="L2465">
        <v>0</v>
      </c>
      <c r="M2465">
        <v>1</v>
      </c>
    </row>
    <row r="2466" spans="1:13" x14ac:dyDescent="0.25">
      <c r="A2466" t="s">
        <v>991</v>
      </c>
      <c r="B2466" t="s">
        <v>89</v>
      </c>
      <c r="C2466" t="s">
        <v>14</v>
      </c>
      <c r="D2466" t="s">
        <v>15</v>
      </c>
      <c r="E2466" t="s">
        <v>21</v>
      </c>
      <c r="F2466">
        <v>0.16</v>
      </c>
      <c r="G2466">
        <v>12</v>
      </c>
      <c r="H2466" s="1">
        <v>44943</v>
      </c>
      <c r="I2466">
        <v>2023</v>
      </c>
      <c r="J2466">
        <v>1</v>
      </c>
      <c r="K2466" t="s">
        <v>30</v>
      </c>
      <c r="L2466">
        <v>0</v>
      </c>
      <c r="M2466">
        <v>1</v>
      </c>
    </row>
    <row r="2467" spans="1:13" x14ac:dyDescent="0.25">
      <c r="A2467" t="s">
        <v>60</v>
      </c>
      <c r="B2467" t="s">
        <v>13</v>
      </c>
      <c r="C2467" t="s">
        <v>14</v>
      </c>
      <c r="D2467" t="s">
        <v>15</v>
      </c>
      <c r="E2467" t="s">
        <v>21</v>
      </c>
      <c r="F2467" t="s">
        <v>21</v>
      </c>
      <c r="G2467" t="s">
        <v>21</v>
      </c>
      <c r="H2467" s="1">
        <v>44943</v>
      </c>
      <c r="I2467">
        <v>2023</v>
      </c>
      <c r="J2467">
        <v>1</v>
      </c>
      <c r="K2467" t="s">
        <v>22</v>
      </c>
      <c r="L2467" t="s">
        <v>21</v>
      </c>
      <c r="M2467">
        <v>0</v>
      </c>
    </row>
    <row r="2468" spans="1:13" x14ac:dyDescent="0.25">
      <c r="A2468" t="s">
        <v>1849</v>
      </c>
      <c r="B2468" t="s">
        <v>95</v>
      </c>
      <c r="C2468" t="s">
        <v>1850</v>
      </c>
      <c r="D2468" t="s">
        <v>22</v>
      </c>
      <c r="E2468" t="s">
        <v>21</v>
      </c>
      <c r="F2468" t="s">
        <v>21</v>
      </c>
      <c r="G2468">
        <v>2300</v>
      </c>
      <c r="H2468" s="1">
        <v>44943</v>
      </c>
      <c r="I2468">
        <v>2023</v>
      </c>
      <c r="J2468">
        <v>1</v>
      </c>
      <c r="K2468" t="s">
        <v>26</v>
      </c>
      <c r="L2468" t="s">
        <v>21</v>
      </c>
      <c r="M2468">
        <v>0</v>
      </c>
    </row>
    <row r="2469" spans="1:13" x14ac:dyDescent="0.25">
      <c r="A2469" t="s">
        <v>1851</v>
      </c>
      <c r="B2469" t="s">
        <v>77</v>
      </c>
      <c r="C2469" t="s">
        <v>14</v>
      </c>
      <c r="D2469" t="s">
        <v>20</v>
      </c>
      <c r="E2469" t="s">
        <v>21</v>
      </c>
      <c r="F2469" t="s">
        <v>21</v>
      </c>
      <c r="G2469">
        <v>2</v>
      </c>
      <c r="H2469" s="1">
        <v>44943</v>
      </c>
      <c r="I2469">
        <v>2023</v>
      </c>
      <c r="J2469">
        <v>1</v>
      </c>
      <c r="K2469" t="s">
        <v>16</v>
      </c>
      <c r="L2469" t="s">
        <v>21</v>
      </c>
      <c r="M2469">
        <v>0</v>
      </c>
    </row>
    <row r="2470" spans="1:13" x14ac:dyDescent="0.25">
      <c r="A2470" t="s">
        <v>1852</v>
      </c>
      <c r="B2470" t="s">
        <v>77</v>
      </c>
      <c r="C2470" t="s">
        <v>230</v>
      </c>
      <c r="D2470" t="s">
        <v>15</v>
      </c>
      <c r="E2470" t="s">
        <v>21</v>
      </c>
      <c r="F2470" t="s">
        <v>21</v>
      </c>
      <c r="G2470" t="s">
        <v>21</v>
      </c>
      <c r="H2470" s="1">
        <v>44943</v>
      </c>
      <c r="I2470">
        <v>2023</v>
      </c>
      <c r="J2470">
        <v>1</v>
      </c>
      <c r="K2470" t="s">
        <v>22</v>
      </c>
      <c r="L2470" t="s">
        <v>21</v>
      </c>
      <c r="M2470">
        <v>0</v>
      </c>
    </row>
    <row r="2471" spans="1:13" x14ac:dyDescent="0.25">
      <c r="A2471" t="s">
        <v>1853</v>
      </c>
      <c r="B2471" t="s">
        <v>77</v>
      </c>
      <c r="C2471" t="s">
        <v>230</v>
      </c>
      <c r="D2471" t="s">
        <v>15</v>
      </c>
      <c r="E2471">
        <v>500</v>
      </c>
      <c r="F2471">
        <v>7.0000000000000007E-2</v>
      </c>
      <c r="G2471" t="s">
        <v>21</v>
      </c>
      <c r="H2471" s="1">
        <v>44942</v>
      </c>
      <c r="I2471">
        <v>2023</v>
      </c>
      <c r="J2471">
        <v>1</v>
      </c>
      <c r="K2471" t="s">
        <v>22</v>
      </c>
      <c r="L2471">
        <v>0</v>
      </c>
      <c r="M2471">
        <v>1</v>
      </c>
    </row>
    <row r="2472" spans="1:13" x14ac:dyDescent="0.25">
      <c r="A2472" t="s">
        <v>525</v>
      </c>
      <c r="B2472" t="s">
        <v>18</v>
      </c>
      <c r="C2472" t="s">
        <v>48</v>
      </c>
      <c r="D2472" t="s">
        <v>347</v>
      </c>
      <c r="E2472">
        <v>500</v>
      </c>
      <c r="F2472">
        <v>0.2</v>
      </c>
      <c r="G2472">
        <v>1700</v>
      </c>
      <c r="H2472" s="1">
        <v>44942</v>
      </c>
      <c r="I2472">
        <v>2023</v>
      </c>
      <c r="J2472">
        <v>1</v>
      </c>
      <c r="K2472" t="s">
        <v>26</v>
      </c>
      <c r="L2472">
        <v>0</v>
      </c>
      <c r="M2472">
        <v>1</v>
      </c>
    </row>
    <row r="2473" spans="1:13" x14ac:dyDescent="0.25">
      <c r="A2473" t="s">
        <v>1854</v>
      </c>
      <c r="B2473" t="s">
        <v>95</v>
      </c>
      <c r="C2473" t="s">
        <v>48</v>
      </c>
      <c r="D2473" t="s">
        <v>33</v>
      </c>
      <c r="E2473">
        <v>75</v>
      </c>
      <c r="F2473" t="s">
        <v>21</v>
      </c>
      <c r="G2473">
        <v>17</v>
      </c>
      <c r="H2473" s="1">
        <v>44942</v>
      </c>
      <c r="I2473">
        <v>2023</v>
      </c>
      <c r="J2473">
        <v>1</v>
      </c>
      <c r="K2473" t="s">
        <v>30</v>
      </c>
      <c r="L2473" t="s">
        <v>21</v>
      </c>
      <c r="M2473">
        <v>1</v>
      </c>
    </row>
    <row r="2474" spans="1:13" x14ac:dyDescent="0.25">
      <c r="A2474" t="s">
        <v>1855</v>
      </c>
      <c r="B2474" t="s">
        <v>77</v>
      </c>
      <c r="C2474" t="s">
        <v>174</v>
      </c>
      <c r="D2474" t="s">
        <v>46</v>
      </c>
      <c r="E2474">
        <v>50</v>
      </c>
      <c r="F2474">
        <v>0.3</v>
      </c>
      <c r="G2474">
        <v>698</v>
      </c>
      <c r="H2474" s="1">
        <v>44942</v>
      </c>
      <c r="I2474">
        <v>2023</v>
      </c>
      <c r="J2474">
        <v>1</v>
      </c>
      <c r="K2474" t="s">
        <v>36</v>
      </c>
      <c r="L2474">
        <v>0</v>
      </c>
      <c r="M2474">
        <v>1</v>
      </c>
    </row>
    <row r="2475" spans="1:13" x14ac:dyDescent="0.25">
      <c r="A2475" t="s">
        <v>654</v>
      </c>
      <c r="B2475" t="s">
        <v>95</v>
      </c>
      <c r="C2475" t="s">
        <v>48</v>
      </c>
      <c r="D2475" t="s">
        <v>22</v>
      </c>
      <c r="E2475" t="s">
        <v>21</v>
      </c>
      <c r="F2475">
        <v>0.03</v>
      </c>
      <c r="G2475">
        <v>382</v>
      </c>
      <c r="H2475" s="1">
        <v>44942</v>
      </c>
      <c r="I2475">
        <v>2023</v>
      </c>
      <c r="J2475">
        <v>1</v>
      </c>
      <c r="K2475" t="s">
        <v>36</v>
      </c>
      <c r="L2475">
        <v>0</v>
      </c>
      <c r="M2475">
        <v>1</v>
      </c>
    </row>
    <row r="2476" spans="1:13" x14ac:dyDescent="0.25">
      <c r="A2476" t="s">
        <v>1856</v>
      </c>
      <c r="B2476" t="s">
        <v>77</v>
      </c>
      <c r="C2476" t="s">
        <v>42</v>
      </c>
      <c r="D2476" t="s">
        <v>46</v>
      </c>
      <c r="E2476" t="s">
        <v>21</v>
      </c>
      <c r="F2476">
        <v>0.1</v>
      </c>
      <c r="G2476">
        <v>74</v>
      </c>
      <c r="H2476" s="1">
        <v>44942</v>
      </c>
      <c r="I2476">
        <v>2023</v>
      </c>
      <c r="J2476">
        <v>1</v>
      </c>
      <c r="K2476" t="s">
        <v>30</v>
      </c>
      <c r="L2476">
        <v>0</v>
      </c>
      <c r="M2476">
        <v>1</v>
      </c>
    </row>
    <row r="2477" spans="1:13" x14ac:dyDescent="0.25">
      <c r="A2477" t="s">
        <v>1857</v>
      </c>
      <c r="B2477" t="s">
        <v>95</v>
      </c>
      <c r="C2477" t="s">
        <v>48</v>
      </c>
      <c r="D2477" t="s">
        <v>22</v>
      </c>
      <c r="E2477" t="s">
        <v>21</v>
      </c>
      <c r="F2477">
        <v>0.02</v>
      </c>
      <c r="G2477">
        <v>548</v>
      </c>
      <c r="H2477" s="1">
        <v>44942</v>
      </c>
      <c r="I2477">
        <v>2023</v>
      </c>
      <c r="J2477">
        <v>1</v>
      </c>
      <c r="K2477" t="s">
        <v>36</v>
      </c>
      <c r="L2477">
        <v>0</v>
      </c>
      <c r="M2477">
        <v>1</v>
      </c>
    </row>
    <row r="2478" spans="1:13" x14ac:dyDescent="0.25">
      <c r="A2478" t="s">
        <v>1858</v>
      </c>
      <c r="B2478" t="s">
        <v>95</v>
      </c>
      <c r="C2478" t="s">
        <v>48</v>
      </c>
      <c r="D2478" t="s">
        <v>46</v>
      </c>
      <c r="E2478">
        <v>120</v>
      </c>
      <c r="F2478" t="s">
        <v>21</v>
      </c>
      <c r="G2478">
        <v>126</v>
      </c>
      <c r="H2478" s="1">
        <v>44941</v>
      </c>
      <c r="I2478">
        <v>2023</v>
      </c>
      <c r="J2478">
        <v>1</v>
      </c>
      <c r="K2478" t="s">
        <v>36</v>
      </c>
      <c r="L2478" t="s">
        <v>21</v>
      </c>
      <c r="M2478">
        <v>1</v>
      </c>
    </row>
    <row r="2479" spans="1:13" x14ac:dyDescent="0.25">
      <c r="A2479" t="s">
        <v>1859</v>
      </c>
      <c r="B2479" t="s">
        <v>54</v>
      </c>
      <c r="C2479" t="s">
        <v>14</v>
      </c>
      <c r="D2479" t="s">
        <v>46</v>
      </c>
      <c r="E2479">
        <v>100</v>
      </c>
      <c r="F2479">
        <v>0.3</v>
      </c>
      <c r="G2479">
        <v>104</v>
      </c>
      <c r="H2479" s="1">
        <v>44941</v>
      </c>
      <c r="I2479">
        <v>2023</v>
      </c>
      <c r="J2479">
        <v>1</v>
      </c>
      <c r="K2479" t="s">
        <v>36</v>
      </c>
      <c r="L2479">
        <v>0</v>
      </c>
      <c r="M2479">
        <v>1</v>
      </c>
    </row>
    <row r="2480" spans="1:13" x14ac:dyDescent="0.25">
      <c r="A2480" t="s">
        <v>326</v>
      </c>
      <c r="B2480" t="s">
        <v>95</v>
      </c>
      <c r="C2480" t="s">
        <v>48</v>
      </c>
      <c r="D2480" t="s">
        <v>68</v>
      </c>
      <c r="E2480">
        <v>40</v>
      </c>
      <c r="F2480">
        <v>0.43</v>
      </c>
      <c r="G2480">
        <v>21</v>
      </c>
      <c r="H2480" s="1">
        <v>44941</v>
      </c>
      <c r="I2480">
        <v>2023</v>
      </c>
      <c r="J2480">
        <v>1</v>
      </c>
      <c r="K2480" t="s">
        <v>30</v>
      </c>
      <c r="L2480">
        <v>0</v>
      </c>
      <c r="M2480">
        <v>1</v>
      </c>
    </row>
    <row r="2481" spans="1:13" x14ac:dyDescent="0.25">
      <c r="A2481" t="s">
        <v>1860</v>
      </c>
      <c r="B2481" t="s">
        <v>95</v>
      </c>
      <c r="C2481" t="s">
        <v>48</v>
      </c>
      <c r="D2481" t="s">
        <v>111</v>
      </c>
      <c r="E2481" t="s">
        <v>21</v>
      </c>
      <c r="F2481">
        <v>0.05</v>
      </c>
      <c r="G2481">
        <v>254</v>
      </c>
      <c r="H2481" s="1">
        <v>44941</v>
      </c>
      <c r="I2481">
        <v>2023</v>
      </c>
      <c r="J2481">
        <v>1</v>
      </c>
      <c r="K2481" t="s">
        <v>36</v>
      </c>
      <c r="L2481">
        <v>0</v>
      </c>
      <c r="M2481">
        <v>1</v>
      </c>
    </row>
    <row r="2482" spans="1:13" x14ac:dyDescent="0.25">
      <c r="A2482" t="s">
        <v>1861</v>
      </c>
      <c r="B2482" t="s">
        <v>70</v>
      </c>
      <c r="C2482" t="s">
        <v>657</v>
      </c>
      <c r="D2482" t="s">
        <v>22</v>
      </c>
      <c r="E2482">
        <v>900</v>
      </c>
      <c r="F2482" t="s">
        <v>21</v>
      </c>
      <c r="G2482" t="s">
        <v>21</v>
      </c>
      <c r="H2482" s="1">
        <v>44939</v>
      </c>
      <c r="I2482">
        <v>2023</v>
      </c>
      <c r="J2482">
        <v>1</v>
      </c>
      <c r="K2482" t="s">
        <v>22</v>
      </c>
      <c r="L2482" t="s">
        <v>21</v>
      </c>
      <c r="M2482">
        <v>1</v>
      </c>
    </row>
    <row r="2483" spans="1:13" x14ac:dyDescent="0.25">
      <c r="A2483" t="s">
        <v>790</v>
      </c>
      <c r="B2483" t="s">
        <v>66</v>
      </c>
      <c r="C2483" t="s">
        <v>48</v>
      </c>
      <c r="D2483" t="s">
        <v>429</v>
      </c>
      <c r="E2483">
        <v>200</v>
      </c>
      <c r="F2483" t="s">
        <v>21</v>
      </c>
      <c r="G2483">
        <v>5000</v>
      </c>
      <c r="H2483" s="1">
        <v>44939</v>
      </c>
      <c r="I2483">
        <v>2023</v>
      </c>
      <c r="J2483">
        <v>1</v>
      </c>
      <c r="K2483" t="s">
        <v>26</v>
      </c>
      <c r="L2483" t="s">
        <v>21</v>
      </c>
      <c r="M2483">
        <v>1</v>
      </c>
    </row>
    <row r="2484" spans="1:13" x14ac:dyDescent="0.25">
      <c r="A2484" t="s">
        <v>1175</v>
      </c>
      <c r="B2484" t="s">
        <v>13</v>
      </c>
      <c r="C2484" t="s">
        <v>14</v>
      </c>
      <c r="D2484" t="s">
        <v>22</v>
      </c>
      <c r="E2484">
        <v>140</v>
      </c>
      <c r="F2484">
        <v>0.1</v>
      </c>
      <c r="G2484" t="s">
        <v>21</v>
      </c>
      <c r="H2484" s="1">
        <v>44939</v>
      </c>
      <c r="I2484">
        <v>2023</v>
      </c>
      <c r="J2484">
        <v>1</v>
      </c>
      <c r="K2484" t="s">
        <v>22</v>
      </c>
      <c r="L2484">
        <v>0</v>
      </c>
      <c r="M2484">
        <v>1</v>
      </c>
    </row>
    <row r="2485" spans="1:13" x14ac:dyDescent="0.25">
      <c r="A2485" t="s">
        <v>1862</v>
      </c>
      <c r="B2485" t="s">
        <v>35</v>
      </c>
      <c r="C2485" t="s">
        <v>14</v>
      </c>
      <c r="D2485" t="s">
        <v>33</v>
      </c>
      <c r="E2485">
        <v>40</v>
      </c>
      <c r="F2485" t="s">
        <v>21</v>
      </c>
      <c r="G2485">
        <v>101</v>
      </c>
      <c r="H2485" s="1">
        <v>44939</v>
      </c>
      <c r="I2485">
        <v>2023</v>
      </c>
      <c r="J2485">
        <v>1</v>
      </c>
      <c r="K2485" t="s">
        <v>36</v>
      </c>
      <c r="L2485" t="s">
        <v>21</v>
      </c>
      <c r="M2485">
        <v>1</v>
      </c>
    </row>
    <row r="2486" spans="1:13" x14ac:dyDescent="0.25">
      <c r="A2486" t="s">
        <v>1665</v>
      </c>
      <c r="B2486" t="s">
        <v>35</v>
      </c>
      <c r="C2486" t="s">
        <v>14</v>
      </c>
      <c r="D2486" t="s">
        <v>46</v>
      </c>
      <c r="E2486" t="s">
        <v>21</v>
      </c>
      <c r="F2486">
        <v>1</v>
      </c>
      <c r="G2486">
        <v>155</v>
      </c>
      <c r="H2486" s="1">
        <v>44939</v>
      </c>
      <c r="I2486">
        <v>2023</v>
      </c>
      <c r="J2486">
        <v>1</v>
      </c>
      <c r="K2486" t="s">
        <v>36</v>
      </c>
      <c r="L2486">
        <v>1</v>
      </c>
      <c r="M2486">
        <v>1</v>
      </c>
    </row>
    <row r="2487" spans="1:13" x14ac:dyDescent="0.25">
      <c r="A2487" t="s">
        <v>1863</v>
      </c>
      <c r="B2487" t="s">
        <v>66</v>
      </c>
      <c r="C2487" t="s">
        <v>14</v>
      </c>
      <c r="D2487" t="s">
        <v>15</v>
      </c>
      <c r="E2487" t="s">
        <v>21</v>
      </c>
      <c r="F2487" t="s">
        <v>21</v>
      </c>
      <c r="G2487">
        <v>1600</v>
      </c>
      <c r="H2487" s="1">
        <v>44939</v>
      </c>
      <c r="I2487">
        <v>2023</v>
      </c>
      <c r="J2487">
        <v>1</v>
      </c>
      <c r="K2487" t="s">
        <v>26</v>
      </c>
      <c r="L2487" t="s">
        <v>21</v>
      </c>
      <c r="M2487">
        <v>0</v>
      </c>
    </row>
    <row r="2488" spans="1:13" x14ac:dyDescent="0.25">
      <c r="A2488" t="s">
        <v>1864</v>
      </c>
      <c r="B2488" t="s">
        <v>54</v>
      </c>
      <c r="C2488" t="s">
        <v>14</v>
      </c>
      <c r="D2488" t="s">
        <v>22</v>
      </c>
      <c r="E2488" t="s">
        <v>21</v>
      </c>
      <c r="F2488" t="s">
        <v>21</v>
      </c>
      <c r="G2488">
        <v>2</v>
      </c>
      <c r="H2488" s="1">
        <v>44939</v>
      </c>
      <c r="I2488">
        <v>2023</v>
      </c>
      <c r="J2488">
        <v>1</v>
      </c>
      <c r="K2488" t="s">
        <v>16</v>
      </c>
      <c r="L2488" t="s">
        <v>21</v>
      </c>
      <c r="M2488">
        <v>0</v>
      </c>
    </row>
    <row r="2489" spans="1:13" x14ac:dyDescent="0.25">
      <c r="A2489" t="s">
        <v>1865</v>
      </c>
      <c r="B2489" t="s">
        <v>13</v>
      </c>
      <c r="C2489" t="s">
        <v>14</v>
      </c>
      <c r="D2489" t="s">
        <v>20</v>
      </c>
      <c r="E2489" t="s">
        <v>21</v>
      </c>
      <c r="F2489" t="s">
        <v>21</v>
      </c>
      <c r="G2489">
        <v>21</v>
      </c>
      <c r="H2489" s="1">
        <v>44939</v>
      </c>
      <c r="I2489">
        <v>2023</v>
      </c>
      <c r="J2489">
        <v>1</v>
      </c>
      <c r="K2489" t="s">
        <v>30</v>
      </c>
      <c r="L2489" t="s">
        <v>21</v>
      </c>
      <c r="M2489">
        <v>0</v>
      </c>
    </row>
    <row r="2490" spans="1:13" x14ac:dyDescent="0.25">
      <c r="A2490" t="s">
        <v>1866</v>
      </c>
      <c r="B2490" t="s">
        <v>114</v>
      </c>
      <c r="C2490" t="s">
        <v>14</v>
      </c>
      <c r="D2490" t="s">
        <v>46</v>
      </c>
      <c r="E2490" t="s">
        <v>21</v>
      </c>
      <c r="F2490">
        <v>0.09</v>
      </c>
      <c r="G2490">
        <v>114</v>
      </c>
      <c r="H2490" s="1">
        <v>44939</v>
      </c>
      <c r="I2490">
        <v>2023</v>
      </c>
      <c r="J2490">
        <v>1</v>
      </c>
      <c r="K2490" t="s">
        <v>36</v>
      </c>
      <c r="L2490">
        <v>0</v>
      </c>
      <c r="M2490">
        <v>1</v>
      </c>
    </row>
    <row r="2491" spans="1:13" x14ac:dyDescent="0.25">
      <c r="A2491" t="s">
        <v>1119</v>
      </c>
      <c r="B2491" t="s">
        <v>77</v>
      </c>
      <c r="C2491" t="s">
        <v>14</v>
      </c>
      <c r="D2491" t="s">
        <v>15</v>
      </c>
      <c r="E2491">
        <v>225</v>
      </c>
      <c r="F2491">
        <v>0.14000000000000001</v>
      </c>
      <c r="G2491">
        <v>392</v>
      </c>
      <c r="H2491" s="1">
        <v>44938</v>
      </c>
      <c r="I2491">
        <v>2023</v>
      </c>
      <c r="J2491">
        <v>1</v>
      </c>
      <c r="K2491" t="s">
        <v>36</v>
      </c>
      <c r="L2491">
        <v>0</v>
      </c>
      <c r="M2491">
        <v>1</v>
      </c>
    </row>
    <row r="2492" spans="1:13" x14ac:dyDescent="0.25">
      <c r="A2492" t="s">
        <v>1867</v>
      </c>
      <c r="B2492" t="s">
        <v>32</v>
      </c>
      <c r="C2492" t="s">
        <v>381</v>
      </c>
      <c r="D2492" t="s">
        <v>43</v>
      </c>
      <c r="E2492">
        <v>120</v>
      </c>
      <c r="F2492">
        <v>0.4</v>
      </c>
      <c r="G2492">
        <v>410</v>
      </c>
      <c r="H2492" s="1">
        <v>44938</v>
      </c>
      <c r="I2492">
        <v>2023</v>
      </c>
      <c r="J2492">
        <v>1</v>
      </c>
      <c r="K2492" t="s">
        <v>36</v>
      </c>
      <c r="L2492">
        <v>0</v>
      </c>
      <c r="M2492">
        <v>1</v>
      </c>
    </row>
    <row r="2493" spans="1:13" x14ac:dyDescent="0.25">
      <c r="A2493" t="s">
        <v>1868</v>
      </c>
      <c r="B2493" t="s">
        <v>89</v>
      </c>
      <c r="C2493" t="s">
        <v>48</v>
      </c>
      <c r="D2493" t="s">
        <v>33</v>
      </c>
      <c r="E2493">
        <v>115</v>
      </c>
      <c r="F2493" t="s">
        <v>21</v>
      </c>
      <c r="G2493">
        <v>28</v>
      </c>
      <c r="H2493" s="1">
        <v>44938</v>
      </c>
      <c r="I2493">
        <v>2023</v>
      </c>
      <c r="J2493">
        <v>1</v>
      </c>
      <c r="K2493" t="s">
        <v>30</v>
      </c>
      <c r="L2493" t="s">
        <v>21</v>
      </c>
      <c r="M2493">
        <v>1</v>
      </c>
    </row>
    <row r="2494" spans="1:13" x14ac:dyDescent="0.25">
      <c r="A2494" t="s">
        <v>1869</v>
      </c>
      <c r="B2494" t="s">
        <v>77</v>
      </c>
      <c r="C2494" t="s">
        <v>230</v>
      </c>
      <c r="D2494" t="s">
        <v>33</v>
      </c>
      <c r="E2494">
        <v>111</v>
      </c>
      <c r="F2494">
        <v>0.39</v>
      </c>
      <c r="G2494">
        <v>42</v>
      </c>
      <c r="H2494" s="1">
        <v>44938</v>
      </c>
      <c r="I2494">
        <v>2023</v>
      </c>
      <c r="J2494">
        <v>1</v>
      </c>
      <c r="K2494" t="s">
        <v>30</v>
      </c>
      <c r="L2494">
        <v>0</v>
      </c>
      <c r="M2494">
        <v>1</v>
      </c>
    </row>
    <row r="2495" spans="1:13" x14ac:dyDescent="0.25">
      <c r="A2495" t="s">
        <v>1870</v>
      </c>
      <c r="B2495" t="s">
        <v>52</v>
      </c>
      <c r="C2495" t="s">
        <v>80</v>
      </c>
      <c r="D2495" t="s">
        <v>55</v>
      </c>
      <c r="E2495">
        <v>110</v>
      </c>
      <c r="F2495">
        <v>0.28000000000000003</v>
      </c>
      <c r="G2495">
        <v>490</v>
      </c>
      <c r="H2495" s="1">
        <v>44938</v>
      </c>
      <c r="I2495">
        <v>2023</v>
      </c>
      <c r="J2495">
        <v>1</v>
      </c>
      <c r="K2495" t="s">
        <v>36</v>
      </c>
      <c r="L2495">
        <v>0</v>
      </c>
      <c r="M2495">
        <v>1</v>
      </c>
    </row>
    <row r="2496" spans="1:13" x14ac:dyDescent="0.25">
      <c r="A2496" t="s">
        <v>1871</v>
      </c>
      <c r="B2496" t="s">
        <v>40</v>
      </c>
      <c r="C2496" t="s">
        <v>14</v>
      </c>
      <c r="D2496" t="s">
        <v>43</v>
      </c>
      <c r="E2496">
        <v>105</v>
      </c>
      <c r="F2496">
        <v>0.15</v>
      </c>
      <c r="G2496">
        <v>328</v>
      </c>
      <c r="H2496" s="1">
        <v>44938</v>
      </c>
      <c r="I2496">
        <v>2023</v>
      </c>
      <c r="J2496">
        <v>1</v>
      </c>
      <c r="K2496" t="s">
        <v>36</v>
      </c>
      <c r="L2496">
        <v>0</v>
      </c>
      <c r="M2496">
        <v>1</v>
      </c>
    </row>
    <row r="2497" spans="1:13" x14ac:dyDescent="0.25">
      <c r="A2497" t="s">
        <v>1872</v>
      </c>
      <c r="B2497" t="s">
        <v>77</v>
      </c>
      <c r="C2497" t="s">
        <v>14</v>
      </c>
      <c r="D2497" t="s">
        <v>55</v>
      </c>
      <c r="E2497">
        <v>104</v>
      </c>
      <c r="F2497">
        <v>0.21</v>
      </c>
      <c r="G2497">
        <v>556</v>
      </c>
      <c r="H2497" s="1">
        <v>44938</v>
      </c>
      <c r="I2497">
        <v>2023</v>
      </c>
      <c r="J2497">
        <v>1</v>
      </c>
      <c r="K2497" t="s">
        <v>36</v>
      </c>
      <c r="L2497">
        <v>0</v>
      </c>
      <c r="M2497">
        <v>1</v>
      </c>
    </row>
    <row r="2498" spans="1:13" x14ac:dyDescent="0.25">
      <c r="A2498" t="s">
        <v>1873</v>
      </c>
      <c r="B2498" t="s">
        <v>77</v>
      </c>
      <c r="C2498" t="s">
        <v>48</v>
      </c>
      <c r="D2498" t="s">
        <v>33</v>
      </c>
      <c r="E2498">
        <v>100</v>
      </c>
      <c r="F2498" t="s">
        <v>21</v>
      </c>
      <c r="G2498">
        <v>41</v>
      </c>
      <c r="H2498" s="1">
        <v>44938</v>
      </c>
      <c r="I2498">
        <v>2023</v>
      </c>
      <c r="J2498">
        <v>1</v>
      </c>
      <c r="K2498" t="s">
        <v>30</v>
      </c>
      <c r="L2498" t="s">
        <v>21</v>
      </c>
      <c r="M2498">
        <v>1</v>
      </c>
    </row>
    <row r="2499" spans="1:13" x14ac:dyDescent="0.25">
      <c r="A2499" t="s">
        <v>1874</v>
      </c>
      <c r="B2499" t="s">
        <v>38</v>
      </c>
      <c r="C2499" t="s">
        <v>14</v>
      </c>
      <c r="D2499" t="s">
        <v>22</v>
      </c>
      <c r="E2499">
        <v>64</v>
      </c>
      <c r="F2499" t="s">
        <v>21</v>
      </c>
      <c r="G2499">
        <v>334</v>
      </c>
      <c r="H2499" s="1">
        <v>44938</v>
      </c>
      <c r="I2499">
        <v>2023</v>
      </c>
      <c r="J2499">
        <v>1</v>
      </c>
      <c r="K2499" t="s">
        <v>36</v>
      </c>
      <c r="L2499" t="s">
        <v>21</v>
      </c>
      <c r="M2499">
        <v>1</v>
      </c>
    </row>
    <row r="2500" spans="1:13" x14ac:dyDescent="0.25">
      <c r="A2500" t="s">
        <v>1875</v>
      </c>
      <c r="B2500" t="s">
        <v>35</v>
      </c>
      <c r="C2500" t="s">
        <v>14</v>
      </c>
      <c r="D2500" t="s">
        <v>15</v>
      </c>
      <c r="E2500">
        <v>55</v>
      </c>
      <c r="F2500">
        <v>0.06</v>
      </c>
      <c r="G2500" t="s">
        <v>21</v>
      </c>
      <c r="H2500" s="1">
        <v>44938</v>
      </c>
      <c r="I2500">
        <v>2023</v>
      </c>
      <c r="J2500">
        <v>1</v>
      </c>
      <c r="K2500" t="s">
        <v>22</v>
      </c>
      <c r="L2500">
        <v>0</v>
      </c>
      <c r="M2500">
        <v>1</v>
      </c>
    </row>
    <row r="2501" spans="1:13" x14ac:dyDescent="0.25">
      <c r="A2501" t="s">
        <v>1168</v>
      </c>
      <c r="B2501" t="s">
        <v>35</v>
      </c>
      <c r="C2501" t="s">
        <v>14</v>
      </c>
      <c r="D2501" t="s">
        <v>15</v>
      </c>
      <c r="E2501">
        <v>46</v>
      </c>
      <c r="F2501">
        <v>0.3</v>
      </c>
      <c r="G2501">
        <v>301</v>
      </c>
      <c r="H2501" s="1">
        <v>44938</v>
      </c>
      <c r="I2501">
        <v>2023</v>
      </c>
      <c r="J2501">
        <v>1</v>
      </c>
      <c r="K2501" t="s">
        <v>36</v>
      </c>
      <c r="L2501">
        <v>0</v>
      </c>
      <c r="M2501">
        <v>1</v>
      </c>
    </row>
    <row r="2502" spans="1:13" x14ac:dyDescent="0.25">
      <c r="A2502" t="s">
        <v>1876</v>
      </c>
      <c r="B2502" t="s">
        <v>106</v>
      </c>
      <c r="C2502" t="s">
        <v>14</v>
      </c>
      <c r="D2502" t="s">
        <v>33</v>
      </c>
      <c r="E2502">
        <v>22</v>
      </c>
      <c r="F2502" t="s">
        <v>21</v>
      </c>
      <c r="G2502">
        <v>51</v>
      </c>
      <c r="H2502" s="1">
        <v>44938</v>
      </c>
      <c r="I2502">
        <v>2023</v>
      </c>
      <c r="J2502">
        <v>1</v>
      </c>
      <c r="K2502" t="s">
        <v>30</v>
      </c>
      <c r="L2502" t="s">
        <v>21</v>
      </c>
      <c r="M2502">
        <v>1</v>
      </c>
    </row>
    <row r="2503" spans="1:13" x14ac:dyDescent="0.25">
      <c r="A2503" t="s">
        <v>226</v>
      </c>
      <c r="B2503" t="s">
        <v>52</v>
      </c>
      <c r="C2503" t="s">
        <v>64</v>
      </c>
      <c r="D2503" t="s">
        <v>22</v>
      </c>
      <c r="E2503" t="s">
        <v>21</v>
      </c>
      <c r="F2503">
        <v>0.2</v>
      </c>
      <c r="G2503" t="s">
        <v>21</v>
      </c>
      <c r="H2503" s="1">
        <v>44938</v>
      </c>
      <c r="I2503">
        <v>2023</v>
      </c>
      <c r="J2503">
        <v>1</v>
      </c>
      <c r="K2503" t="s">
        <v>22</v>
      </c>
      <c r="L2503">
        <v>0</v>
      </c>
      <c r="M2503">
        <v>1</v>
      </c>
    </row>
    <row r="2504" spans="1:13" x14ac:dyDescent="0.25">
      <c r="A2504" t="s">
        <v>198</v>
      </c>
      <c r="B2504" t="s">
        <v>18</v>
      </c>
      <c r="C2504" t="s">
        <v>14</v>
      </c>
      <c r="D2504" t="s">
        <v>15</v>
      </c>
      <c r="E2504" t="s">
        <v>21</v>
      </c>
      <c r="F2504">
        <v>0.14000000000000001</v>
      </c>
      <c r="G2504">
        <v>158</v>
      </c>
      <c r="H2504" s="1">
        <v>44938</v>
      </c>
      <c r="I2504">
        <v>2023</v>
      </c>
      <c r="J2504">
        <v>1</v>
      </c>
      <c r="K2504" t="s">
        <v>36</v>
      </c>
      <c r="L2504">
        <v>0</v>
      </c>
      <c r="M2504">
        <v>1</v>
      </c>
    </row>
    <row r="2505" spans="1:13" x14ac:dyDescent="0.25">
      <c r="A2505" t="s">
        <v>1877</v>
      </c>
      <c r="B2505" t="s">
        <v>54</v>
      </c>
      <c r="C2505" t="s">
        <v>14</v>
      </c>
      <c r="D2505" t="s">
        <v>33</v>
      </c>
      <c r="E2505" t="s">
        <v>21</v>
      </c>
      <c r="F2505">
        <v>0.15</v>
      </c>
      <c r="G2505">
        <v>34</v>
      </c>
      <c r="H2505" s="1">
        <v>44938</v>
      </c>
      <c r="I2505">
        <v>2023</v>
      </c>
      <c r="J2505">
        <v>1</v>
      </c>
      <c r="K2505" t="s">
        <v>30</v>
      </c>
      <c r="L2505">
        <v>0</v>
      </c>
      <c r="M2505">
        <v>1</v>
      </c>
    </row>
    <row r="2506" spans="1:13" x14ac:dyDescent="0.25">
      <c r="A2506" t="s">
        <v>622</v>
      </c>
      <c r="B2506" t="s">
        <v>117</v>
      </c>
      <c r="C2506" t="s">
        <v>14</v>
      </c>
      <c r="D2506" t="s">
        <v>111</v>
      </c>
      <c r="E2506">
        <v>640</v>
      </c>
      <c r="F2506">
        <v>0.2</v>
      </c>
      <c r="G2506">
        <v>2400</v>
      </c>
      <c r="H2506" s="1">
        <v>44937</v>
      </c>
      <c r="I2506">
        <v>2023</v>
      </c>
      <c r="J2506">
        <v>1</v>
      </c>
      <c r="K2506" t="s">
        <v>26</v>
      </c>
      <c r="L2506">
        <v>0</v>
      </c>
      <c r="M2506">
        <v>1</v>
      </c>
    </row>
    <row r="2507" spans="1:13" x14ac:dyDescent="0.25">
      <c r="A2507" t="s">
        <v>1134</v>
      </c>
      <c r="B2507" t="s">
        <v>13</v>
      </c>
      <c r="C2507" t="s">
        <v>14</v>
      </c>
      <c r="D2507" t="s">
        <v>15</v>
      </c>
      <c r="E2507">
        <v>270</v>
      </c>
      <c r="F2507">
        <v>0.05</v>
      </c>
      <c r="G2507">
        <v>400</v>
      </c>
      <c r="H2507" s="1">
        <v>44937</v>
      </c>
      <c r="I2507">
        <v>2023</v>
      </c>
      <c r="J2507">
        <v>1</v>
      </c>
      <c r="K2507" t="s">
        <v>36</v>
      </c>
      <c r="L2507">
        <v>0</v>
      </c>
      <c r="M2507">
        <v>1</v>
      </c>
    </row>
    <row r="2508" spans="1:13" x14ac:dyDescent="0.25">
      <c r="A2508" t="s">
        <v>100</v>
      </c>
      <c r="B2508" t="s">
        <v>35</v>
      </c>
      <c r="C2508" t="s">
        <v>14</v>
      </c>
      <c r="D2508" t="s">
        <v>97</v>
      </c>
      <c r="E2508">
        <v>250</v>
      </c>
      <c r="F2508">
        <v>0.15</v>
      </c>
      <c r="G2508">
        <v>3500</v>
      </c>
      <c r="H2508" s="1">
        <v>44937</v>
      </c>
      <c r="I2508">
        <v>2023</v>
      </c>
      <c r="J2508">
        <v>1</v>
      </c>
      <c r="K2508" t="s">
        <v>26</v>
      </c>
      <c r="L2508">
        <v>0</v>
      </c>
      <c r="M2508">
        <v>1</v>
      </c>
    </row>
    <row r="2509" spans="1:13" x14ac:dyDescent="0.25">
      <c r="A2509" t="s">
        <v>286</v>
      </c>
      <c r="B2509" t="s">
        <v>77</v>
      </c>
      <c r="C2509" t="s">
        <v>14</v>
      </c>
      <c r="D2509" t="s">
        <v>43</v>
      </c>
      <c r="E2509">
        <v>123</v>
      </c>
      <c r="F2509">
        <v>0.11</v>
      </c>
      <c r="G2509">
        <v>565</v>
      </c>
      <c r="H2509" s="1">
        <v>44937</v>
      </c>
      <c r="I2509">
        <v>2023</v>
      </c>
      <c r="J2509">
        <v>1</v>
      </c>
      <c r="K2509" t="s">
        <v>36</v>
      </c>
      <c r="L2509">
        <v>0</v>
      </c>
      <c r="M2509">
        <v>1</v>
      </c>
    </row>
    <row r="2510" spans="1:13" x14ac:dyDescent="0.25">
      <c r="A2510" t="s">
        <v>1878</v>
      </c>
      <c r="B2510" t="s">
        <v>28</v>
      </c>
      <c r="C2510" t="s">
        <v>14</v>
      </c>
      <c r="D2510" t="s">
        <v>81</v>
      </c>
      <c r="E2510">
        <v>100</v>
      </c>
      <c r="F2510">
        <v>0.06</v>
      </c>
      <c r="G2510">
        <v>205</v>
      </c>
      <c r="H2510" s="1">
        <v>44937</v>
      </c>
      <c r="I2510">
        <v>2023</v>
      </c>
      <c r="J2510">
        <v>1</v>
      </c>
      <c r="K2510" t="s">
        <v>36</v>
      </c>
      <c r="L2510">
        <v>0</v>
      </c>
      <c r="M2510">
        <v>1</v>
      </c>
    </row>
    <row r="2511" spans="1:13" x14ac:dyDescent="0.25">
      <c r="A2511" t="s">
        <v>1220</v>
      </c>
      <c r="B2511" t="s">
        <v>52</v>
      </c>
      <c r="C2511" t="s">
        <v>48</v>
      </c>
      <c r="D2511" t="s">
        <v>55</v>
      </c>
      <c r="E2511">
        <v>80</v>
      </c>
      <c r="F2511" t="s">
        <v>21</v>
      </c>
      <c r="G2511">
        <v>244</v>
      </c>
      <c r="H2511" s="1">
        <v>44937</v>
      </c>
      <c r="I2511">
        <v>2023</v>
      </c>
      <c r="J2511">
        <v>1</v>
      </c>
      <c r="K2511" t="s">
        <v>36</v>
      </c>
      <c r="L2511" t="s">
        <v>21</v>
      </c>
      <c r="M2511">
        <v>1</v>
      </c>
    </row>
    <row r="2512" spans="1:13" x14ac:dyDescent="0.25">
      <c r="A2512" t="s">
        <v>1414</v>
      </c>
      <c r="B2512" t="s">
        <v>28</v>
      </c>
      <c r="C2512" t="s">
        <v>14</v>
      </c>
      <c r="D2512" t="s">
        <v>15</v>
      </c>
      <c r="E2512">
        <v>69</v>
      </c>
      <c r="F2512" t="s">
        <v>21</v>
      </c>
      <c r="G2512">
        <v>349</v>
      </c>
      <c r="H2512" s="1">
        <v>44937</v>
      </c>
      <c r="I2512">
        <v>2023</v>
      </c>
      <c r="J2512">
        <v>1</v>
      </c>
      <c r="K2512" t="s">
        <v>36</v>
      </c>
      <c r="L2512" t="s">
        <v>21</v>
      </c>
      <c r="M2512">
        <v>1</v>
      </c>
    </row>
    <row r="2513" spans="1:13" x14ac:dyDescent="0.25">
      <c r="A2513" t="s">
        <v>1499</v>
      </c>
      <c r="B2513" t="s">
        <v>35</v>
      </c>
      <c r="C2513" t="s">
        <v>14</v>
      </c>
      <c r="D2513" t="s">
        <v>33</v>
      </c>
      <c r="E2513">
        <v>41</v>
      </c>
      <c r="F2513" t="s">
        <v>21</v>
      </c>
      <c r="G2513">
        <v>94</v>
      </c>
      <c r="H2513" s="1">
        <v>44937</v>
      </c>
      <c r="I2513">
        <v>2023</v>
      </c>
      <c r="J2513">
        <v>1</v>
      </c>
      <c r="K2513" t="s">
        <v>30</v>
      </c>
      <c r="L2513" t="s">
        <v>21</v>
      </c>
      <c r="M2513">
        <v>1</v>
      </c>
    </row>
    <row r="2514" spans="1:13" x14ac:dyDescent="0.25">
      <c r="A2514" t="s">
        <v>1879</v>
      </c>
      <c r="B2514" t="s">
        <v>13</v>
      </c>
      <c r="C2514" t="s">
        <v>14</v>
      </c>
      <c r="D2514" t="s">
        <v>20</v>
      </c>
      <c r="E2514">
        <v>40</v>
      </c>
      <c r="F2514">
        <v>0.2</v>
      </c>
      <c r="G2514" t="s">
        <v>21</v>
      </c>
      <c r="H2514" s="1">
        <v>44937</v>
      </c>
      <c r="I2514">
        <v>2023</v>
      </c>
      <c r="J2514">
        <v>1</v>
      </c>
      <c r="K2514" t="s">
        <v>22</v>
      </c>
      <c r="L2514">
        <v>0</v>
      </c>
      <c r="M2514">
        <v>1</v>
      </c>
    </row>
    <row r="2515" spans="1:13" x14ac:dyDescent="0.25">
      <c r="A2515" t="s">
        <v>1880</v>
      </c>
      <c r="B2515" t="s">
        <v>18</v>
      </c>
      <c r="C2515" t="s">
        <v>14</v>
      </c>
      <c r="D2515" t="s">
        <v>46</v>
      </c>
      <c r="E2515">
        <v>33</v>
      </c>
      <c r="F2515" t="s">
        <v>21</v>
      </c>
      <c r="G2515">
        <v>133</v>
      </c>
      <c r="H2515" s="1">
        <v>44937</v>
      </c>
      <c r="I2515">
        <v>2023</v>
      </c>
      <c r="J2515">
        <v>1</v>
      </c>
      <c r="K2515" t="s">
        <v>36</v>
      </c>
      <c r="L2515" t="s">
        <v>21</v>
      </c>
      <c r="M2515">
        <v>1</v>
      </c>
    </row>
    <row r="2516" spans="1:13" x14ac:dyDescent="0.25">
      <c r="A2516" t="s">
        <v>1069</v>
      </c>
      <c r="B2516" t="s">
        <v>40</v>
      </c>
      <c r="C2516" t="s">
        <v>14</v>
      </c>
      <c r="D2516" t="s">
        <v>194</v>
      </c>
      <c r="E2516" t="s">
        <v>21</v>
      </c>
      <c r="F2516">
        <v>0.1</v>
      </c>
      <c r="G2516">
        <v>1100</v>
      </c>
      <c r="H2516" s="1">
        <v>44937</v>
      </c>
      <c r="I2516">
        <v>2023</v>
      </c>
      <c r="J2516">
        <v>1</v>
      </c>
      <c r="K2516" t="s">
        <v>26</v>
      </c>
      <c r="L2516">
        <v>0</v>
      </c>
      <c r="M2516">
        <v>1</v>
      </c>
    </row>
    <row r="2517" spans="1:13" x14ac:dyDescent="0.25">
      <c r="A2517" t="s">
        <v>1881</v>
      </c>
      <c r="B2517" t="s">
        <v>40</v>
      </c>
      <c r="C2517" t="s">
        <v>14</v>
      </c>
      <c r="D2517" t="s">
        <v>46</v>
      </c>
      <c r="E2517" t="s">
        <v>21</v>
      </c>
      <c r="F2517">
        <v>0.15</v>
      </c>
      <c r="G2517">
        <v>33</v>
      </c>
      <c r="H2517" s="1">
        <v>44937</v>
      </c>
      <c r="I2517">
        <v>2023</v>
      </c>
      <c r="J2517">
        <v>1</v>
      </c>
      <c r="K2517" t="s">
        <v>30</v>
      </c>
      <c r="L2517">
        <v>0</v>
      </c>
      <c r="M2517">
        <v>1</v>
      </c>
    </row>
    <row r="2518" spans="1:13" x14ac:dyDescent="0.25">
      <c r="A2518" t="s">
        <v>1177</v>
      </c>
      <c r="B2518" t="s">
        <v>40</v>
      </c>
      <c r="C2518" t="s">
        <v>14</v>
      </c>
      <c r="D2518" t="s">
        <v>46</v>
      </c>
      <c r="E2518" t="s">
        <v>21</v>
      </c>
      <c r="F2518" t="s">
        <v>21</v>
      </c>
      <c r="G2518">
        <v>224</v>
      </c>
      <c r="H2518" s="1">
        <v>44937</v>
      </c>
      <c r="I2518">
        <v>2023</v>
      </c>
      <c r="J2518">
        <v>1</v>
      </c>
      <c r="K2518" t="s">
        <v>36</v>
      </c>
      <c r="L2518" t="s">
        <v>21</v>
      </c>
      <c r="M2518">
        <v>0</v>
      </c>
    </row>
    <row r="2519" spans="1:13" x14ac:dyDescent="0.25">
      <c r="A2519" t="s">
        <v>1882</v>
      </c>
      <c r="B2519" t="s">
        <v>77</v>
      </c>
      <c r="C2519" t="s">
        <v>80</v>
      </c>
      <c r="D2519" t="s">
        <v>55</v>
      </c>
      <c r="E2519" t="s">
        <v>21</v>
      </c>
      <c r="F2519">
        <v>0.08</v>
      </c>
      <c r="G2519">
        <v>293</v>
      </c>
      <c r="H2519" s="1">
        <v>44937</v>
      </c>
      <c r="I2519">
        <v>2023</v>
      </c>
      <c r="J2519">
        <v>1</v>
      </c>
      <c r="K2519" t="s">
        <v>36</v>
      </c>
      <c r="L2519">
        <v>0</v>
      </c>
      <c r="M2519">
        <v>1</v>
      </c>
    </row>
    <row r="2520" spans="1:13" x14ac:dyDescent="0.25">
      <c r="A2520" t="s">
        <v>168</v>
      </c>
      <c r="B2520" t="s">
        <v>52</v>
      </c>
      <c r="C2520" t="s">
        <v>14</v>
      </c>
      <c r="D2520" t="s">
        <v>15</v>
      </c>
      <c r="E2520">
        <v>950</v>
      </c>
      <c r="F2520">
        <v>0.2</v>
      </c>
      <c r="G2520">
        <v>549</v>
      </c>
      <c r="H2520" s="1">
        <v>44936</v>
      </c>
      <c r="I2520">
        <v>2023</v>
      </c>
      <c r="J2520">
        <v>1</v>
      </c>
      <c r="K2520" t="s">
        <v>36</v>
      </c>
      <c r="L2520">
        <v>0</v>
      </c>
      <c r="M2520">
        <v>1</v>
      </c>
    </row>
    <row r="2521" spans="1:13" x14ac:dyDescent="0.25">
      <c r="A2521" t="s">
        <v>287</v>
      </c>
      <c r="B2521" t="s">
        <v>38</v>
      </c>
      <c r="C2521" t="s">
        <v>14</v>
      </c>
      <c r="D2521" t="s">
        <v>15</v>
      </c>
      <c r="E2521">
        <v>450</v>
      </c>
      <c r="F2521">
        <v>7.0000000000000007E-2</v>
      </c>
      <c r="G2521" t="s">
        <v>21</v>
      </c>
      <c r="H2521" s="1">
        <v>44936</v>
      </c>
      <c r="I2521">
        <v>2023</v>
      </c>
      <c r="J2521">
        <v>1</v>
      </c>
      <c r="K2521" t="s">
        <v>22</v>
      </c>
      <c r="L2521">
        <v>0</v>
      </c>
      <c r="M2521">
        <v>1</v>
      </c>
    </row>
    <row r="2522" spans="1:13" x14ac:dyDescent="0.25">
      <c r="A2522" t="s">
        <v>1243</v>
      </c>
      <c r="B2522" t="s">
        <v>77</v>
      </c>
      <c r="C2522" t="s">
        <v>14</v>
      </c>
      <c r="D2522" t="s">
        <v>15</v>
      </c>
      <c r="E2522">
        <v>340</v>
      </c>
      <c r="F2522">
        <v>0.28000000000000003</v>
      </c>
      <c r="G2522">
        <v>665</v>
      </c>
      <c r="H2522" s="1">
        <v>44936</v>
      </c>
      <c r="I2522">
        <v>2023</v>
      </c>
      <c r="J2522">
        <v>1</v>
      </c>
      <c r="K2522" t="s">
        <v>36</v>
      </c>
      <c r="L2522">
        <v>0</v>
      </c>
      <c r="M2522">
        <v>1</v>
      </c>
    </row>
    <row r="2523" spans="1:13" x14ac:dyDescent="0.25">
      <c r="A2523" t="s">
        <v>1883</v>
      </c>
      <c r="B2523" t="s">
        <v>77</v>
      </c>
      <c r="C2523" t="s">
        <v>42</v>
      </c>
      <c r="D2523" t="s">
        <v>46</v>
      </c>
      <c r="E2523">
        <v>120</v>
      </c>
      <c r="F2523" t="s">
        <v>21</v>
      </c>
      <c r="G2523">
        <v>95</v>
      </c>
      <c r="H2523" s="1">
        <v>44936</v>
      </c>
      <c r="I2523">
        <v>2023</v>
      </c>
      <c r="J2523">
        <v>1</v>
      </c>
      <c r="K2523" t="s">
        <v>30</v>
      </c>
      <c r="L2523" t="s">
        <v>21</v>
      </c>
      <c r="M2523">
        <v>1</v>
      </c>
    </row>
    <row r="2524" spans="1:13" x14ac:dyDescent="0.25">
      <c r="A2524" t="s">
        <v>391</v>
      </c>
      <c r="B2524" t="s">
        <v>52</v>
      </c>
      <c r="C2524" t="s">
        <v>14</v>
      </c>
      <c r="D2524" t="s">
        <v>55</v>
      </c>
      <c r="E2524">
        <v>100</v>
      </c>
      <c r="F2524">
        <v>0.11</v>
      </c>
      <c r="G2524">
        <v>726</v>
      </c>
      <c r="H2524" s="1">
        <v>44936</v>
      </c>
      <c r="I2524">
        <v>2023</v>
      </c>
      <c r="J2524">
        <v>1</v>
      </c>
      <c r="K2524" t="s">
        <v>36</v>
      </c>
      <c r="L2524">
        <v>0</v>
      </c>
      <c r="M2524">
        <v>1</v>
      </c>
    </row>
    <row r="2525" spans="1:13" x14ac:dyDescent="0.25">
      <c r="A2525" t="s">
        <v>1182</v>
      </c>
      <c r="B2525" t="s">
        <v>28</v>
      </c>
      <c r="C2525" t="s">
        <v>29</v>
      </c>
      <c r="D2525" t="s">
        <v>20</v>
      </c>
      <c r="E2525">
        <v>100</v>
      </c>
      <c r="F2525">
        <v>0.1</v>
      </c>
      <c r="G2525">
        <v>125</v>
      </c>
      <c r="H2525" s="1">
        <v>44936</v>
      </c>
      <c r="I2525">
        <v>2023</v>
      </c>
      <c r="J2525">
        <v>1</v>
      </c>
      <c r="K2525" t="s">
        <v>36</v>
      </c>
      <c r="L2525">
        <v>0</v>
      </c>
      <c r="M2525">
        <v>1</v>
      </c>
    </row>
    <row r="2526" spans="1:13" x14ac:dyDescent="0.25">
      <c r="A2526" t="s">
        <v>1884</v>
      </c>
      <c r="B2526" t="s">
        <v>106</v>
      </c>
      <c r="C2526" t="s">
        <v>174</v>
      </c>
      <c r="D2526" t="s">
        <v>15</v>
      </c>
      <c r="E2526">
        <v>76</v>
      </c>
      <c r="F2526">
        <v>0.19</v>
      </c>
      <c r="G2526">
        <v>22</v>
      </c>
      <c r="H2526" s="1">
        <v>44936</v>
      </c>
      <c r="I2526">
        <v>2023</v>
      </c>
      <c r="J2526">
        <v>1</v>
      </c>
      <c r="K2526" t="s">
        <v>30</v>
      </c>
      <c r="L2526">
        <v>0</v>
      </c>
      <c r="M2526">
        <v>1</v>
      </c>
    </row>
    <row r="2527" spans="1:13" x14ac:dyDescent="0.25">
      <c r="A2527" t="s">
        <v>1885</v>
      </c>
      <c r="B2527" t="s">
        <v>106</v>
      </c>
      <c r="C2527" t="s">
        <v>48</v>
      </c>
      <c r="D2527" t="s">
        <v>111</v>
      </c>
      <c r="E2527">
        <v>60</v>
      </c>
      <c r="F2527" t="s">
        <v>21</v>
      </c>
      <c r="G2527">
        <v>190</v>
      </c>
      <c r="H2527" s="1">
        <v>44936</v>
      </c>
      <c r="I2527">
        <v>2023</v>
      </c>
      <c r="J2527">
        <v>1</v>
      </c>
      <c r="K2527" t="s">
        <v>36</v>
      </c>
      <c r="L2527" t="s">
        <v>21</v>
      </c>
      <c r="M2527">
        <v>1</v>
      </c>
    </row>
    <row r="2528" spans="1:13" x14ac:dyDescent="0.25">
      <c r="A2528" t="s">
        <v>1886</v>
      </c>
      <c r="B2528" t="s">
        <v>18</v>
      </c>
      <c r="C2528" t="s">
        <v>14</v>
      </c>
      <c r="D2528" t="s">
        <v>33</v>
      </c>
      <c r="E2528">
        <v>60</v>
      </c>
      <c r="F2528">
        <v>0.75</v>
      </c>
      <c r="G2528">
        <v>36</v>
      </c>
      <c r="H2528" s="1">
        <v>44936</v>
      </c>
      <c r="I2528">
        <v>2023</v>
      </c>
      <c r="J2528">
        <v>1</v>
      </c>
      <c r="K2528" t="s">
        <v>30</v>
      </c>
      <c r="L2528">
        <v>0</v>
      </c>
      <c r="M2528">
        <v>1</v>
      </c>
    </row>
    <row r="2529" spans="1:13" x14ac:dyDescent="0.25">
      <c r="A2529" t="s">
        <v>1887</v>
      </c>
      <c r="B2529" t="s">
        <v>117</v>
      </c>
      <c r="C2529" t="s">
        <v>174</v>
      </c>
      <c r="D2529" t="s">
        <v>46</v>
      </c>
      <c r="E2529">
        <v>55</v>
      </c>
      <c r="F2529">
        <v>0.05</v>
      </c>
      <c r="G2529">
        <v>178</v>
      </c>
      <c r="H2529" s="1">
        <v>44936</v>
      </c>
      <c r="I2529">
        <v>2023</v>
      </c>
      <c r="J2529">
        <v>1</v>
      </c>
      <c r="K2529" t="s">
        <v>36</v>
      </c>
      <c r="L2529">
        <v>0</v>
      </c>
      <c r="M2529">
        <v>1</v>
      </c>
    </row>
    <row r="2530" spans="1:13" x14ac:dyDescent="0.25">
      <c r="A2530" t="s">
        <v>1888</v>
      </c>
      <c r="B2530" t="s">
        <v>40</v>
      </c>
      <c r="C2530" t="s">
        <v>48</v>
      </c>
      <c r="D2530" t="s">
        <v>22</v>
      </c>
      <c r="E2530">
        <v>40</v>
      </c>
      <c r="F2530">
        <v>0.2</v>
      </c>
      <c r="G2530" t="s">
        <v>21</v>
      </c>
      <c r="H2530" s="1">
        <v>44936</v>
      </c>
      <c r="I2530">
        <v>2023</v>
      </c>
      <c r="J2530">
        <v>1</v>
      </c>
      <c r="K2530" t="s">
        <v>22</v>
      </c>
      <c r="L2530">
        <v>0</v>
      </c>
      <c r="M2530">
        <v>1</v>
      </c>
    </row>
    <row r="2531" spans="1:13" x14ac:dyDescent="0.25">
      <c r="A2531" t="s">
        <v>1233</v>
      </c>
      <c r="B2531" t="s">
        <v>32</v>
      </c>
      <c r="C2531" t="s">
        <v>29</v>
      </c>
      <c r="D2531" t="s">
        <v>33</v>
      </c>
      <c r="E2531">
        <v>40</v>
      </c>
      <c r="F2531">
        <v>0.2</v>
      </c>
      <c r="G2531">
        <v>111</v>
      </c>
      <c r="H2531" s="1">
        <v>44936</v>
      </c>
      <c r="I2531">
        <v>2023</v>
      </c>
      <c r="J2531">
        <v>1</v>
      </c>
      <c r="K2531" t="s">
        <v>36</v>
      </c>
      <c r="L2531">
        <v>0</v>
      </c>
      <c r="M2531">
        <v>1</v>
      </c>
    </row>
    <row r="2532" spans="1:13" x14ac:dyDescent="0.25">
      <c r="A2532" t="s">
        <v>1889</v>
      </c>
      <c r="B2532" t="s">
        <v>24</v>
      </c>
      <c r="C2532" t="s">
        <v>14</v>
      </c>
      <c r="D2532" t="s">
        <v>22</v>
      </c>
      <c r="E2532">
        <v>25</v>
      </c>
      <c r="F2532">
        <v>0.04</v>
      </c>
      <c r="G2532">
        <v>383</v>
      </c>
      <c r="H2532" s="1">
        <v>44936</v>
      </c>
      <c r="I2532">
        <v>2023</v>
      </c>
      <c r="J2532">
        <v>1</v>
      </c>
      <c r="K2532" t="s">
        <v>36</v>
      </c>
      <c r="L2532">
        <v>0</v>
      </c>
      <c r="M2532">
        <v>1</v>
      </c>
    </row>
    <row r="2533" spans="1:13" x14ac:dyDescent="0.25">
      <c r="A2533" t="s">
        <v>1890</v>
      </c>
      <c r="B2533" t="s">
        <v>24</v>
      </c>
      <c r="C2533" t="s">
        <v>14</v>
      </c>
      <c r="D2533" t="s">
        <v>46</v>
      </c>
      <c r="E2533" t="s">
        <v>21</v>
      </c>
      <c r="F2533" t="s">
        <v>21</v>
      </c>
      <c r="G2533">
        <v>120</v>
      </c>
      <c r="H2533" s="1">
        <v>44936</v>
      </c>
      <c r="I2533">
        <v>2023</v>
      </c>
      <c r="J2533">
        <v>1</v>
      </c>
      <c r="K2533" t="s">
        <v>36</v>
      </c>
      <c r="L2533" t="s">
        <v>21</v>
      </c>
      <c r="M2533">
        <v>0</v>
      </c>
    </row>
    <row r="2534" spans="1:13" x14ac:dyDescent="0.25">
      <c r="A2534" t="s">
        <v>1058</v>
      </c>
      <c r="B2534" t="s">
        <v>40</v>
      </c>
      <c r="C2534" t="s">
        <v>80</v>
      </c>
      <c r="D2534" t="s">
        <v>55</v>
      </c>
      <c r="E2534" t="s">
        <v>21</v>
      </c>
      <c r="F2534">
        <v>0.12</v>
      </c>
      <c r="G2534">
        <v>223</v>
      </c>
      <c r="H2534" s="1">
        <v>44936</v>
      </c>
      <c r="I2534">
        <v>2023</v>
      </c>
      <c r="J2534">
        <v>1</v>
      </c>
      <c r="K2534" t="s">
        <v>36</v>
      </c>
      <c r="L2534">
        <v>0</v>
      </c>
      <c r="M2534">
        <v>1</v>
      </c>
    </row>
    <row r="2535" spans="1:13" x14ac:dyDescent="0.25">
      <c r="A2535" t="s">
        <v>1889</v>
      </c>
      <c r="B2535" t="s">
        <v>24</v>
      </c>
      <c r="C2535" t="s">
        <v>14</v>
      </c>
      <c r="D2535" t="s">
        <v>22</v>
      </c>
      <c r="E2535" t="s">
        <v>21</v>
      </c>
      <c r="F2535" t="s">
        <v>21</v>
      </c>
      <c r="G2535">
        <v>383</v>
      </c>
      <c r="H2535" s="1">
        <v>44936</v>
      </c>
      <c r="I2535">
        <v>2023</v>
      </c>
      <c r="J2535">
        <v>1</v>
      </c>
      <c r="K2535" t="s">
        <v>36</v>
      </c>
      <c r="L2535" t="s">
        <v>21</v>
      </c>
      <c r="M2535">
        <v>0</v>
      </c>
    </row>
    <row r="2536" spans="1:13" x14ac:dyDescent="0.25">
      <c r="A2536" t="s">
        <v>969</v>
      </c>
      <c r="B2536" t="s">
        <v>140</v>
      </c>
      <c r="C2536" t="s">
        <v>14</v>
      </c>
      <c r="D2536" t="s">
        <v>20</v>
      </c>
      <c r="E2536" t="s">
        <v>21</v>
      </c>
      <c r="F2536">
        <v>0.15</v>
      </c>
      <c r="G2536">
        <v>20</v>
      </c>
      <c r="H2536" s="1">
        <v>44936</v>
      </c>
      <c r="I2536">
        <v>2023</v>
      </c>
      <c r="J2536">
        <v>1</v>
      </c>
      <c r="K2536" t="s">
        <v>30</v>
      </c>
      <c r="L2536">
        <v>0</v>
      </c>
      <c r="M2536">
        <v>1</v>
      </c>
    </row>
    <row r="2537" spans="1:13" x14ac:dyDescent="0.25">
      <c r="A2537" t="s">
        <v>1891</v>
      </c>
      <c r="B2537" t="s">
        <v>13</v>
      </c>
      <c r="C2537" t="s">
        <v>14</v>
      </c>
      <c r="D2537" t="s">
        <v>68</v>
      </c>
      <c r="E2537" t="s">
        <v>21</v>
      </c>
      <c r="F2537">
        <v>0.21</v>
      </c>
      <c r="G2537">
        <v>10</v>
      </c>
      <c r="H2537" s="1">
        <v>44936</v>
      </c>
      <c r="I2537">
        <v>2023</v>
      </c>
      <c r="J2537">
        <v>1</v>
      </c>
      <c r="K2537" t="s">
        <v>30</v>
      </c>
      <c r="L2537">
        <v>0</v>
      </c>
      <c r="M2537">
        <v>1</v>
      </c>
    </row>
    <row r="2538" spans="1:13" x14ac:dyDescent="0.25">
      <c r="A2538" t="s">
        <v>1892</v>
      </c>
      <c r="B2538" t="s">
        <v>207</v>
      </c>
      <c r="C2538" t="s">
        <v>14</v>
      </c>
      <c r="D2538" t="s">
        <v>43</v>
      </c>
      <c r="E2538" t="s">
        <v>21</v>
      </c>
      <c r="F2538">
        <v>0.04</v>
      </c>
      <c r="G2538">
        <v>404</v>
      </c>
      <c r="H2538" s="1">
        <v>44936</v>
      </c>
      <c r="I2538">
        <v>2023</v>
      </c>
      <c r="J2538">
        <v>1</v>
      </c>
      <c r="K2538" t="s">
        <v>36</v>
      </c>
      <c r="L2538">
        <v>0</v>
      </c>
      <c r="M2538">
        <v>1</v>
      </c>
    </row>
    <row r="2539" spans="1:13" x14ac:dyDescent="0.25">
      <c r="A2539" t="s">
        <v>1893</v>
      </c>
      <c r="B2539" t="s">
        <v>35</v>
      </c>
      <c r="C2539" t="s">
        <v>14</v>
      </c>
      <c r="D2539" t="s">
        <v>15</v>
      </c>
      <c r="E2539">
        <v>315</v>
      </c>
      <c r="F2539">
        <v>0.56999999999999995</v>
      </c>
      <c r="G2539">
        <v>1200</v>
      </c>
      <c r="H2539" s="1">
        <v>44935</v>
      </c>
      <c r="I2539">
        <v>2023</v>
      </c>
      <c r="J2539">
        <v>1</v>
      </c>
      <c r="K2539" t="s">
        <v>26</v>
      </c>
      <c r="L2539">
        <v>0</v>
      </c>
      <c r="M2539">
        <v>1</v>
      </c>
    </row>
    <row r="2540" spans="1:13" x14ac:dyDescent="0.25">
      <c r="A2540" t="s">
        <v>1894</v>
      </c>
      <c r="B2540" t="s">
        <v>35</v>
      </c>
      <c r="C2540" t="s">
        <v>14</v>
      </c>
      <c r="D2540" t="s">
        <v>15</v>
      </c>
      <c r="E2540" t="s">
        <v>21</v>
      </c>
      <c r="F2540" t="s">
        <v>21</v>
      </c>
      <c r="G2540">
        <v>560</v>
      </c>
      <c r="H2540" s="1">
        <v>44935</v>
      </c>
      <c r="I2540">
        <v>2023</v>
      </c>
      <c r="J2540">
        <v>1</v>
      </c>
      <c r="K2540" t="s">
        <v>36</v>
      </c>
      <c r="L2540" t="s">
        <v>21</v>
      </c>
      <c r="M2540">
        <v>0</v>
      </c>
    </row>
    <row r="2541" spans="1:13" x14ac:dyDescent="0.25">
      <c r="A2541" t="s">
        <v>1895</v>
      </c>
      <c r="B2541" t="s">
        <v>35</v>
      </c>
      <c r="C2541" t="s">
        <v>14</v>
      </c>
      <c r="D2541" t="s">
        <v>15</v>
      </c>
      <c r="E2541" t="s">
        <v>21</v>
      </c>
      <c r="F2541">
        <v>0.2</v>
      </c>
      <c r="G2541">
        <v>656</v>
      </c>
      <c r="H2541" s="1">
        <v>44935</v>
      </c>
      <c r="I2541">
        <v>2023</v>
      </c>
      <c r="J2541">
        <v>1</v>
      </c>
      <c r="K2541" t="s">
        <v>36</v>
      </c>
      <c r="L2541">
        <v>0</v>
      </c>
      <c r="M2541">
        <v>1</v>
      </c>
    </row>
    <row r="2542" spans="1:13" x14ac:dyDescent="0.25">
      <c r="A2542" t="s">
        <v>397</v>
      </c>
      <c r="B2542" t="s">
        <v>38</v>
      </c>
      <c r="C2542" t="s">
        <v>14</v>
      </c>
      <c r="D2542" t="s">
        <v>111</v>
      </c>
      <c r="E2542" t="s">
        <v>21</v>
      </c>
      <c r="F2542">
        <v>0.2</v>
      </c>
      <c r="G2542">
        <v>602</v>
      </c>
      <c r="H2542" s="1">
        <v>44935</v>
      </c>
      <c r="I2542">
        <v>2023</v>
      </c>
      <c r="J2542">
        <v>1</v>
      </c>
      <c r="K2542" t="s">
        <v>36</v>
      </c>
      <c r="L2542">
        <v>0</v>
      </c>
      <c r="M2542">
        <v>1</v>
      </c>
    </row>
    <row r="2543" spans="1:13" x14ac:dyDescent="0.25">
      <c r="A2543" t="s">
        <v>1896</v>
      </c>
      <c r="B2543" t="s">
        <v>32</v>
      </c>
      <c r="C2543" t="s">
        <v>80</v>
      </c>
      <c r="D2543" t="s">
        <v>518</v>
      </c>
      <c r="E2543">
        <v>50</v>
      </c>
      <c r="F2543">
        <v>0.1</v>
      </c>
      <c r="G2543">
        <v>160</v>
      </c>
      <c r="H2543" s="1">
        <v>44934</v>
      </c>
      <c r="I2543">
        <v>2023</v>
      </c>
      <c r="J2543">
        <v>1</v>
      </c>
      <c r="K2543" t="s">
        <v>36</v>
      </c>
      <c r="L2543">
        <v>0</v>
      </c>
      <c r="M2543">
        <v>1</v>
      </c>
    </row>
    <row r="2544" spans="1:13" x14ac:dyDescent="0.25">
      <c r="A2544" t="s">
        <v>1522</v>
      </c>
      <c r="B2544" t="s">
        <v>13</v>
      </c>
      <c r="C2544" t="s">
        <v>14</v>
      </c>
      <c r="D2544" t="s">
        <v>15</v>
      </c>
      <c r="E2544">
        <v>43</v>
      </c>
      <c r="F2544">
        <v>0.03</v>
      </c>
      <c r="G2544">
        <v>307</v>
      </c>
      <c r="H2544" s="1">
        <v>44934</v>
      </c>
      <c r="I2544">
        <v>2023</v>
      </c>
      <c r="J2544">
        <v>1</v>
      </c>
      <c r="K2544" t="s">
        <v>36</v>
      </c>
      <c r="L2544">
        <v>0</v>
      </c>
      <c r="M2544">
        <v>1</v>
      </c>
    </row>
    <row r="2545" spans="1:13" x14ac:dyDescent="0.25">
      <c r="A2545" t="s">
        <v>1897</v>
      </c>
      <c r="B2545" t="s">
        <v>54</v>
      </c>
      <c r="C2545" t="s">
        <v>14</v>
      </c>
      <c r="D2545" t="s">
        <v>20</v>
      </c>
      <c r="E2545" t="s">
        <v>21</v>
      </c>
      <c r="F2545" t="s">
        <v>21</v>
      </c>
      <c r="G2545">
        <v>80</v>
      </c>
      <c r="H2545" s="1">
        <v>44933</v>
      </c>
      <c r="I2545">
        <v>2023</v>
      </c>
      <c r="J2545">
        <v>1</v>
      </c>
      <c r="K2545" t="s">
        <v>30</v>
      </c>
      <c r="L2545" t="s">
        <v>21</v>
      </c>
      <c r="M2545">
        <v>0</v>
      </c>
    </row>
    <row r="2546" spans="1:13" x14ac:dyDescent="0.25">
      <c r="A2546" t="s">
        <v>1898</v>
      </c>
      <c r="B2546" t="s">
        <v>52</v>
      </c>
      <c r="C2546" t="s">
        <v>657</v>
      </c>
      <c r="D2546" t="s">
        <v>22</v>
      </c>
      <c r="E2546">
        <v>275</v>
      </c>
      <c r="F2546">
        <v>0.2</v>
      </c>
      <c r="G2546">
        <v>2</v>
      </c>
      <c r="H2546" s="1">
        <v>44932</v>
      </c>
      <c r="I2546">
        <v>2023</v>
      </c>
      <c r="J2546">
        <v>1</v>
      </c>
      <c r="K2546" t="s">
        <v>16</v>
      </c>
      <c r="L2546">
        <v>0</v>
      </c>
      <c r="M2546">
        <v>1</v>
      </c>
    </row>
    <row r="2547" spans="1:13" x14ac:dyDescent="0.25">
      <c r="A2547" t="s">
        <v>864</v>
      </c>
      <c r="B2547" t="s">
        <v>35</v>
      </c>
      <c r="C2547" t="s">
        <v>14</v>
      </c>
      <c r="D2547" t="s">
        <v>55</v>
      </c>
      <c r="E2547">
        <v>200</v>
      </c>
      <c r="F2547" t="s">
        <v>21</v>
      </c>
      <c r="G2547">
        <v>522</v>
      </c>
      <c r="H2547" s="1">
        <v>44932</v>
      </c>
      <c r="I2547">
        <v>2023</v>
      </c>
      <c r="J2547">
        <v>1</v>
      </c>
      <c r="K2547" t="s">
        <v>36</v>
      </c>
      <c r="L2547" t="s">
        <v>21</v>
      </c>
      <c r="M2547">
        <v>1</v>
      </c>
    </row>
    <row r="2548" spans="1:13" x14ac:dyDescent="0.25">
      <c r="A2548" t="s">
        <v>1899</v>
      </c>
      <c r="B2548" t="s">
        <v>66</v>
      </c>
      <c r="C2548" t="s">
        <v>48</v>
      </c>
      <c r="D2548" t="s">
        <v>55</v>
      </c>
      <c r="E2548">
        <v>40</v>
      </c>
      <c r="F2548">
        <v>0.05</v>
      </c>
      <c r="G2548">
        <v>214</v>
      </c>
      <c r="H2548" s="1">
        <v>44932</v>
      </c>
      <c r="I2548">
        <v>2023</v>
      </c>
      <c r="J2548">
        <v>1</v>
      </c>
      <c r="K2548" t="s">
        <v>36</v>
      </c>
      <c r="L2548">
        <v>0</v>
      </c>
      <c r="M2548">
        <v>1</v>
      </c>
    </row>
    <row r="2549" spans="1:13" x14ac:dyDescent="0.25">
      <c r="A2549" t="s">
        <v>1261</v>
      </c>
      <c r="B2549" t="s">
        <v>28</v>
      </c>
      <c r="C2549" t="s">
        <v>14</v>
      </c>
      <c r="D2549" t="s">
        <v>46</v>
      </c>
      <c r="E2549" t="s">
        <v>21</v>
      </c>
      <c r="F2549" t="s">
        <v>21</v>
      </c>
      <c r="G2549">
        <v>88</v>
      </c>
      <c r="H2549" s="1">
        <v>44932</v>
      </c>
      <c r="I2549">
        <v>2023</v>
      </c>
      <c r="J2549">
        <v>1</v>
      </c>
      <c r="K2549" t="s">
        <v>30</v>
      </c>
      <c r="L2549" t="s">
        <v>21</v>
      </c>
      <c r="M2549">
        <v>0</v>
      </c>
    </row>
    <row r="2550" spans="1:13" x14ac:dyDescent="0.25">
      <c r="A2550" t="s">
        <v>1900</v>
      </c>
      <c r="B2550" t="s">
        <v>40</v>
      </c>
      <c r="C2550" t="s">
        <v>14</v>
      </c>
      <c r="D2550" t="s">
        <v>81</v>
      </c>
      <c r="E2550" t="s">
        <v>21</v>
      </c>
      <c r="F2550" t="s">
        <v>21</v>
      </c>
      <c r="G2550">
        <v>30</v>
      </c>
      <c r="H2550" s="1">
        <v>44932</v>
      </c>
      <c r="I2550">
        <v>2023</v>
      </c>
      <c r="J2550">
        <v>1</v>
      </c>
      <c r="K2550" t="s">
        <v>30</v>
      </c>
      <c r="L2550" t="s">
        <v>21</v>
      </c>
      <c r="M2550">
        <v>0</v>
      </c>
    </row>
    <row r="2551" spans="1:13" x14ac:dyDescent="0.25">
      <c r="A2551" t="s">
        <v>1901</v>
      </c>
      <c r="B2551" t="s">
        <v>102</v>
      </c>
      <c r="C2551" t="s">
        <v>14</v>
      </c>
      <c r="D2551" t="s">
        <v>22</v>
      </c>
      <c r="E2551" t="s">
        <v>21</v>
      </c>
      <c r="F2551" t="s">
        <v>21</v>
      </c>
      <c r="G2551" t="s">
        <v>21</v>
      </c>
      <c r="H2551" s="1">
        <v>44932</v>
      </c>
      <c r="I2551">
        <v>2023</v>
      </c>
      <c r="J2551">
        <v>1</v>
      </c>
      <c r="K2551" t="s">
        <v>22</v>
      </c>
      <c r="L2551" t="s">
        <v>21</v>
      </c>
      <c r="M2551">
        <v>0</v>
      </c>
    </row>
    <row r="2552" spans="1:13" x14ac:dyDescent="0.25">
      <c r="A2552" t="s">
        <v>1902</v>
      </c>
      <c r="B2552" t="s">
        <v>24</v>
      </c>
      <c r="C2552" t="s">
        <v>14</v>
      </c>
      <c r="D2552" t="s">
        <v>49</v>
      </c>
      <c r="E2552" t="s">
        <v>21</v>
      </c>
      <c r="F2552">
        <v>1</v>
      </c>
      <c r="G2552">
        <v>40</v>
      </c>
      <c r="H2552" s="1">
        <v>44932</v>
      </c>
      <c r="I2552">
        <v>2023</v>
      </c>
      <c r="J2552">
        <v>1</v>
      </c>
      <c r="K2552" t="s">
        <v>30</v>
      </c>
      <c r="L2552">
        <v>1</v>
      </c>
      <c r="M2552">
        <v>1</v>
      </c>
    </row>
    <row r="2553" spans="1:13" x14ac:dyDescent="0.25">
      <c r="A2553" t="s">
        <v>1903</v>
      </c>
      <c r="B2553" t="s">
        <v>70</v>
      </c>
      <c r="C2553" t="s">
        <v>14</v>
      </c>
      <c r="D2553" t="s">
        <v>33</v>
      </c>
      <c r="E2553" t="s">
        <v>21</v>
      </c>
      <c r="F2553">
        <v>0.75</v>
      </c>
      <c r="G2553">
        <v>204</v>
      </c>
      <c r="H2553" s="1">
        <v>44932</v>
      </c>
      <c r="I2553">
        <v>2023</v>
      </c>
      <c r="J2553">
        <v>1</v>
      </c>
      <c r="K2553" t="s">
        <v>36</v>
      </c>
      <c r="L2553">
        <v>0</v>
      </c>
      <c r="M2553">
        <v>1</v>
      </c>
    </row>
    <row r="2554" spans="1:13" x14ac:dyDescent="0.25">
      <c r="A2554" t="s">
        <v>1904</v>
      </c>
      <c r="B2554" t="s">
        <v>52</v>
      </c>
      <c r="C2554" t="s">
        <v>14</v>
      </c>
      <c r="D2554" t="s">
        <v>68</v>
      </c>
      <c r="E2554" t="s">
        <v>21</v>
      </c>
      <c r="F2554">
        <v>0.3</v>
      </c>
      <c r="G2554">
        <v>9</v>
      </c>
      <c r="H2554" s="1">
        <v>44932</v>
      </c>
      <c r="I2554">
        <v>2023</v>
      </c>
      <c r="J2554">
        <v>1</v>
      </c>
      <c r="K2554" t="s">
        <v>16</v>
      </c>
      <c r="L2554">
        <v>0</v>
      </c>
      <c r="M2554">
        <v>1</v>
      </c>
    </row>
    <row r="2555" spans="1:13" x14ac:dyDescent="0.25">
      <c r="A2555" t="s">
        <v>1905</v>
      </c>
      <c r="B2555" t="s">
        <v>35</v>
      </c>
      <c r="C2555" t="s">
        <v>14</v>
      </c>
      <c r="D2555" t="s">
        <v>15</v>
      </c>
      <c r="E2555">
        <v>388</v>
      </c>
      <c r="F2555" t="s">
        <v>21</v>
      </c>
      <c r="G2555">
        <v>999</v>
      </c>
      <c r="H2555" s="1">
        <v>44931</v>
      </c>
      <c r="I2555">
        <v>2023</v>
      </c>
      <c r="J2555">
        <v>1</v>
      </c>
      <c r="K2555" t="s">
        <v>36</v>
      </c>
      <c r="L2555" t="s">
        <v>21</v>
      </c>
      <c r="M2555">
        <v>1</v>
      </c>
    </row>
    <row r="2556" spans="1:13" x14ac:dyDescent="0.25">
      <c r="A2556" t="s">
        <v>1906</v>
      </c>
      <c r="B2556" t="s">
        <v>13</v>
      </c>
      <c r="C2556" t="s">
        <v>14</v>
      </c>
      <c r="D2556" t="s">
        <v>15</v>
      </c>
      <c r="E2556">
        <v>200</v>
      </c>
      <c r="F2556">
        <v>0.5</v>
      </c>
      <c r="G2556">
        <v>326</v>
      </c>
      <c r="H2556" s="1">
        <v>44931</v>
      </c>
      <c r="I2556">
        <v>2023</v>
      </c>
      <c r="J2556">
        <v>1</v>
      </c>
      <c r="K2556" t="s">
        <v>36</v>
      </c>
      <c r="L2556">
        <v>0</v>
      </c>
      <c r="M2556">
        <v>1</v>
      </c>
    </row>
    <row r="2557" spans="1:13" x14ac:dyDescent="0.25">
      <c r="A2557" t="s">
        <v>1907</v>
      </c>
      <c r="B2557" t="s">
        <v>77</v>
      </c>
      <c r="C2557" t="s">
        <v>14</v>
      </c>
      <c r="D2557" t="s">
        <v>111</v>
      </c>
      <c r="E2557">
        <v>104</v>
      </c>
      <c r="F2557">
        <v>0.19</v>
      </c>
      <c r="G2557">
        <v>646</v>
      </c>
      <c r="H2557" s="1">
        <v>44931</v>
      </c>
      <c r="I2557">
        <v>2023</v>
      </c>
      <c r="J2557">
        <v>1</v>
      </c>
      <c r="K2557" t="s">
        <v>36</v>
      </c>
      <c r="L2557">
        <v>0</v>
      </c>
      <c r="M2557">
        <v>1</v>
      </c>
    </row>
    <row r="2558" spans="1:13" x14ac:dyDescent="0.25">
      <c r="A2558" t="s">
        <v>1908</v>
      </c>
      <c r="B2558" t="s">
        <v>52</v>
      </c>
      <c r="C2558" t="s">
        <v>14</v>
      </c>
      <c r="D2558" t="s">
        <v>68</v>
      </c>
      <c r="E2558">
        <v>60</v>
      </c>
      <c r="F2558">
        <v>0.3</v>
      </c>
      <c r="G2558" t="s">
        <v>21</v>
      </c>
      <c r="H2558" s="1">
        <v>44931</v>
      </c>
      <c r="I2558">
        <v>2023</v>
      </c>
      <c r="J2558">
        <v>1</v>
      </c>
      <c r="K2558" t="s">
        <v>22</v>
      </c>
      <c r="L2558">
        <v>0</v>
      </c>
      <c r="M2558">
        <v>1</v>
      </c>
    </row>
    <row r="2559" spans="1:13" x14ac:dyDescent="0.25">
      <c r="A2559" t="s">
        <v>1909</v>
      </c>
      <c r="B2559" t="s">
        <v>24</v>
      </c>
      <c r="C2559" t="s">
        <v>64</v>
      </c>
      <c r="D2559" t="s">
        <v>43</v>
      </c>
      <c r="E2559">
        <v>40</v>
      </c>
      <c r="F2559">
        <v>0.02</v>
      </c>
      <c r="G2559">
        <v>472</v>
      </c>
      <c r="H2559" s="1">
        <v>44931</v>
      </c>
      <c r="I2559">
        <v>2023</v>
      </c>
      <c r="J2559">
        <v>1</v>
      </c>
      <c r="K2559" t="s">
        <v>36</v>
      </c>
      <c r="L2559">
        <v>0</v>
      </c>
      <c r="M2559">
        <v>1</v>
      </c>
    </row>
    <row r="2560" spans="1:13" x14ac:dyDescent="0.25">
      <c r="A2560" t="s">
        <v>1649</v>
      </c>
      <c r="B2560" t="s">
        <v>18</v>
      </c>
      <c r="C2560" t="s">
        <v>14</v>
      </c>
      <c r="D2560" t="s">
        <v>15</v>
      </c>
      <c r="E2560">
        <v>40</v>
      </c>
      <c r="F2560" t="s">
        <v>21</v>
      </c>
      <c r="G2560">
        <v>12900</v>
      </c>
      <c r="H2560" s="1">
        <v>44931</v>
      </c>
      <c r="I2560">
        <v>2023</v>
      </c>
      <c r="J2560">
        <v>1</v>
      </c>
      <c r="K2560" t="s">
        <v>26</v>
      </c>
      <c r="L2560" t="s">
        <v>21</v>
      </c>
      <c r="M2560">
        <v>1</v>
      </c>
    </row>
    <row r="2561" spans="1:13" x14ac:dyDescent="0.25">
      <c r="A2561" t="s">
        <v>1910</v>
      </c>
      <c r="B2561" t="s">
        <v>24</v>
      </c>
      <c r="C2561" t="s">
        <v>14</v>
      </c>
      <c r="D2561" t="s">
        <v>22</v>
      </c>
      <c r="E2561">
        <v>30</v>
      </c>
      <c r="F2561">
        <v>0.17</v>
      </c>
      <c r="G2561">
        <v>176</v>
      </c>
      <c r="H2561" s="1">
        <v>44931</v>
      </c>
      <c r="I2561">
        <v>2023</v>
      </c>
      <c r="J2561">
        <v>1</v>
      </c>
      <c r="K2561" t="s">
        <v>36</v>
      </c>
      <c r="L2561">
        <v>0</v>
      </c>
      <c r="M2561">
        <v>1</v>
      </c>
    </row>
    <row r="2562" spans="1:13" x14ac:dyDescent="0.25">
      <c r="A2562" t="s">
        <v>1911</v>
      </c>
      <c r="B2562" t="s">
        <v>38</v>
      </c>
      <c r="C2562" t="s">
        <v>29</v>
      </c>
      <c r="D2562" t="s">
        <v>46</v>
      </c>
      <c r="E2562">
        <v>30</v>
      </c>
      <c r="F2562">
        <v>0.25</v>
      </c>
      <c r="G2562">
        <v>116</v>
      </c>
      <c r="H2562" s="1">
        <v>44931</v>
      </c>
      <c r="I2562">
        <v>2023</v>
      </c>
      <c r="J2562">
        <v>1</v>
      </c>
      <c r="K2562" t="s">
        <v>36</v>
      </c>
      <c r="L2562">
        <v>0</v>
      </c>
      <c r="M2562">
        <v>1</v>
      </c>
    </row>
    <row r="2563" spans="1:13" x14ac:dyDescent="0.25">
      <c r="A2563" t="s">
        <v>1912</v>
      </c>
      <c r="B2563" t="s">
        <v>89</v>
      </c>
      <c r="C2563" t="s">
        <v>14</v>
      </c>
      <c r="D2563" t="s">
        <v>81</v>
      </c>
      <c r="E2563">
        <v>30</v>
      </c>
      <c r="F2563">
        <v>0.08</v>
      </c>
      <c r="G2563">
        <v>178</v>
      </c>
      <c r="H2563" s="1">
        <v>44931</v>
      </c>
      <c r="I2563">
        <v>2023</v>
      </c>
      <c r="J2563">
        <v>1</v>
      </c>
      <c r="K2563" t="s">
        <v>36</v>
      </c>
      <c r="L2563">
        <v>0</v>
      </c>
      <c r="M2563">
        <v>1</v>
      </c>
    </row>
    <row r="2564" spans="1:13" x14ac:dyDescent="0.25">
      <c r="A2564" t="s">
        <v>1913</v>
      </c>
      <c r="B2564" t="s">
        <v>70</v>
      </c>
      <c r="C2564" t="s">
        <v>29</v>
      </c>
      <c r="D2564" t="s">
        <v>22</v>
      </c>
      <c r="E2564">
        <v>30</v>
      </c>
      <c r="F2564">
        <v>0.33</v>
      </c>
      <c r="G2564">
        <v>50</v>
      </c>
      <c r="H2564" s="1">
        <v>44931</v>
      </c>
      <c r="I2564">
        <v>2023</v>
      </c>
      <c r="J2564">
        <v>1</v>
      </c>
      <c r="K2564" t="s">
        <v>30</v>
      </c>
      <c r="L2564">
        <v>0</v>
      </c>
      <c r="M2564">
        <v>1</v>
      </c>
    </row>
    <row r="2565" spans="1:13" x14ac:dyDescent="0.25">
      <c r="A2565" t="s">
        <v>1914</v>
      </c>
      <c r="B2565" t="s">
        <v>24</v>
      </c>
      <c r="C2565" t="s">
        <v>48</v>
      </c>
      <c r="D2565" t="s">
        <v>33</v>
      </c>
      <c r="E2565">
        <v>25</v>
      </c>
      <c r="F2565">
        <v>0.15</v>
      </c>
      <c r="G2565">
        <v>62</v>
      </c>
      <c r="H2565" s="1">
        <v>44931</v>
      </c>
      <c r="I2565">
        <v>2023</v>
      </c>
      <c r="J2565">
        <v>1</v>
      </c>
      <c r="K2565" t="s">
        <v>30</v>
      </c>
      <c r="L2565">
        <v>0</v>
      </c>
      <c r="M2565">
        <v>1</v>
      </c>
    </row>
    <row r="2566" spans="1:13" x14ac:dyDescent="0.25">
      <c r="A2566" t="s">
        <v>1915</v>
      </c>
      <c r="B2566" t="s">
        <v>54</v>
      </c>
      <c r="C2566" t="s">
        <v>14</v>
      </c>
      <c r="D2566" t="s">
        <v>111</v>
      </c>
      <c r="E2566" t="s">
        <v>21</v>
      </c>
      <c r="F2566">
        <v>0.15</v>
      </c>
      <c r="G2566">
        <v>863</v>
      </c>
      <c r="H2566" s="1">
        <v>44931</v>
      </c>
      <c r="I2566">
        <v>2023</v>
      </c>
      <c r="J2566">
        <v>1</v>
      </c>
      <c r="K2566" t="s">
        <v>36</v>
      </c>
      <c r="L2566">
        <v>0</v>
      </c>
      <c r="M2566">
        <v>1</v>
      </c>
    </row>
    <row r="2567" spans="1:13" x14ac:dyDescent="0.25">
      <c r="A2567" t="s">
        <v>1916</v>
      </c>
      <c r="B2567" t="s">
        <v>91</v>
      </c>
      <c r="C2567" t="s">
        <v>14</v>
      </c>
      <c r="D2567" t="s">
        <v>15</v>
      </c>
      <c r="E2567" t="s">
        <v>21</v>
      </c>
      <c r="F2567" t="s">
        <v>21</v>
      </c>
      <c r="G2567">
        <v>1600</v>
      </c>
      <c r="H2567" s="1">
        <v>44931</v>
      </c>
      <c r="I2567">
        <v>2023</v>
      </c>
      <c r="J2567">
        <v>1</v>
      </c>
      <c r="K2567" t="s">
        <v>26</v>
      </c>
      <c r="L2567" t="s">
        <v>21</v>
      </c>
      <c r="M2567">
        <v>0</v>
      </c>
    </row>
    <row r="2568" spans="1:13" x14ac:dyDescent="0.25">
      <c r="A2568" t="s">
        <v>1506</v>
      </c>
      <c r="B2568" t="s">
        <v>140</v>
      </c>
      <c r="C2568" t="s">
        <v>42</v>
      </c>
      <c r="D2568" t="s">
        <v>15</v>
      </c>
      <c r="E2568" t="s">
        <v>21</v>
      </c>
      <c r="F2568" t="s">
        <v>21</v>
      </c>
      <c r="G2568">
        <v>98</v>
      </c>
      <c r="H2568" s="1">
        <v>44931</v>
      </c>
      <c r="I2568">
        <v>2023</v>
      </c>
      <c r="J2568">
        <v>1</v>
      </c>
      <c r="K2568" t="s">
        <v>30</v>
      </c>
      <c r="L2568" t="s">
        <v>21</v>
      </c>
      <c r="M2568">
        <v>0</v>
      </c>
    </row>
    <row r="2569" spans="1:13" x14ac:dyDescent="0.25">
      <c r="A2569" t="s">
        <v>948</v>
      </c>
      <c r="B2569" t="s">
        <v>24</v>
      </c>
      <c r="C2569" t="s">
        <v>14</v>
      </c>
      <c r="D2569" t="s">
        <v>15</v>
      </c>
      <c r="E2569" t="s">
        <v>21</v>
      </c>
      <c r="F2569">
        <v>0.2</v>
      </c>
      <c r="G2569">
        <v>79</v>
      </c>
      <c r="H2569" s="1">
        <v>44931</v>
      </c>
      <c r="I2569">
        <v>2023</v>
      </c>
      <c r="J2569">
        <v>1</v>
      </c>
      <c r="K2569" t="s">
        <v>30</v>
      </c>
      <c r="L2569">
        <v>0</v>
      </c>
      <c r="M2569">
        <v>1</v>
      </c>
    </row>
    <row r="2570" spans="1:13" x14ac:dyDescent="0.25">
      <c r="A2570" t="s">
        <v>1917</v>
      </c>
      <c r="B2570" t="s">
        <v>35</v>
      </c>
      <c r="C2570" t="s">
        <v>14</v>
      </c>
      <c r="D2570" t="s">
        <v>15</v>
      </c>
      <c r="E2570" t="s">
        <v>21</v>
      </c>
      <c r="F2570">
        <v>0.4</v>
      </c>
      <c r="G2570">
        <v>173</v>
      </c>
      <c r="H2570" s="1">
        <v>44931</v>
      </c>
      <c r="I2570">
        <v>2023</v>
      </c>
      <c r="J2570">
        <v>1</v>
      </c>
      <c r="K2570" t="s">
        <v>36</v>
      </c>
      <c r="L2570">
        <v>0</v>
      </c>
      <c r="M2570">
        <v>1</v>
      </c>
    </row>
    <row r="2571" spans="1:13" x14ac:dyDescent="0.25">
      <c r="A2571" t="s">
        <v>240</v>
      </c>
      <c r="B2571" t="s">
        <v>24</v>
      </c>
      <c r="C2571" t="s">
        <v>14</v>
      </c>
      <c r="D2571" t="s">
        <v>15</v>
      </c>
      <c r="E2571">
        <v>8000</v>
      </c>
      <c r="F2571">
        <v>0.02</v>
      </c>
      <c r="G2571">
        <v>108</v>
      </c>
      <c r="H2571" s="1">
        <v>44930</v>
      </c>
      <c r="I2571">
        <v>2023</v>
      </c>
      <c r="J2571">
        <v>1</v>
      </c>
      <c r="K2571" t="s">
        <v>36</v>
      </c>
      <c r="L2571">
        <v>0</v>
      </c>
      <c r="M2571">
        <v>1</v>
      </c>
    </row>
    <row r="2572" spans="1:13" x14ac:dyDescent="0.25">
      <c r="A2572" t="s">
        <v>98</v>
      </c>
      <c r="B2572" t="s">
        <v>99</v>
      </c>
      <c r="C2572" t="s">
        <v>14</v>
      </c>
      <c r="D2572" t="s">
        <v>15</v>
      </c>
      <c r="E2572">
        <v>8000</v>
      </c>
      <c r="F2572">
        <v>0.1</v>
      </c>
      <c r="G2572">
        <v>65</v>
      </c>
      <c r="H2572" s="1">
        <v>44930</v>
      </c>
      <c r="I2572">
        <v>2023</v>
      </c>
      <c r="J2572">
        <v>1</v>
      </c>
      <c r="K2572" t="s">
        <v>30</v>
      </c>
      <c r="L2572">
        <v>0</v>
      </c>
      <c r="M2572">
        <v>1</v>
      </c>
    </row>
    <row r="2573" spans="1:13" x14ac:dyDescent="0.25">
      <c r="A2573" t="s">
        <v>1538</v>
      </c>
      <c r="B2573" t="s">
        <v>38</v>
      </c>
      <c r="C2573" t="s">
        <v>14</v>
      </c>
      <c r="D2573" t="s">
        <v>46</v>
      </c>
      <c r="E2573">
        <v>76</v>
      </c>
      <c r="F2573">
        <v>0.2</v>
      </c>
      <c r="G2573">
        <v>282</v>
      </c>
      <c r="H2573" s="1">
        <v>44930</v>
      </c>
      <c r="I2573">
        <v>2023</v>
      </c>
      <c r="J2573">
        <v>1</v>
      </c>
      <c r="K2573" t="s">
        <v>36</v>
      </c>
      <c r="L2573">
        <v>0</v>
      </c>
      <c r="M2573">
        <v>1</v>
      </c>
    </row>
    <row r="2574" spans="1:13" x14ac:dyDescent="0.25">
      <c r="A2574" t="s">
        <v>382</v>
      </c>
      <c r="B2574" t="s">
        <v>32</v>
      </c>
      <c r="C2574" t="s">
        <v>14</v>
      </c>
      <c r="D2574" t="s">
        <v>15</v>
      </c>
      <c r="E2574">
        <v>75</v>
      </c>
      <c r="F2574">
        <v>0.11</v>
      </c>
      <c r="G2574">
        <v>166</v>
      </c>
      <c r="H2574" s="1">
        <v>44930</v>
      </c>
      <c r="I2574">
        <v>2023</v>
      </c>
      <c r="J2574">
        <v>1</v>
      </c>
      <c r="K2574" t="s">
        <v>36</v>
      </c>
      <c r="L2574">
        <v>0</v>
      </c>
      <c r="M2574">
        <v>1</v>
      </c>
    </row>
    <row r="2575" spans="1:13" x14ac:dyDescent="0.25">
      <c r="A2575" t="s">
        <v>405</v>
      </c>
      <c r="B2575" t="s">
        <v>102</v>
      </c>
      <c r="C2575" t="s">
        <v>14</v>
      </c>
      <c r="D2575" t="s">
        <v>111</v>
      </c>
      <c r="E2575">
        <v>20</v>
      </c>
      <c r="F2575">
        <v>0.05</v>
      </c>
      <c r="G2575">
        <v>274</v>
      </c>
      <c r="H2575" s="1">
        <v>44930</v>
      </c>
      <c r="I2575">
        <v>2023</v>
      </c>
      <c r="J2575">
        <v>1</v>
      </c>
      <c r="K2575" t="s">
        <v>36</v>
      </c>
      <c r="L2575">
        <v>0</v>
      </c>
      <c r="M2575">
        <v>1</v>
      </c>
    </row>
    <row r="2576" spans="1:13" x14ac:dyDescent="0.25">
      <c r="A2576" t="s">
        <v>1918</v>
      </c>
      <c r="B2576" t="s">
        <v>35</v>
      </c>
      <c r="C2576" t="s">
        <v>14</v>
      </c>
      <c r="D2576" t="s">
        <v>15</v>
      </c>
      <c r="E2576" t="s">
        <v>21</v>
      </c>
      <c r="F2576">
        <v>0.25</v>
      </c>
      <c r="G2576">
        <v>530</v>
      </c>
      <c r="H2576" s="1">
        <v>44930</v>
      </c>
      <c r="I2576">
        <v>2023</v>
      </c>
      <c r="J2576">
        <v>1</v>
      </c>
      <c r="K2576" t="s">
        <v>36</v>
      </c>
      <c r="L2576">
        <v>0</v>
      </c>
      <c r="M2576">
        <v>1</v>
      </c>
    </row>
    <row r="2577" spans="1:13" x14ac:dyDescent="0.25">
      <c r="A2577" t="s">
        <v>210</v>
      </c>
      <c r="B2577" t="s">
        <v>18</v>
      </c>
      <c r="C2577" t="s">
        <v>14</v>
      </c>
      <c r="D2577" t="s">
        <v>15</v>
      </c>
      <c r="E2577" t="s">
        <v>21</v>
      </c>
      <c r="F2577">
        <v>0.11</v>
      </c>
      <c r="G2577">
        <v>450</v>
      </c>
      <c r="H2577" s="1">
        <v>44930</v>
      </c>
      <c r="I2577">
        <v>2023</v>
      </c>
      <c r="J2577">
        <v>1</v>
      </c>
      <c r="K2577" t="s">
        <v>36</v>
      </c>
      <c r="L2577">
        <v>0</v>
      </c>
      <c r="M2577">
        <v>1</v>
      </c>
    </row>
    <row r="2578" spans="1:13" x14ac:dyDescent="0.25">
      <c r="A2578" t="s">
        <v>1919</v>
      </c>
      <c r="B2578" t="s">
        <v>52</v>
      </c>
      <c r="C2578" t="s">
        <v>14</v>
      </c>
      <c r="D2578" t="s">
        <v>22</v>
      </c>
      <c r="E2578" t="s">
        <v>21</v>
      </c>
      <c r="F2578">
        <v>1</v>
      </c>
      <c r="G2578">
        <v>29</v>
      </c>
      <c r="H2578" s="1">
        <v>44930</v>
      </c>
      <c r="I2578">
        <v>2023</v>
      </c>
      <c r="J2578">
        <v>1</v>
      </c>
      <c r="K2578" t="s">
        <v>30</v>
      </c>
      <c r="L2578">
        <v>1</v>
      </c>
      <c r="M2578">
        <v>1</v>
      </c>
    </row>
    <row r="2579" spans="1:13" x14ac:dyDescent="0.25">
      <c r="A2579" t="s">
        <v>1197</v>
      </c>
      <c r="B2579" t="s">
        <v>40</v>
      </c>
      <c r="C2579" t="s">
        <v>14</v>
      </c>
      <c r="D2579" t="s">
        <v>15</v>
      </c>
      <c r="E2579">
        <v>245</v>
      </c>
      <c r="F2579">
        <v>0.04</v>
      </c>
      <c r="G2579" t="s">
        <v>21</v>
      </c>
      <c r="H2579" s="1">
        <v>44929</v>
      </c>
      <c r="I2579">
        <v>2023</v>
      </c>
      <c r="J2579">
        <v>1</v>
      </c>
      <c r="K2579" t="s">
        <v>22</v>
      </c>
      <c r="L2579">
        <v>0</v>
      </c>
      <c r="M2579">
        <v>1</v>
      </c>
    </row>
    <row r="2580" spans="1:13" x14ac:dyDescent="0.25">
      <c r="A2580" t="s">
        <v>1920</v>
      </c>
      <c r="B2580" t="s">
        <v>89</v>
      </c>
      <c r="C2580" t="s">
        <v>14</v>
      </c>
      <c r="D2580" t="s">
        <v>111</v>
      </c>
      <c r="E2580">
        <v>76</v>
      </c>
      <c r="F2580">
        <v>0.1</v>
      </c>
      <c r="G2580">
        <v>620</v>
      </c>
      <c r="H2580" s="1">
        <v>44929</v>
      </c>
      <c r="I2580">
        <v>2023</v>
      </c>
      <c r="J2580">
        <v>1</v>
      </c>
      <c r="K2580" t="s">
        <v>36</v>
      </c>
      <c r="L2580">
        <v>0</v>
      </c>
      <c r="M2580">
        <v>1</v>
      </c>
    </row>
    <row r="2581" spans="1:13" x14ac:dyDescent="0.25">
      <c r="A2581" t="s">
        <v>1921</v>
      </c>
      <c r="B2581" t="s">
        <v>106</v>
      </c>
      <c r="C2581" t="s">
        <v>48</v>
      </c>
      <c r="D2581" t="s">
        <v>20</v>
      </c>
      <c r="E2581">
        <v>60</v>
      </c>
      <c r="F2581">
        <v>0.3</v>
      </c>
      <c r="G2581" t="s">
        <v>21</v>
      </c>
      <c r="H2581" s="1">
        <v>44929</v>
      </c>
      <c r="I2581">
        <v>2023</v>
      </c>
      <c r="J2581">
        <v>1</v>
      </c>
      <c r="K2581" t="s">
        <v>22</v>
      </c>
      <c r="L2581">
        <v>0</v>
      </c>
      <c r="M2581">
        <v>1</v>
      </c>
    </row>
    <row r="2582" spans="1:13" x14ac:dyDescent="0.25">
      <c r="A2582" t="s">
        <v>609</v>
      </c>
      <c r="B2582" t="s">
        <v>18</v>
      </c>
      <c r="C2582" t="s">
        <v>657</v>
      </c>
      <c r="D2582" t="s">
        <v>22</v>
      </c>
      <c r="E2582" t="s">
        <v>21</v>
      </c>
      <c r="F2582">
        <v>0.1</v>
      </c>
      <c r="G2582">
        <v>9400</v>
      </c>
      <c r="H2582" s="1">
        <v>44929</v>
      </c>
      <c r="I2582">
        <v>2023</v>
      </c>
      <c r="J2582">
        <v>1</v>
      </c>
      <c r="K2582" t="s">
        <v>26</v>
      </c>
      <c r="L2582">
        <v>0</v>
      </c>
      <c r="M2582">
        <v>1</v>
      </c>
    </row>
    <row r="2583" spans="1:13" x14ac:dyDescent="0.25">
      <c r="A2583" t="s">
        <v>122</v>
      </c>
      <c r="B2583" t="s">
        <v>89</v>
      </c>
      <c r="C2583" t="s">
        <v>14</v>
      </c>
      <c r="D2583" t="s">
        <v>15</v>
      </c>
      <c r="E2583">
        <v>700</v>
      </c>
      <c r="F2583">
        <v>0.03</v>
      </c>
      <c r="G2583" t="s">
        <v>21</v>
      </c>
      <c r="H2583" s="1">
        <v>44928</v>
      </c>
      <c r="I2583">
        <v>2023</v>
      </c>
      <c r="J2583">
        <v>1</v>
      </c>
      <c r="K2583" t="s">
        <v>22</v>
      </c>
      <c r="L2583">
        <v>0</v>
      </c>
      <c r="M2583">
        <v>1</v>
      </c>
    </row>
    <row r="2584" spans="1:13" x14ac:dyDescent="0.25">
      <c r="A2584" t="s">
        <v>378</v>
      </c>
      <c r="B2584" t="s">
        <v>70</v>
      </c>
      <c r="C2584" t="s">
        <v>14</v>
      </c>
      <c r="D2584" t="s">
        <v>15</v>
      </c>
      <c r="E2584">
        <v>4800</v>
      </c>
      <c r="F2584">
        <v>0.1</v>
      </c>
      <c r="G2584">
        <v>50</v>
      </c>
      <c r="H2584" s="1">
        <v>44927</v>
      </c>
      <c r="I2584">
        <v>2023</v>
      </c>
      <c r="J2584">
        <v>1</v>
      </c>
      <c r="K2584" t="s">
        <v>30</v>
      </c>
      <c r="L2584">
        <v>0</v>
      </c>
      <c r="M2584">
        <v>1</v>
      </c>
    </row>
    <row r="2585" spans="1:13" x14ac:dyDescent="0.25">
      <c r="A2585" t="s">
        <v>1922</v>
      </c>
      <c r="B2585" t="s">
        <v>70</v>
      </c>
      <c r="C2585" t="s">
        <v>657</v>
      </c>
      <c r="D2585" t="s">
        <v>111</v>
      </c>
      <c r="E2585" t="s">
        <v>21</v>
      </c>
      <c r="F2585" t="s">
        <v>21</v>
      </c>
      <c r="G2585">
        <v>682</v>
      </c>
      <c r="H2585" s="1">
        <v>44927</v>
      </c>
      <c r="I2585">
        <v>2023</v>
      </c>
      <c r="J2585">
        <v>1</v>
      </c>
      <c r="K2585" t="s">
        <v>36</v>
      </c>
      <c r="L2585" t="s">
        <v>21</v>
      </c>
      <c r="M2585">
        <v>0</v>
      </c>
    </row>
    <row r="2586" spans="1:13" x14ac:dyDescent="0.25">
      <c r="A2586" t="s">
        <v>1313</v>
      </c>
      <c r="B2586" t="s">
        <v>140</v>
      </c>
      <c r="C2586" t="s">
        <v>14</v>
      </c>
      <c r="D2586" t="s">
        <v>68</v>
      </c>
      <c r="E2586">
        <v>35</v>
      </c>
      <c r="F2586" t="s">
        <v>21</v>
      </c>
      <c r="G2586">
        <v>39</v>
      </c>
      <c r="H2586" s="1">
        <v>44926</v>
      </c>
      <c r="I2586">
        <v>2022</v>
      </c>
      <c r="J2586">
        <v>12</v>
      </c>
      <c r="K2586" t="s">
        <v>30</v>
      </c>
      <c r="L2586" t="s">
        <v>21</v>
      </c>
      <c r="M2586">
        <v>1</v>
      </c>
    </row>
    <row r="2587" spans="1:13" x14ac:dyDescent="0.25">
      <c r="A2587" t="s">
        <v>1923</v>
      </c>
      <c r="B2587" t="s">
        <v>95</v>
      </c>
      <c r="C2587" t="s">
        <v>80</v>
      </c>
      <c r="D2587" t="s">
        <v>22</v>
      </c>
      <c r="E2587" t="s">
        <v>21</v>
      </c>
      <c r="F2587">
        <v>0.14000000000000001</v>
      </c>
      <c r="G2587">
        <v>675</v>
      </c>
      <c r="H2587" s="1">
        <v>44926</v>
      </c>
      <c r="I2587">
        <v>2022</v>
      </c>
      <c r="J2587">
        <v>12</v>
      </c>
      <c r="K2587" t="s">
        <v>36</v>
      </c>
      <c r="L2587">
        <v>0</v>
      </c>
      <c r="M2587">
        <v>1</v>
      </c>
    </row>
    <row r="2588" spans="1:13" x14ac:dyDescent="0.25">
      <c r="A2588" t="s">
        <v>1420</v>
      </c>
      <c r="B2588" t="s">
        <v>52</v>
      </c>
      <c r="C2588" t="s">
        <v>184</v>
      </c>
      <c r="D2588" t="s">
        <v>49</v>
      </c>
      <c r="E2588" t="s">
        <v>21</v>
      </c>
      <c r="F2588" t="s">
        <v>21</v>
      </c>
      <c r="G2588">
        <v>23</v>
      </c>
      <c r="H2588" s="1">
        <v>44926</v>
      </c>
      <c r="I2588">
        <v>2022</v>
      </c>
      <c r="J2588">
        <v>12</v>
      </c>
      <c r="K2588" t="s">
        <v>30</v>
      </c>
      <c r="L2588" t="s">
        <v>21</v>
      </c>
      <c r="M2588">
        <v>0</v>
      </c>
    </row>
    <row r="2589" spans="1:13" x14ac:dyDescent="0.25">
      <c r="A2589" t="s">
        <v>1924</v>
      </c>
      <c r="B2589" t="s">
        <v>32</v>
      </c>
      <c r="C2589" t="s">
        <v>657</v>
      </c>
      <c r="D2589" t="s">
        <v>15</v>
      </c>
      <c r="E2589" t="s">
        <v>21</v>
      </c>
      <c r="F2589">
        <v>0.3</v>
      </c>
      <c r="G2589">
        <v>3700</v>
      </c>
      <c r="H2589" s="1">
        <v>44922</v>
      </c>
      <c r="I2589">
        <v>2022</v>
      </c>
      <c r="J2589">
        <v>12</v>
      </c>
      <c r="K2589" t="s">
        <v>26</v>
      </c>
      <c r="L2589">
        <v>0</v>
      </c>
      <c r="M2589">
        <v>1</v>
      </c>
    </row>
    <row r="2590" spans="1:13" x14ac:dyDescent="0.25">
      <c r="A2590" t="s">
        <v>1925</v>
      </c>
      <c r="B2590" t="s">
        <v>52</v>
      </c>
      <c r="C2590" t="s">
        <v>1926</v>
      </c>
      <c r="D2590" t="s">
        <v>68</v>
      </c>
      <c r="E2590" t="s">
        <v>21</v>
      </c>
      <c r="F2590">
        <v>0.4</v>
      </c>
      <c r="G2590">
        <v>8</v>
      </c>
      <c r="H2590" s="1">
        <v>44922</v>
      </c>
      <c r="I2590">
        <v>2022</v>
      </c>
      <c r="J2590">
        <v>12</v>
      </c>
      <c r="K2590" t="s">
        <v>16</v>
      </c>
      <c r="L2590">
        <v>0</v>
      </c>
      <c r="M2590">
        <v>1</v>
      </c>
    </row>
    <row r="2591" spans="1:13" x14ac:dyDescent="0.25">
      <c r="A2591" t="s">
        <v>1927</v>
      </c>
      <c r="B2591" t="s">
        <v>77</v>
      </c>
      <c r="C2591" t="s">
        <v>74</v>
      </c>
      <c r="D2591" t="s">
        <v>20</v>
      </c>
      <c r="E2591">
        <v>150</v>
      </c>
      <c r="F2591">
        <v>0.06</v>
      </c>
      <c r="G2591" t="s">
        <v>21</v>
      </c>
      <c r="H2591" s="1">
        <v>44921</v>
      </c>
      <c r="I2591">
        <v>2022</v>
      </c>
      <c r="J2591">
        <v>12</v>
      </c>
      <c r="K2591" t="s">
        <v>22</v>
      </c>
      <c r="L2591">
        <v>0</v>
      </c>
      <c r="M2591">
        <v>1</v>
      </c>
    </row>
    <row r="2592" spans="1:13" x14ac:dyDescent="0.25">
      <c r="A2592" t="s">
        <v>1928</v>
      </c>
      <c r="B2592" t="s">
        <v>13</v>
      </c>
      <c r="C2592" t="s">
        <v>80</v>
      </c>
      <c r="D2592" t="s">
        <v>33</v>
      </c>
      <c r="E2592" t="s">
        <v>21</v>
      </c>
      <c r="F2592">
        <v>0.15</v>
      </c>
      <c r="G2592">
        <v>96</v>
      </c>
      <c r="H2592" s="1">
        <v>44920</v>
      </c>
      <c r="I2592">
        <v>2022</v>
      </c>
      <c r="J2592">
        <v>12</v>
      </c>
      <c r="K2592" t="s">
        <v>30</v>
      </c>
      <c r="L2592">
        <v>0</v>
      </c>
      <c r="M2592">
        <v>1</v>
      </c>
    </row>
    <row r="2593" spans="1:13" x14ac:dyDescent="0.25">
      <c r="A2593" t="s">
        <v>1929</v>
      </c>
      <c r="B2593" t="s">
        <v>91</v>
      </c>
      <c r="C2593" t="s">
        <v>42</v>
      </c>
      <c r="D2593" t="s">
        <v>22</v>
      </c>
      <c r="E2593">
        <v>99</v>
      </c>
      <c r="F2593">
        <v>0.22</v>
      </c>
      <c r="G2593" t="s">
        <v>21</v>
      </c>
      <c r="H2593" s="1">
        <v>44918</v>
      </c>
      <c r="I2593">
        <v>2022</v>
      </c>
      <c r="J2593">
        <v>12</v>
      </c>
      <c r="K2593" t="s">
        <v>22</v>
      </c>
      <c r="L2593">
        <v>0</v>
      </c>
      <c r="M2593">
        <v>1</v>
      </c>
    </row>
    <row r="2594" spans="1:13" x14ac:dyDescent="0.25">
      <c r="A2594" t="s">
        <v>1930</v>
      </c>
      <c r="B2594" t="s">
        <v>24</v>
      </c>
      <c r="C2594" t="s">
        <v>539</v>
      </c>
      <c r="D2594" t="s">
        <v>111</v>
      </c>
      <c r="E2594">
        <v>93</v>
      </c>
      <c r="F2594">
        <v>0.13</v>
      </c>
      <c r="G2594">
        <v>1000</v>
      </c>
      <c r="H2594" s="1">
        <v>44918</v>
      </c>
      <c r="I2594">
        <v>2022</v>
      </c>
      <c r="J2594">
        <v>12</v>
      </c>
      <c r="K2594" t="s">
        <v>26</v>
      </c>
      <c r="L2594">
        <v>0</v>
      </c>
      <c r="M2594">
        <v>1</v>
      </c>
    </row>
    <row r="2595" spans="1:13" x14ac:dyDescent="0.25">
      <c r="A2595" t="s">
        <v>1931</v>
      </c>
      <c r="B2595" t="s">
        <v>91</v>
      </c>
      <c r="C2595" t="s">
        <v>80</v>
      </c>
      <c r="D2595" t="s">
        <v>46</v>
      </c>
      <c r="E2595">
        <v>50</v>
      </c>
      <c r="F2595" t="s">
        <v>21</v>
      </c>
      <c r="G2595">
        <v>25</v>
      </c>
      <c r="H2595" s="1">
        <v>44918</v>
      </c>
      <c r="I2595">
        <v>2022</v>
      </c>
      <c r="J2595">
        <v>12</v>
      </c>
      <c r="K2595" t="s">
        <v>30</v>
      </c>
      <c r="L2595" t="s">
        <v>21</v>
      </c>
      <c r="M2595">
        <v>1</v>
      </c>
    </row>
    <row r="2596" spans="1:13" x14ac:dyDescent="0.25">
      <c r="A2596" t="s">
        <v>199</v>
      </c>
      <c r="B2596" t="s">
        <v>70</v>
      </c>
      <c r="C2596" t="s">
        <v>14</v>
      </c>
      <c r="D2596" t="s">
        <v>15</v>
      </c>
      <c r="E2596">
        <v>153</v>
      </c>
      <c r="F2596" t="s">
        <v>21</v>
      </c>
      <c r="G2596" t="s">
        <v>21</v>
      </c>
      <c r="H2596" s="1">
        <v>44917</v>
      </c>
      <c r="I2596">
        <v>2022</v>
      </c>
      <c r="J2596">
        <v>12</v>
      </c>
      <c r="K2596" t="s">
        <v>22</v>
      </c>
      <c r="L2596" t="s">
        <v>21</v>
      </c>
      <c r="M2596">
        <v>1</v>
      </c>
    </row>
    <row r="2597" spans="1:13" x14ac:dyDescent="0.25">
      <c r="A2597" t="s">
        <v>1032</v>
      </c>
      <c r="B2597" t="s">
        <v>66</v>
      </c>
      <c r="C2597" t="s">
        <v>14</v>
      </c>
      <c r="D2597" t="s">
        <v>15</v>
      </c>
      <c r="E2597">
        <v>350</v>
      </c>
      <c r="F2597">
        <v>0.25</v>
      </c>
      <c r="G2597">
        <v>648</v>
      </c>
      <c r="H2597" s="1">
        <v>44916</v>
      </c>
      <c r="I2597">
        <v>2022</v>
      </c>
      <c r="J2597">
        <v>12</v>
      </c>
      <c r="K2597" t="s">
        <v>36</v>
      </c>
      <c r="L2597">
        <v>0</v>
      </c>
      <c r="M2597">
        <v>1</v>
      </c>
    </row>
    <row r="2598" spans="1:13" x14ac:dyDescent="0.25">
      <c r="A2598" t="s">
        <v>1932</v>
      </c>
      <c r="B2598" t="s">
        <v>13</v>
      </c>
      <c r="C2598" t="s">
        <v>83</v>
      </c>
      <c r="D2598" t="s">
        <v>68</v>
      </c>
      <c r="E2598" t="s">
        <v>21</v>
      </c>
      <c r="F2598">
        <v>0.5</v>
      </c>
      <c r="G2598">
        <v>90</v>
      </c>
      <c r="H2598" s="1">
        <v>44916</v>
      </c>
      <c r="I2598">
        <v>2022</v>
      </c>
      <c r="J2598">
        <v>12</v>
      </c>
      <c r="K2598" t="s">
        <v>30</v>
      </c>
      <c r="L2598">
        <v>0</v>
      </c>
      <c r="M2598">
        <v>1</v>
      </c>
    </row>
    <row r="2599" spans="1:13" x14ac:dyDescent="0.25">
      <c r="A2599" t="s">
        <v>1933</v>
      </c>
      <c r="B2599" t="s">
        <v>95</v>
      </c>
      <c r="C2599" t="s">
        <v>64</v>
      </c>
      <c r="D2599" t="s">
        <v>111</v>
      </c>
      <c r="E2599">
        <v>65</v>
      </c>
      <c r="F2599">
        <v>0.24</v>
      </c>
      <c r="G2599">
        <v>50</v>
      </c>
      <c r="H2599" s="1">
        <v>44915</v>
      </c>
      <c r="I2599">
        <v>2022</v>
      </c>
      <c r="J2599">
        <v>12</v>
      </c>
      <c r="K2599" t="s">
        <v>30</v>
      </c>
      <c r="L2599">
        <v>0</v>
      </c>
      <c r="M2599">
        <v>1</v>
      </c>
    </row>
    <row r="2600" spans="1:13" x14ac:dyDescent="0.25">
      <c r="A2600" t="s">
        <v>1934</v>
      </c>
      <c r="B2600" t="s">
        <v>77</v>
      </c>
      <c r="C2600" t="s">
        <v>174</v>
      </c>
      <c r="D2600" t="s">
        <v>68</v>
      </c>
      <c r="E2600">
        <v>26</v>
      </c>
      <c r="F2600">
        <v>0.4</v>
      </c>
      <c r="G2600">
        <v>10</v>
      </c>
      <c r="H2600" s="1">
        <v>44915</v>
      </c>
      <c r="I2600">
        <v>2022</v>
      </c>
      <c r="J2600">
        <v>12</v>
      </c>
      <c r="K2600" t="s">
        <v>30</v>
      </c>
      <c r="L2600">
        <v>0</v>
      </c>
      <c r="M2600">
        <v>1</v>
      </c>
    </row>
    <row r="2601" spans="1:13" x14ac:dyDescent="0.25">
      <c r="A2601" t="s">
        <v>1935</v>
      </c>
      <c r="B2601" t="s">
        <v>38</v>
      </c>
      <c r="C2601" t="s">
        <v>80</v>
      </c>
      <c r="D2601" t="s">
        <v>22</v>
      </c>
      <c r="E2601" t="s">
        <v>21</v>
      </c>
      <c r="F2601" t="s">
        <v>21</v>
      </c>
      <c r="G2601">
        <v>63</v>
      </c>
      <c r="H2601" s="1">
        <v>44915</v>
      </c>
      <c r="I2601">
        <v>2022</v>
      </c>
      <c r="J2601">
        <v>12</v>
      </c>
      <c r="K2601" t="s">
        <v>30</v>
      </c>
      <c r="L2601" t="s">
        <v>21</v>
      </c>
      <c r="M2601">
        <v>0</v>
      </c>
    </row>
    <row r="2602" spans="1:13" x14ac:dyDescent="0.25">
      <c r="A2602" t="s">
        <v>1936</v>
      </c>
      <c r="B2602" t="s">
        <v>18</v>
      </c>
      <c r="C2602" t="s">
        <v>657</v>
      </c>
      <c r="D2602" t="s">
        <v>43</v>
      </c>
      <c r="E2602" t="s">
        <v>21</v>
      </c>
      <c r="F2602">
        <v>0.1</v>
      </c>
      <c r="G2602">
        <v>892</v>
      </c>
      <c r="H2602" s="1">
        <v>44915</v>
      </c>
      <c r="I2602">
        <v>2022</v>
      </c>
      <c r="J2602">
        <v>12</v>
      </c>
      <c r="K2602" t="s">
        <v>36</v>
      </c>
      <c r="L2602">
        <v>0</v>
      </c>
      <c r="M2602">
        <v>1</v>
      </c>
    </row>
    <row r="2603" spans="1:13" x14ac:dyDescent="0.25">
      <c r="A2603" t="s">
        <v>1937</v>
      </c>
      <c r="B2603" t="s">
        <v>91</v>
      </c>
      <c r="C2603" t="s">
        <v>14</v>
      </c>
      <c r="D2603" t="s">
        <v>20</v>
      </c>
      <c r="E2603">
        <v>18</v>
      </c>
      <c r="F2603">
        <v>0.13</v>
      </c>
      <c r="G2603">
        <v>4</v>
      </c>
      <c r="H2603" s="1">
        <v>44914</v>
      </c>
      <c r="I2603">
        <v>2022</v>
      </c>
      <c r="J2603">
        <v>12</v>
      </c>
      <c r="K2603" t="s">
        <v>16</v>
      </c>
      <c r="L2603">
        <v>0</v>
      </c>
      <c r="M2603">
        <v>1</v>
      </c>
    </row>
    <row r="2604" spans="1:13" x14ac:dyDescent="0.25">
      <c r="A2604" t="s">
        <v>1938</v>
      </c>
      <c r="B2604" t="s">
        <v>35</v>
      </c>
      <c r="C2604" t="s">
        <v>14</v>
      </c>
      <c r="D2604" t="s">
        <v>55</v>
      </c>
      <c r="E2604" t="s">
        <v>21</v>
      </c>
      <c r="F2604" t="s">
        <v>21</v>
      </c>
      <c r="G2604">
        <v>136</v>
      </c>
      <c r="H2604" s="1">
        <v>44914</v>
      </c>
      <c r="I2604">
        <v>2022</v>
      </c>
      <c r="J2604">
        <v>12</v>
      </c>
      <c r="K2604" t="s">
        <v>36</v>
      </c>
      <c r="L2604" t="s">
        <v>21</v>
      </c>
      <c r="M2604">
        <v>0</v>
      </c>
    </row>
    <row r="2605" spans="1:13" x14ac:dyDescent="0.25">
      <c r="A2605" t="s">
        <v>1939</v>
      </c>
      <c r="B2605" t="s">
        <v>18</v>
      </c>
      <c r="C2605" t="s">
        <v>657</v>
      </c>
      <c r="D2605" t="s">
        <v>15</v>
      </c>
      <c r="E2605" t="s">
        <v>21</v>
      </c>
      <c r="F2605" t="s">
        <v>21</v>
      </c>
      <c r="G2605">
        <v>7400</v>
      </c>
      <c r="H2605" s="1">
        <v>44914</v>
      </c>
      <c r="I2605">
        <v>2022</v>
      </c>
      <c r="J2605">
        <v>12</v>
      </c>
      <c r="K2605" t="s">
        <v>26</v>
      </c>
      <c r="L2605" t="s">
        <v>21</v>
      </c>
      <c r="M2605">
        <v>0</v>
      </c>
    </row>
    <row r="2606" spans="1:13" x14ac:dyDescent="0.25">
      <c r="A2606" t="s">
        <v>1940</v>
      </c>
      <c r="B2606" t="s">
        <v>95</v>
      </c>
      <c r="C2606" t="s">
        <v>42</v>
      </c>
      <c r="D2606" t="s">
        <v>22</v>
      </c>
      <c r="E2606" t="s">
        <v>21</v>
      </c>
      <c r="F2606">
        <v>1</v>
      </c>
      <c r="G2606">
        <v>2</v>
      </c>
      <c r="H2606" s="1">
        <v>44914</v>
      </c>
      <c r="I2606">
        <v>2022</v>
      </c>
      <c r="J2606">
        <v>12</v>
      </c>
      <c r="K2606" t="s">
        <v>16</v>
      </c>
      <c r="L2606">
        <v>1</v>
      </c>
      <c r="M2606">
        <v>1</v>
      </c>
    </row>
    <row r="2607" spans="1:13" x14ac:dyDescent="0.25">
      <c r="A2607" t="s">
        <v>442</v>
      </c>
      <c r="B2607" t="s">
        <v>77</v>
      </c>
      <c r="C2607" t="s">
        <v>83</v>
      </c>
      <c r="D2607" t="s">
        <v>22</v>
      </c>
      <c r="E2607">
        <v>30</v>
      </c>
      <c r="F2607">
        <v>0.25</v>
      </c>
      <c r="G2607">
        <v>29</v>
      </c>
      <c r="H2607" s="1">
        <v>44911</v>
      </c>
      <c r="I2607">
        <v>2022</v>
      </c>
      <c r="J2607">
        <v>12</v>
      </c>
      <c r="K2607" t="s">
        <v>30</v>
      </c>
      <c r="L2607">
        <v>0</v>
      </c>
      <c r="M2607">
        <v>1</v>
      </c>
    </row>
    <row r="2608" spans="1:13" x14ac:dyDescent="0.25">
      <c r="A2608" t="s">
        <v>1941</v>
      </c>
      <c r="B2608" t="s">
        <v>38</v>
      </c>
      <c r="C2608" t="s">
        <v>174</v>
      </c>
      <c r="D2608" t="s">
        <v>68</v>
      </c>
      <c r="E2608">
        <v>24</v>
      </c>
      <c r="F2608">
        <v>0.3</v>
      </c>
      <c r="G2608">
        <v>26</v>
      </c>
      <c r="H2608" s="1">
        <v>44911</v>
      </c>
      <c r="I2608">
        <v>2022</v>
      </c>
      <c r="J2608">
        <v>12</v>
      </c>
      <c r="K2608" t="s">
        <v>30</v>
      </c>
      <c r="L2608">
        <v>0</v>
      </c>
      <c r="M2608">
        <v>1</v>
      </c>
    </row>
    <row r="2609" spans="1:13" x14ac:dyDescent="0.25">
      <c r="A2609" t="s">
        <v>1485</v>
      </c>
      <c r="B2609" t="s">
        <v>52</v>
      </c>
      <c r="C2609" t="s">
        <v>14</v>
      </c>
      <c r="D2609" t="s">
        <v>33</v>
      </c>
      <c r="E2609" t="s">
        <v>21</v>
      </c>
      <c r="F2609" t="s">
        <v>21</v>
      </c>
      <c r="G2609">
        <v>205</v>
      </c>
      <c r="H2609" s="1">
        <v>44911</v>
      </c>
      <c r="I2609">
        <v>2022</v>
      </c>
      <c r="J2609">
        <v>12</v>
      </c>
      <c r="K2609" t="s">
        <v>36</v>
      </c>
      <c r="L2609" t="s">
        <v>21</v>
      </c>
      <c r="M2609">
        <v>0</v>
      </c>
    </row>
    <row r="2610" spans="1:13" x14ac:dyDescent="0.25">
      <c r="A2610" t="s">
        <v>1942</v>
      </c>
      <c r="B2610" t="s">
        <v>66</v>
      </c>
      <c r="C2610" t="s">
        <v>174</v>
      </c>
      <c r="D2610" t="s">
        <v>15</v>
      </c>
      <c r="E2610" t="s">
        <v>21</v>
      </c>
      <c r="F2610" t="s">
        <v>21</v>
      </c>
      <c r="G2610" t="s">
        <v>21</v>
      </c>
      <c r="H2610" s="1">
        <v>44911</v>
      </c>
      <c r="I2610">
        <v>2022</v>
      </c>
      <c r="J2610">
        <v>12</v>
      </c>
      <c r="K2610" t="s">
        <v>22</v>
      </c>
      <c r="L2610" t="s">
        <v>21</v>
      </c>
      <c r="M2610">
        <v>0</v>
      </c>
    </row>
    <row r="2611" spans="1:13" x14ac:dyDescent="0.25">
      <c r="A2611" t="s">
        <v>624</v>
      </c>
      <c r="B2611" t="s">
        <v>77</v>
      </c>
      <c r="C2611" t="s">
        <v>174</v>
      </c>
      <c r="D2611" t="s">
        <v>22</v>
      </c>
      <c r="E2611" t="s">
        <v>21</v>
      </c>
      <c r="F2611" t="s">
        <v>21</v>
      </c>
      <c r="G2611">
        <v>331</v>
      </c>
      <c r="H2611" s="1">
        <v>44911</v>
      </c>
      <c r="I2611">
        <v>2022</v>
      </c>
      <c r="J2611">
        <v>12</v>
      </c>
      <c r="K2611" t="s">
        <v>36</v>
      </c>
      <c r="L2611" t="s">
        <v>21</v>
      </c>
      <c r="M2611">
        <v>0</v>
      </c>
    </row>
    <row r="2612" spans="1:13" x14ac:dyDescent="0.25">
      <c r="A2612" t="s">
        <v>1943</v>
      </c>
      <c r="B2612" t="s">
        <v>13</v>
      </c>
      <c r="C2612" t="s">
        <v>80</v>
      </c>
      <c r="D2612" t="s">
        <v>22</v>
      </c>
      <c r="E2612" t="s">
        <v>21</v>
      </c>
      <c r="F2612">
        <v>0.1</v>
      </c>
      <c r="G2612">
        <v>704</v>
      </c>
      <c r="H2612" s="1">
        <v>44911</v>
      </c>
      <c r="I2612">
        <v>2022</v>
      </c>
      <c r="J2612">
        <v>12</v>
      </c>
      <c r="K2612" t="s">
        <v>36</v>
      </c>
      <c r="L2612">
        <v>0</v>
      </c>
      <c r="M2612">
        <v>1</v>
      </c>
    </row>
    <row r="2613" spans="1:13" x14ac:dyDescent="0.25">
      <c r="A2613" t="s">
        <v>1944</v>
      </c>
      <c r="B2613" t="s">
        <v>77</v>
      </c>
      <c r="C2613" t="s">
        <v>14</v>
      </c>
      <c r="D2613" t="s">
        <v>46</v>
      </c>
      <c r="E2613" t="s">
        <v>21</v>
      </c>
      <c r="F2613">
        <v>0.18</v>
      </c>
      <c r="G2613">
        <v>183</v>
      </c>
      <c r="H2613" s="1">
        <v>44911</v>
      </c>
      <c r="I2613">
        <v>2022</v>
      </c>
      <c r="J2613">
        <v>12</v>
      </c>
      <c r="K2613" t="s">
        <v>36</v>
      </c>
      <c r="L2613">
        <v>0</v>
      </c>
      <c r="M2613">
        <v>1</v>
      </c>
    </row>
    <row r="2614" spans="1:13" x14ac:dyDescent="0.25">
      <c r="A2614" t="s">
        <v>1945</v>
      </c>
      <c r="B2614" t="s">
        <v>24</v>
      </c>
      <c r="C2614" t="s">
        <v>174</v>
      </c>
      <c r="D2614" t="s">
        <v>68</v>
      </c>
      <c r="E2614" t="s">
        <v>21</v>
      </c>
      <c r="F2614">
        <v>0.12</v>
      </c>
      <c r="G2614">
        <v>30</v>
      </c>
      <c r="H2614" s="1">
        <v>44911</v>
      </c>
      <c r="I2614">
        <v>2022</v>
      </c>
      <c r="J2614">
        <v>12</v>
      </c>
      <c r="K2614" t="s">
        <v>30</v>
      </c>
      <c r="L2614">
        <v>0</v>
      </c>
      <c r="M2614">
        <v>1</v>
      </c>
    </row>
    <row r="2615" spans="1:13" x14ac:dyDescent="0.25">
      <c r="A2615" t="s">
        <v>951</v>
      </c>
      <c r="B2615" t="s">
        <v>35</v>
      </c>
      <c r="C2615" t="s">
        <v>14</v>
      </c>
      <c r="D2615" t="s">
        <v>46</v>
      </c>
      <c r="E2615" t="s">
        <v>21</v>
      </c>
      <c r="F2615">
        <v>0.15</v>
      </c>
      <c r="G2615">
        <v>183</v>
      </c>
      <c r="H2615" s="1">
        <v>44911</v>
      </c>
      <c r="I2615">
        <v>2022</v>
      </c>
      <c r="J2615">
        <v>12</v>
      </c>
      <c r="K2615" t="s">
        <v>36</v>
      </c>
      <c r="L2615">
        <v>0</v>
      </c>
      <c r="M2615">
        <v>1</v>
      </c>
    </row>
    <row r="2616" spans="1:13" x14ac:dyDescent="0.25">
      <c r="A2616" t="s">
        <v>580</v>
      </c>
      <c r="B2616" t="s">
        <v>24</v>
      </c>
      <c r="C2616" t="s">
        <v>14</v>
      </c>
      <c r="D2616" t="s">
        <v>15</v>
      </c>
      <c r="E2616">
        <v>180</v>
      </c>
      <c r="F2616">
        <v>0.13</v>
      </c>
      <c r="G2616">
        <v>224</v>
      </c>
      <c r="H2616" s="1">
        <v>44910</v>
      </c>
      <c r="I2616">
        <v>2022</v>
      </c>
      <c r="J2616">
        <v>12</v>
      </c>
      <c r="K2616" t="s">
        <v>36</v>
      </c>
      <c r="L2616">
        <v>0</v>
      </c>
      <c r="M2616">
        <v>1</v>
      </c>
    </row>
    <row r="2617" spans="1:13" x14ac:dyDescent="0.25">
      <c r="A2617" t="s">
        <v>169</v>
      </c>
      <c r="B2617" t="s">
        <v>89</v>
      </c>
      <c r="C2617" t="s">
        <v>14</v>
      </c>
      <c r="D2617" t="s">
        <v>15</v>
      </c>
      <c r="E2617">
        <v>90</v>
      </c>
      <c r="F2617">
        <v>0.02</v>
      </c>
      <c r="G2617">
        <v>484</v>
      </c>
      <c r="H2617" s="1">
        <v>44910</v>
      </c>
      <c r="I2617">
        <v>2022</v>
      </c>
      <c r="J2617">
        <v>12</v>
      </c>
      <c r="K2617" t="s">
        <v>36</v>
      </c>
      <c r="L2617">
        <v>0</v>
      </c>
      <c r="M2617">
        <v>1</v>
      </c>
    </row>
    <row r="2618" spans="1:13" x14ac:dyDescent="0.25">
      <c r="A2618" t="s">
        <v>1946</v>
      </c>
      <c r="B2618" t="s">
        <v>13</v>
      </c>
      <c r="C2618" t="s">
        <v>14</v>
      </c>
      <c r="D2618" t="s">
        <v>46</v>
      </c>
      <c r="E2618">
        <v>80</v>
      </c>
      <c r="F2618">
        <v>0.31</v>
      </c>
      <c r="G2618">
        <v>379</v>
      </c>
      <c r="H2618" s="1">
        <v>44910</v>
      </c>
      <c r="I2618">
        <v>2022</v>
      </c>
      <c r="J2618">
        <v>12</v>
      </c>
      <c r="K2618" t="s">
        <v>36</v>
      </c>
      <c r="L2618">
        <v>0</v>
      </c>
      <c r="M2618">
        <v>1</v>
      </c>
    </row>
    <row r="2619" spans="1:13" x14ac:dyDescent="0.25">
      <c r="A2619" t="s">
        <v>1947</v>
      </c>
      <c r="B2619" t="s">
        <v>40</v>
      </c>
      <c r="C2619" t="s">
        <v>83</v>
      </c>
      <c r="D2619" t="s">
        <v>33</v>
      </c>
      <c r="E2619">
        <v>60</v>
      </c>
      <c r="F2619">
        <v>0.2</v>
      </c>
      <c r="G2619">
        <v>76</v>
      </c>
      <c r="H2619" s="1">
        <v>44910</v>
      </c>
      <c r="I2619">
        <v>2022</v>
      </c>
      <c r="J2619">
        <v>12</v>
      </c>
      <c r="K2619" t="s">
        <v>30</v>
      </c>
      <c r="L2619">
        <v>0</v>
      </c>
      <c r="M2619">
        <v>1</v>
      </c>
    </row>
    <row r="2620" spans="1:13" x14ac:dyDescent="0.25">
      <c r="A2620" t="s">
        <v>1948</v>
      </c>
      <c r="B2620" t="s">
        <v>114</v>
      </c>
      <c r="C2620" t="s">
        <v>14</v>
      </c>
      <c r="D2620" t="s">
        <v>55</v>
      </c>
      <c r="E2620" t="s">
        <v>21</v>
      </c>
      <c r="F2620">
        <v>0.15</v>
      </c>
      <c r="G2620">
        <v>183</v>
      </c>
      <c r="H2620" s="1">
        <v>44910</v>
      </c>
      <c r="I2620">
        <v>2022</v>
      </c>
      <c r="J2620">
        <v>12</v>
      </c>
      <c r="K2620" t="s">
        <v>36</v>
      </c>
      <c r="L2620">
        <v>0</v>
      </c>
      <c r="M2620">
        <v>1</v>
      </c>
    </row>
    <row r="2621" spans="1:13" x14ac:dyDescent="0.25">
      <c r="A2621" t="s">
        <v>1949</v>
      </c>
      <c r="B2621" t="s">
        <v>24</v>
      </c>
      <c r="C2621" t="s">
        <v>25</v>
      </c>
      <c r="D2621" t="s">
        <v>15</v>
      </c>
      <c r="E2621">
        <v>200</v>
      </c>
      <c r="F2621">
        <v>0.3</v>
      </c>
      <c r="G2621">
        <v>5100</v>
      </c>
      <c r="H2621" s="1">
        <v>44909</v>
      </c>
      <c r="I2621">
        <v>2022</v>
      </c>
      <c r="J2621">
        <v>12</v>
      </c>
      <c r="K2621" t="s">
        <v>26</v>
      </c>
      <c r="L2621">
        <v>0</v>
      </c>
      <c r="M2621">
        <v>1</v>
      </c>
    </row>
    <row r="2622" spans="1:13" x14ac:dyDescent="0.25">
      <c r="A2622" t="s">
        <v>942</v>
      </c>
      <c r="B2622" t="s">
        <v>106</v>
      </c>
      <c r="C2622" t="s">
        <v>71</v>
      </c>
      <c r="D2622" t="s">
        <v>55</v>
      </c>
      <c r="E2622">
        <v>100</v>
      </c>
      <c r="F2622" t="s">
        <v>21</v>
      </c>
      <c r="G2622">
        <v>686</v>
      </c>
      <c r="H2622" s="1">
        <v>44909</v>
      </c>
      <c r="I2622">
        <v>2022</v>
      </c>
      <c r="J2622">
        <v>12</v>
      </c>
      <c r="K2622" t="s">
        <v>36</v>
      </c>
      <c r="L2622" t="s">
        <v>21</v>
      </c>
      <c r="M2622">
        <v>1</v>
      </c>
    </row>
    <row r="2623" spans="1:13" x14ac:dyDescent="0.25">
      <c r="A2623" t="s">
        <v>1950</v>
      </c>
      <c r="B2623" t="s">
        <v>66</v>
      </c>
      <c r="C2623" t="s">
        <v>14</v>
      </c>
      <c r="D2623" t="s">
        <v>15</v>
      </c>
      <c r="E2623">
        <v>72</v>
      </c>
      <c r="F2623" t="s">
        <v>21</v>
      </c>
      <c r="G2623">
        <v>175</v>
      </c>
      <c r="H2623" s="1">
        <v>44909</v>
      </c>
      <c r="I2623">
        <v>2022</v>
      </c>
      <c r="J2623">
        <v>12</v>
      </c>
      <c r="K2623" t="s">
        <v>36</v>
      </c>
      <c r="L2623" t="s">
        <v>21</v>
      </c>
      <c r="M2623">
        <v>1</v>
      </c>
    </row>
    <row r="2624" spans="1:13" x14ac:dyDescent="0.25">
      <c r="A2624" t="s">
        <v>567</v>
      </c>
      <c r="B2624" t="s">
        <v>35</v>
      </c>
      <c r="C2624" t="s">
        <v>14</v>
      </c>
      <c r="D2624" t="s">
        <v>22</v>
      </c>
      <c r="E2624">
        <v>50</v>
      </c>
      <c r="F2624">
        <v>0.04</v>
      </c>
      <c r="G2624">
        <v>215</v>
      </c>
      <c r="H2624" s="1">
        <v>44909</v>
      </c>
      <c r="I2624">
        <v>2022</v>
      </c>
      <c r="J2624">
        <v>12</v>
      </c>
      <c r="K2624" t="s">
        <v>36</v>
      </c>
      <c r="L2624">
        <v>0</v>
      </c>
      <c r="M2624">
        <v>1</v>
      </c>
    </row>
    <row r="2625" spans="1:13" x14ac:dyDescent="0.25">
      <c r="A2625" t="s">
        <v>830</v>
      </c>
      <c r="B2625" t="s">
        <v>95</v>
      </c>
      <c r="C2625" t="s">
        <v>14</v>
      </c>
      <c r="D2625" t="s">
        <v>46</v>
      </c>
      <c r="E2625">
        <v>40</v>
      </c>
      <c r="F2625">
        <v>0.1</v>
      </c>
      <c r="G2625">
        <v>64</v>
      </c>
      <c r="H2625" s="1">
        <v>44909</v>
      </c>
      <c r="I2625">
        <v>2022</v>
      </c>
      <c r="J2625">
        <v>12</v>
      </c>
      <c r="K2625" t="s">
        <v>30</v>
      </c>
      <c r="L2625">
        <v>0</v>
      </c>
      <c r="M2625">
        <v>1</v>
      </c>
    </row>
    <row r="2626" spans="1:13" x14ac:dyDescent="0.25">
      <c r="A2626" t="s">
        <v>1061</v>
      </c>
      <c r="B2626" t="s">
        <v>91</v>
      </c>
      <c r="C2626" t="s">
        <v>14</v>
      </c>
      <c r="D2626" t="s">
        <v>46</v>
      </c>
      <c r="E2626" t="s">
        <v>21</v>
      </c>
      <c r="F2626" t="s">
        <v>21</v>
      </c>
      <c r="G2626">
        <v>347</v>
      </c>
      <c r="H2626" s="1">
        <v>44909</v>
      </c>
      <c r="I2626">
        <v>2022</v>
      </c>
      <c r="J2626">
        <v>12</v>
      </c>
      <c r="K2626" t="s">
        <v>36</v>
      </c>
      <c r="L2626" t="s">
        <v>21</v>
      </c>
      <c r="M2626">
        <v>0</v>
      </c>
    </row>
    <row r="2627" spans="1:13" x14ac:dyDescent="0.25">
      <c r="A2627" t="s">
        <v>1951</v>
      </c>
      <c r="B2627" t="s">
        <v>18</v>
      </c>
      <c r="C2627" t="s">
        <v>14</v>
      </c>
      <c r="D2627" t="s">
        <v>518</v>
      </c>
      <c r="E2627">
        <v>160</v>
      </c>
      <c r="F2627">
        <v>0.14000000000000001</v>
      </c>
      <c r="G2627">
        <v>698</v>
      </c>
      <c r="H2627" s="1">
        <v>44908</v>
      </c>
      <c r="I2627">
        <v>2022</v>
      </c>
      <c r="J2627">
        <v>12</v>
      </c>
      <c r="K2627" t="s">
        <v>36</v>
      </c>
      <c r="L2627">
        <v>0</v>
      </c>
      <c r="M2627">
        <v>1</v>
      </c>
    </row>
    <row r="2628" spans="1:13" x14ac:dyDescent="0.25">
      <c r="A2628" t="s">
        <v>851</v>
      </c>
      <c r="B2628" t="s">
        <v>140</v>
      </c>
      <c r="C2628" t="s">
        <v>14</v>
      </c>
      <c r="D2628" t="s">
        <v>15</v>
      </c>
      <c r="E2628">
        <v>95</v>
      </c>
      <c r="F2628">
        <v>0.1</v>
      </c>
      <c r="G2628">
        <v>462</v>
      </c>
      <c r="H2628" s="1">
        <v>44908</v>
      </c>
      <c r="I2628">
        <v>2022</v>
      </c>
      <c r="J2628">
        <v>12</v>
      </c>
      <c r="K2628" t="s">
        <v>36</v>
      </c>
      <c r="L2628">
        <v>0</v>
      </c>
      <c r="M2628">
        <v>1</v>
      </c>
    </row>
    <row r="2629" spans="1:13" x14ac:dyDescent="0.25">
      <c r="A2629" t="s">
        <v>1952</v>
      </c>
      <c r="B2629" t="s">
        <v>35</v>
      </c>
      <c r="C2629" t="s">
        <v>14</v>
      </c>
      <c r="D2629" t="s">
        <v>111</v>
      </c>
      <c r="E2629">
        <v>78</v>
      </c>
      <c r="F2629">
        <v>0.09</v>
      </c>
      <c r="G2629">
        <v>514</v>
      </c>
      <c r="H2629" s="1">
        <v>44908</v>
      </c>
      <c r="I2629">
        <v>2022</v>
      </c>
      <c r="J2629">
        <v>12</v>
      </c>
      <c r="K2629" t="s">
        <v>36</v>
      </c>
      <c r="L2629">
        <v>0</v>
      </c>
      <c r="M2629">
        <v>1</v>
      </c>
    </row>
    <row r="2630" spans="1:13" x14ac:dyDescent="0.25">
      <c r="A2630" t="s">
        <v>1953</v>
      </c>
      <c r="B2630" t="s">
        <v>54</v>
      </c>
      <c r="C2630" t="s">
        <v>14</v>
      </c>
      <c r="D2630" t="s">
        <v>15</v>
      </c>
      <c r="E2630">
        <v>46</v>
      </c>
      <c r="F2630">
        <v>0.13</v>
      </c>
      <c r="G2630" t="s">
        <v>21</v>
      </c>
      <c r="H2630" s="1">
        <v>44908</v>
      </c>
      <c r="I2630">
        <v>2022</v>
      </c>
      <c r="J2630">
        <v>12</v>
      </c>
      <c r="K2630" t="s">
        <v>22</v>
      </c>
      <c r="L2630">
        <v>0</v>
      </c>
      <c r="M2630">
        <v>1</v>
      </c>
    </row>
    <row r="2631" spans="1:13" x14ac:dyDescent="0.25">
      <c r="A2631" t="s">
        <v>1403</v>
      </c>
      <c r="B2631" t="s">
        <v>52</v>
      </c>
      <c r="C2631" t="s">
        <v>14</v>
      </c>
      <c r="D2631" t="s">
        <v>33</v>
      </c>
      <c r="E2631" t="s">
        <v>21</v>
      </c>
      <c r="F2631" t="s">
        <v>21</v>
      </c>
      <c r="G2631">
        <v>235</v>
      </c>
      <c r="H2631" s="1">
        <v>44908</v>
      </c>
      <c r="I2631">
        <v>2022</v>
      </c>
      <c r="J2631">
        <v>12</v>
      </c>
      <c r="K2631" t="s">
        <v>36</v>
      </c>
      <c r="L2631" t="s">
        <v>21</v>
      </c>
      <c r="M2631">
        <v>0</v>
      </c>
    </row>
    <row r="2632" spans="1:13" x14ac:dyDescent="0.25">
      <c r="A2632" t="s">
        <v>413</v>
      </c>
      <c r="B2632" t="s">
        <v>106</v>
      </c>
      <c r="C2632" t="s">
        <v>14</v>
      </c>
      <c r="D2632" t="s">
        <v>20</v>
      </c>
      <c r="E2632">
        <v>400</v>
      </c>
      <c r="F2632">
        <v>0.2</v>
      </c>
      <c r="G2632">
        <v>192</v>
      </c>
      <c r="H2632" s="1">
        <v>44907</v>
      </c>
      <c r="I2632">
        <v>2022</v>
      </c>
      <c r="J2632">
        <v>12</v>
      </c>
      <c r="K2632" t="s">
        <v>36</v>
      </c>
      <c r="L2632">
        <v>0</v>
      </c>
      <c r="M2632">
        <v>1</v>
      </c>
    </row>
    <row r="2633" spans="1:13" x14ac:dyDescent="0.25">
      <c r="A2633" t="s">
        <v>1954</v>
      </c>
      <c r="B2633" t="s">
        <v>95</v>
      </c>
      <c r="C2633" t="s">
        <v>14</v>
      </c>
      <c r="D2633" t="s">
        <v>20</v>
      </c>
      <c r="E2633">
        <v>329</v>
      </c>
      <c r="F2633" t="s">
        <v>21</v>
      </c>
      <c r="G2633">
        <v>107</v>
      </c>
      <c r="H2633" s="1">
        <v>44907</v>
      </c>
      <c r="I2633">
        <v>2022</v>
      </c>
      <c r="J2633">
        <v>12</v>
      </c>
      <c r="K2633" t="s">
        <v>36</v>
      </c>
      <c r="L2633" t="s">
        <v>21</v>
      </c>
      <c r="M2633">
        <v>1</v>
      </c>
    </row>
    <row r="2634" spans="1:13" x14ac:dyDescent="0.25">
      <c r="A2634" t="s">
        <v>1955</v>
      </c>
      <c r="B2634" t="s">
        <v>99</v>
      </c>
      <c r="C2634" t="s">
        <v>14</v>
      </c>
      <c r="D2634" t="s">
        <v>33</v>
      </c>
      <c r="E2634">
        <v>35</v>
      </c>
      <c r="F2634" t="s">
        <v>21</v>
      </c>
      <c r="G2634">
        <v>51</v>
      </c>
      <c r="H2634" s="1">
        <v>44907</v>
      </c>
      <c r="I2634">
        <v>2022</v>
      </c>
      <c r="J2634">
        <v>12</v>
      </c>
      <c r="K2634" t="s">
        <v>30</v>
      </c>
      <c r="L2634" t="s">
        <v>21</v>
      </c>
      <c r="M2634">
        <v>1</v>
      </c>
    </row>
    <row r="2635" spans="1:13" x14ac:dyDescent="0.25">
      <c r="A2635" t="s">
        <v>1956</v>
      </c>
      <c r="B2635" t="s">
        <v>77</v>
      </c>
      <c r="C2635" t="s">
        <v>14</v>
      </c>
      <c r="D2635" t="s">
        <v>46</v>
      </c>
      <c r="E2635" t="s">
        <v>21</v>
      </c>
      <c r="F2635" t="s">
        <v>21</v>
      </c>
      <c r="G2635">
        <v>189</v>
      </c>
      <c r="H2635" s="1">
        <v>44907</v>
      </c>
      <c r="I2635">
        <v>2022</v>
      </c>
      <c r="J2635">
        <v>12</v>
      </c>
      <c r="K2635" t="s">
        <v>36</v>
      </c>
      <c r="L2635" t="s">
        <v>21</v>
      </c>
      <c r="M2635">
        <v>0</v>
      </c>
    </row>
    <row r="2636" spans="1:13" x14ac:dyDescent="0.25">
      <c r="A2636" t="s">
        <v>1957</v>
      </c>
      <c r="B2636" t="s">
        <v>106</v>
      </c>
      <c r="C2636" t="s">
        <v>14</v>
      </c>
      <c r="D2636" t="s">
        <v>55</v>
      </c>
      <c r="E2636">
        <v>43</v>
      </c>
      <c r="F2636">
        <v>0.25</v>
      </c>
      <c r="G2636">
        <v>240</v>
      </c>
      <c r="H2636" s="1">
        <v>44905</v>
      </c>
      <c r="I2636">
        <v>2022</v>
      </c>
      <c r="J2636">
        <v>12</v>
      </c>
      <c r="K2636" t="s">
        <v>36</v>
      </c>
      <c r="L2636">
        <v>0</v>
      </c>
      <c r="M2636">
        <v>1</v>
      </c>
    </row>
    <row r="2637" spans="1:13" x14ac:dyDescent="0.25">
      <c r="A2637" t="s">
        <v>1958</v>
      </c>
      <c r="B2637" t="s">
        <v>114</v>
      </c>
      <c r="C2637" t="s">
        <v>83</v>
      </c>
      <c r="D2637" t="s">
        <v>33</v>
      </c>
      <c r="E2637">
        <v>20</v>
      </c>
      <c r="F2637">
        <v>0.1</v>
      </c>
      <c r="G2637">
        <v>94</v>
      </c>
      <c r="H2637" s="1">
        <v>44905</v>
      </c>
      <c r="I2637">
        <v>2022</v>
      </c>
      <c r="J2637">
        <v>12</v>
      </c>
      <c r="K2637" t="s">
        <v>30</v>
      </c>
      <c r="L2637">
        <v>0</v>
      </c>
      <c r="M2637">
        <v>1</v>
      </c>
    </row>
    <row r="2638" spans="1:13" x14ac:dyDescent="0.25">
      <c r="A2638" t="s">
        <v>1959</v>
      </c>
      <c r="B2638" t="s">
        <v>77</v>
      </c>
      <c r="C2638" t="s">
        <v>14</v>
      </c>
      <c r="D2638" t="s">
        <v>46</v>
      </c>
      <c r="E2638" t="s">
        <v>21</v>
      </c>
      <c r="F2638" t="s">
        <v>21</v>
      </c>
      <c r="G2638">
        <v>97</v>
      </c>
      <c r="H2638" s="1">
        <v>44905</v>
      </c>
      <c r="I2638">
        <v>2022</v>
      </c>
      <c r="J2638">
        <v>12</v>
      </c>
      <c r="K2638" t="s">
        <v>30</v>
      </c>
      <c r="L2638" t="s">
        <v>21</v>
      </c>
      <c r="M2638">
        <v>0</v>
      </c>
    </row>
    <row r="2639" spans="1:13" x14ac:dyDescent="0.25">
      <c r="A2639" t="s">
        <v>1960</v>
      </c>
      <c r="B2639" t="s">
        <v>91</v>
      </c>
      <c r="C2639" t="s">
        <v>14</v>
      </c>
      <c r="D2639" t="s">
        <v>22</v>
      </c>
      <c r="E2639" t="s">
        <v>21</v>
      </c>
      <c r="F2639" t="s">
        <v>21</v>
      </c>
      <c r="G2639">
        <v>281</v>
      </c>
      <c r="H2639" s="1">
        <v>44905</v>
      </c>
      <c r="I2639">
        <v>2022</v>
      </c>
      <c r="J2639">
        <v>12</v>
      </c>
      <c r="K2639" t="s">
        <v>36</v>
      </c>
      <c r="L2639" t="s">
        <v>21</v>
      </c>
      <c r="M2639">
        <v>0</v>
      </c>
    </row>
    <row r="2640" spans="1:13" x14ac:dyDescent="0.25">
      <c r="A2640" t="s">
        <v>1496</v>
      </c>
      <c r="B2640" t="s">
        <v>35</v>
      </c>
      <c r="C2640" t="s">
        <v>48</v>
      </c>
      <c r="D2640" t="s">
        <v>22</v>
      </c>
      <c r="E2640" t="s">
        <v>21</v>
      </c>
      <c r="F2640" t="s">
        <v>21</v>
      </c>
      <c r="G2640">
        <v>1600</v>
      </c>
      <c r="H2640" s="1">
        <v>44905</v>
      </c>
      <c r="I2640">
        <v>2022</v>
      </c>
      <c r="J2640">
        <v>12</v>
      </c>
      <c r="K2640" t="s">
        <v>26</v>
      </c>
      <c r="L2640" t="s">
        <v>21</v>
      </c>
      <c r="M2640">
        <v>0</v>
      </c>
    </row>
    <row r="2641" spans="1:13" x14ac:dyDescent="0.25">
      <c r="A2641" t="s">
        <v>288</v>
      </c>
      <c r="B2641" t="s">
        <v>18</v>
      </c>
      <c r="C2641" t="s">
        <v>29</v>
      </c>
      <c r="D2641" t="s">
        <v>15</v>
      </c>
      <c r="E2641">
        <v>600</v>
      </c>
      <c r="F2641">
        <v>0.15</v>
      </c>
      <c r="G2641" t="s">
        <v>21</v>
      </c>
      <c r="H2641" s="1">
        <v>44904</v>
      </c>
      <c r="I2641">
        <v>2022</v>
      </c>
      <c r="J2641">
        <v>12</v>
      </c>
      <c r="K2641" t="s">
        <v>22</v>
      </c>
      <c r="L2641">
        <v>0</v>
      </c>
      <c r="M2641">
        <v>1</v>
      </c>
    </row>
    <row r="2642" spans="1:13" x14ac:dyDescent="0.25">
      <c r="A2642" t="s">
        <v>1961</v>
      </c>
      <c r="B2642" t="s">
        <v>24</v>
      </c>
      <c r="C2642" t="s">
        <v>74</v>
      </c>
      <c r="D2642" t="s">
        <v>20</v>
      </c>
      <c r="E2642">
        <v>300</v>
      </c>
      <c r="F2642">
        <v>0.1</v>
      </c>
      <c r="G2642" t="s">
        <v>21</v>
      </c>
      <c r="H2642" s="1">
        <v>44904</v>
      </c>
      <c r="I2642">
        <v>2022</v>
      </c>
      <c r="J2642">
        <v>12</v>
      </c>
      <c r="K2642" t="s">
        <v>22</v>
      </c>
      <c r="L2642">
        <v>0</v>
      </c>
      <c r="M2642">
        <v>1</v>
      </c>
    </row>
    <row r="2643" spans="1:13" x14ac:dyDescent="0.25">
      <c r="A2643" t="s">
        <v>1962</v>
      </c>
      <c r="B2643" t="s">
        <v>66</v>
      </c>
      <c r="C2643" t="s">
        <v>83</v>
      </c>
      <c r="D2643" t="s">
        <v>20</v>
      </c>
      <c r="E2643">
        <v>150</v>
      </c>
      <c r="F2643">
        <v>0.36</v>
      </c>
      <c r="G2643" t="s">
        <v>21</v>
      </c>
      <c r="H2643" s="1">
        <v>44904</v>
      </c>
      <c r="I2643">
        <v>2022</v>
      </c>
      <c r="J2643">
        <v>12</v>
      </c>
      <c r="K2643" t="s">
        <v>22</v>
      </c>
      <c r="L2643">
        <v>0</v>
      </c>
      <c r="M2643">
        <v>1</v>
      </c>
    </row>
    <row r="2644" spans="1:13" x14ac:dyDescent="0.25">
      <c r="A2644" t="s">
        <v>1963</v>
      </c>
      <c r="B2644" t="s">
        <v>35</v>
      </c>
      <c r="C2644" t="s">
        <v>230</v>
      </c>
      <c r="D2644" t="s">
        <v>46</v>
      </c>
      <c r="E2644">
        <v>113</v>
      </c>
      <c r="F2644">
        <v>0.16</v>
      </c>
      <c r="G2644">
        <v>174</v>
      </c>
      <c r="H2644" s="1">
        <v>44904</v>
      </c>
      <c r="I2644">
        <v>2022</v>
      </c>
      <c r="J2644">
        <v>12</v>
      </c>
      <c r="K2644" t="s">
        <v>36</v>
      </c>
      <c r="L2644">
        <v>0</v>
      </c>
      <c r="M2644">
        <v>1</v>
      </c>
    </row>
    <row r="2645" spans="1:13" x14ac:dyDescent="0.25">
      <c r="A2645" t="s">
        <v>1964</v>
      </c>
      <c r="B2645" t="s">
        <v>77</v>
      </c>
      <c r="C2645" t="s">
        <v>80</v>
      </c>
      <c r="D2645" t="s">
        <v>33</v>
      </c>
      <c r="E2645">
        <v>85</v>
      </c>
      <c r="F2645">
        <v>0.33</v>
      </c>
      <c r="G2645">
        <v>73</v>
      </c>
      <c r="H2645" s="1">
        <v>44904</v>
      </c>
      <c r="I2645">
        <v>2022</v>
      </c>
      <c r="J2645">
        <v>12</v>
      </c>
      <c r="K2645" t="s">
        <v>30</v>
      </c>
      <c r="L2645">
        <v>0</v>
      </c>
      <c r="M2645">
        <v>1</v>
      </c>
    </row>
    <row r="2646" spans="1:13" x14ac:dyDescent="0.25">
      <c r="A2646" t="s">
        <v>1657</v>
      </c>
      <c r="B2646" t="s">
        <v>54</v>
      </c>
      <c r="C2646" t="s">
        <v>83</v>
      </c>
      <c r="D2646" t="s">
        <v>55</v>
      </c>
      <c r="E2646">
        <v>62</v>
      </c>
      <c r="F2646">
        <v>0.12</v>
      </c>
      <c r="G2646">
        <v>442</v>
      </c>
      <c r="H2646" s="1">
        <v>44904</v>
      </c>
      <c r="I2646">
        <v>2022</v>
      </c>
      <c r="J2646">
        <v>12</v>
      </c>
      <c r="K2646" t="s">
        <v>36</v>
      </c>
      <c r="L2646">
        <v>0</v>
      </c>
      <c r="M2646">
        <v>1</v>
      </c>
    </row>
    <row r="2647" spans="1:13" x14ac:dyDescent="0.25">
      <c r="A2647" t="s">
        <v>729</v>
      </c>
      <c r="B2647" t="s">
        <v>77</v>
      </c>
      <c r="C2647" t="s">
        <v>14</v>
      </c>
      <c r="D2647" t="s">
        <v>347</v>
      </c>
      <c r="E2647">
        <v>20</v>
      </c>
      <c r="F2647">
        <v>0.02</v>
      </c>
      <c r="G2647">
        <v>537</v>
      </c>
      <c r="H2647" s="1">
        <v>44904</v>
      </c>
      <c r="I2647">
        <v>2022</v>
      </c>
      <c r="J2647">
        <v>12</v>
      </c>
      <c r="K2647" t="s">
        <v>36</v>
      </c>
      <c r="L2647">
        <v>0</v>
      </c>
      <c r="M2647">
        <v>1</v>
      </c>
    </row>
    <row r="2648" spans="1:13" x14ac:dyDescent="0.25">
      <c r="A2648" t="s">
        <v>1965</v>
      </c>
      <c r="B2648" t="s">
        <v>13</v>
      </c>
      <c r="C2648" t="s">
        <v>29</v>
      </c>
      <c r="D2648" t="s">
        <v>68</v>
      </c>
      <c r="E2648" t="s">
        <v>21</v>
      </c>
      <c r="F2648">
        <v>1</v>
      </c>
      <c r="G2648">
        <v>25</v>
      </c>
      <c r="H2648" s="1">
        <v>44904</v>
      </c>
      <c r="I2648">
        <v>2022</v>
      </c>
      <c r="J2648">
        <v>12</v>
      </c>
      <c r="K2648" t="s">
        <v>30</v>
      </c>
      <c r="L2648">
        <v>1</v>
      </c>
      <c r="M2648">
        <v>1</v>
      </c>
    </row>
    <row r="2649" spans="1:13" x14ac:dyDescent="0.25">
      <c r="A2649" t="s">
        <v>1966</v>
      </c>
      <c r="B2649" t="s">
        <v>52</v>
      </c>
      <c r="C2649" t="s">
        <v>42</v>
      </c>
      <c r="D2649" t="s">
        <v>22</v>
      </c>
      <c r="E2649" t="s">
        <v>21</v>
      </c>
      <c r="F2649">
        <v>1</v>
      </c>
      <c r="G2649" t="s">
        <v>21</v>
      </c>
      <c r="H2649" s="1">
        <v>44904</v>
      </c>
      <c r="I2649">
        <v>2022</v>
      </c>
      <c r="J2649">
        <v>12</v>
      </c>
      <c r="K2649" t="s">
        <v>22</v>
      </c>
      <c r="L2649">
        <v>1</v>
      </c>
      <c r="M2649">
        <v>1</v>
      </c>
    </row>
    <row r="2650" spans="1:13" x14ac:dyDescent="0.25">
      <c r="A2650" t="s">
        <v>1967</v>
      </c>
      <c r="B2650" t="s">
        <v>13</v>
      </c>
      <c r="C2650" t="s">
        <v>14</v>
      </c>
      <c r="D2650" t="s">
        <v>15</v>
      </c>
      <c r="E2650" t="s">
        <v>21</v>
      </c>
      <c r="F2650" t="s">
        <v>21</v>
      </c>
      <c r="G2650">
        <v>225</v>
      </c>
      <c r="H2650" s="1">
        <v>44904</v>
      </c>
      <c r="I2650">
        <v>2022</v>
      </c>
      <c r="J2650">
        <v>12</v>
      </c>
      <c r="K2650" t="s">
        <v>36</v>
      </c>
      <c r="L2650" t="s">
        <v>21</v>
      </c>
      <c r="M2650">
        <v>0</v>
      </c>
    </row>
    <row r="2651" spans="1:13" x14ac:dyDescent="0.25">
      <c r="A2651" t="s">
        <v>1968</v>
      </c>
      <c r="B2651" t="s">
        <v>52</v>
      </c>
      <c r="C2651" t="s">
        <v>14</v>
      </c>
      <c r="D2651" t="s">
        <v>33</v>
      </c>
      <c r="E2651" t="s">
        <v>21</v>
      </c>
      <c r="F2651">
        <v>0.1</v>
      </c>
      <c r="G2651">
        <v>25</v>
      </c>
      <c r="H2651" s="1">
        <v>44904</v>
      </c>
      <c r="I2651">
        <v>2022</v>
      </c>
      <c r="J2651">
        <v>12</v>
      </c>
      <c r="K2651" t="s">
        <v>30</v>
      </c>
      <c r="L2651">
        <v>0</v>
      </c>
      <c r="M2651">
        <v>1</v>
      </c>
    </row>
    <row r="2652" spans="1:13" x14ac:dyDescent="0.25">
      <c r="A2652" t="s">
        <v>1165</v>
      </c>
      <c r="B2652" t="s">
        <v>114</v>
      </c>
      <c r="C2652" t="s">
        <v>14</v>
      </c>
      <c r="D2652" t="s">
        <v>43</v>
      </c>
      <c r="E2652">
        <v>254</v>
      </c>
      <c r="F2652">
        <v>0.2</v>
      </c>
      <c r="G2652">
        <v>1400</v>
      </c>
      <c r="H2652" s="1">
        <v>44903</v>
      </c>
      <c r="I2652">
        <v>2022</v>
      </c>
      <c r="J2652">
        <v>12</v>
      </c>
      <c r="K2652" t="s">
        <v>26</v>
      </c>
      <c r="L2652">
        <v>0</v>
      </c>
      <c r="M2652">
        <v>1</v>
      </c>
    </row>
    <row r="2653" spans="1:13" x14ac:dyDescent="0.25">
      <c r="A2653" t="s">
        <v>930</v>
      </c>
      <c r="B2653" t="s">
        <v>95</v>
      </c>
      <c r="C2653" t="s">
        <v>48</v>
      </c>
      <c r="D2653" t="s">
        <v>22</v>
      </c>
      <c r="E2653">
        <v>250</v>
      </c>
      <c r="F2653">
        <v>0.03</v>
      </c>
      <c r="G2653">
        <v>3600</v>
      </c>
      <c r="H2653" s="1">
        <v>44903</v>
      </c>
      <c r="I2653">
        <v>2022</v>
      </c>
      <c r="J2653">
        <v>12</v>
      </c>
      <c r="K2653" t="s">
        <v>26</v>
      </c>
      <c r="L2653">
        <v>0</v>
      </c>
      <c r="M2653">
        <v>1</v>
      </c>
    </row>
    <row r="2654" spans="1:13" x14ac:dyDescent="0.25">
      <c r="A2654" t="s">
        <v>1969</v>
      </c>
      <c r="B2654" t="s">
        <v>40</v>
      </c>
      <c r="C2654" t="s">
        <v>64</v>
      </c>
      <c r="D2654" t="s">
        <v>55</v>
      </c>
      <c r="E2654">
        <v>198</v>
      </c>
      <c r="F2654">
        <v>0.18</v>
      </c>
      <c r="G2654">
        <v>82</v>
      </c>
      <c r="H2654" s="1">
        <v>44903</v>
      </c>
      <c r="I2654">
        <v>2022</v>
      </c>
      <c r="J2654">
        <v>12</v>
      </c>
      <c r="K2654" t="s">
        <v>30</v>
      </c>
      <c r="L2654">
        <v>0</v>
      </c>
      <c r="M2654">
        <v>1</v>
      </c>
    </row>
    <row r="2655" spans="1:13" x14ac:dyDescent="0.25">
      <c r="A2655" t="s">
        <v>1970</v>
      </c>
      <c r="B2655" t="s">
        <v>66</v>
      </c>
      <c r="C2655" t="s">
        <v>230</v>
      </c>
      <c r="D2655" t="s">
        <v>46</v>
      </c>
      <c r="E2655">
        <v>160</v>
      </c>
      <c r="F2655">
        <v>0.3</v>
      </c>
      <c r="G2655">
        <v>138</v>
      </c>
      <c r="H2655" s="1">
        <v>44903</v>
      </c>
      <c r="I2655">
        <v>2022</v>
      </c>
      <c r="J2655">
        <v>12</v>
      </c>
      <c r="K2655" t="s">
        <v>36</v>
      </c>
      <c r="L2655">
        <v>0</v>
      </c>
      <c r="M2655">
        <v>1</v>
      </c>
    </row>
    <row r="2656" spans="1:13" x14ac:dyDescent="0.25">
      <c r="A2656" t="s">
        <v>1216</v>
      </c>
      <c r="B2656" t="s">
        <v>77</v>
      </c>
      <c r="C2656" t="s">
        <v>14</v>
      </c>
      <c r="D2656" t="s">
        <v>81</v>
      </c>
      <c r="E2656">
        <v>95</v>
      </c>
      <c r="F2656">
        <v>0.05</v>
      </c>
      <c r="G2656">
        <v>220</v>
      </c>
      <c r="H2656" s="1">
        <v>44903</v>
      </c>
      <c r="I2656">
        <v>2022</v>
      </c>
      <c r="J2656">
        <v>12</v>
      </c>
      <c r="K2656" t="s">
        <v>36</v>
      </c>
      <c r="L2656">
        <v>0</v>
      </c>
      <c r="M2656">
        <v>1</v>
      </c>
    </row>
    <row r="2657" spans="1:13" x14ac:dyDescent="0.25">
      <c r="A2657" t="s">
        <v>522</v>
      </c>
      <c r="B2657" t="s">
        <v>24</v>
      </c>
      <c r="C2657" t="s">
        <v>83</v>
      </c>
      <c r="D2657" t="s">
        <v>46</v>
      </c>
      <c r="E2657">
        <v>80</v>
      </c>
      <c r="F2657" t="s">
        <v>21</v>
      </c>
      <c r="G2657">
        <v>205</v>
      </c>
      <c r="H2657" s="1">
        <v>44903</v>
      </c>
      <c r="I2657">
        <v>2022</v>
      </c>
      <c r="J2657">
        <v>12</v>
      </c>
      <c r="K2657" t="s">
        <v>36</v>
      </c>
      <c r="L2657" t="s">
        <v>21</v>
      </c>
      <c r="M2657">
        <v>1</v>
      </c>
    </row>
    <row r="2658" spans="1:13" x14ac:dyDescent="0.25">
      <c r="A2658" t="s">
        <v>1971</v>
      </c>
      <c r="B2658" t="s">
        <v>66</v>
      </c>
      <c r="C2658" t="s">
        <v>29</v>
      </c>
      <c r="D2658" t="s">
        <v>15</v>
      </c>
      <c r="E2658">
        <v>80</v>
      </c>
      <c r="F2658">
        <v>0.5</v>
      </c>
      <c r="G2658">
        <v>231</v>
      </c>
      <c r="H2658" s="1">
        <v>44903</v>
      </c>
      <c r="I2658">
        <v>2022</v>
      </c>
      <c r="J2658">
        <v>12</v>
      </c>
      <c r="K2658" t="s">
        <v>36</v>
      </c>
      <c r="L2658">
        <v>0</v>
      </c>
      <c r="M2658">
        <v>1</v>
      </c>
    </row>
    <row r="2659" spans="1:13" x14ac:dyDescent="0.25">
      <c r="A2659" t="s">
        <v>1972</v>
      </c>
      <c r="B2659" t="s">
        <v>54</v>
      </c>
      <c r="C2659" t="s">
        <v>14</v>
      </c>
      <c r="D2659" t="s">
        <v>15</v>
      </c>
      <c r="E2659">
        <v>60</v>
      </c>
      <c r="F2659">
        <v>0.05</v>
      </c>
      <c r="G2659">
        <v>115</v>
      </c>
      <c r="H2659" s="1">
        <v>44903</v>
      </c>
      <c r="I2659">
        <v>2022</v>
      </c>
      <c r="J2659">
        <v>12</v>
      </c>
      <c r="K2659" t="s">
        <v>36</v>
      </c>
      <c r="L2659">
        <v>0</v>
      </c>
      <c r="M2659">
        <v>1</v>
      </c>
    </row>
    <row r="2660" spans="1:13" x14ac:dyDescent="0.25">
      <c r="A2660" t="s">
        <v>1973</v>
      </c>
      <c r="B2660" t="s">
        <v>35</v>
      </c>
      <c r="C2660" t="s">
        <v>14</v>
      </c>
      <c r="D2660" t="s">
        <v>111</v>
      </c>
      <c r="E2660">
        <v>43</v>
      </c>
      <c r="F2660" t="s">
        <v>21</v>
      </c>
      <c r="G2660">
        <v>459</v>
      </c>
      <c r="H2660" s="1">
        <v>44903</v>
      </c>
      <c r="I2660">
        <v>2022</v>
      </c>
      <c r="J2660">
        <v>12</v>
      </c>
      <c r="K2660" t="s">
        <v>36</v>
      </c>
      <c r="L2660" t="s">
        <v>21</v>
      </c>
      <c r="M2660">
        <v>1</v>
      </c>
    </row>
    <row r="2661" spans="1:13" x14ac:dyDescent="0.25">
      <c r="A2661" t="s">
        <v>1974</v>
      </c>
      <c r="B2661" t="s">
        <v>28</v>
      </c>
      <c r="C2661" t="s">
        <v>14</v>
      </c>
      <c r="D2661" t="s">
        <v>46</v>
      </c>
      <c r="E2661">
        <v>30</v>
      </c>
      <c r="F2661">
        <v>0.15</v>
      </c>
      <c r="G2661">
        <v>153</v>
      </c>
      <c r="H2661" s="1">
        <v>44903</v>
      </c>
      <c r="I2661">
        <v>2022</v>
      </c>
      <c r="J2661">
        <v>12</v>
      </c>
      <c r="K2661" t="s">
        <v>36</v>
      </c>
      <c r="L2661">
        <v>0</v>
      </c>
      <c r="M2661">
        <v>1</v>
      </c>
    </row>
    <row r="2662" spans="1:13" x14ac:dyDescent="0.25">
      <c r="A2662" t="s">
        <v>1975</v>
      </c>
      <c r="B2662" t="s">
        <v>28</v>
      </c>
      <c r="C2662" t="s">
        <v>14</v>
      </c>
      <c r="D2662" t="s">
        <v>81</v>
      </c>
      <c r="E2662">
        <v>25</v>
      </c>
      <c r="F2662">
        <v>0.04</v>
      </c>
      <c r="G2662">
        <v>537</v>
      </c>
      <c r="H2662" s="1">
        <v>44903</v>
      </c>
      <c r="I2662">
        <v>2022</v>
      </c>
      <c r="J2662">
        <v>12</v>
      </c>
      <c r="K2662" t="s">
        <v>36</v>
      </c>
      <c r="L2662">
        <v>0</v>
      </c>
      <c r="M2662">
        <v>1</v>
      </c>
    </row>
    <row r="2663" spans="1:13" x14ac:dyDescent="0.25">
      <c r="A2663" t="s">
        <v>782</v>
      </c>
      <c r="B2663" t="s">
        <v>52</v>
      </c>
      <c r="C2663" t="s">
        <v>14</v>
      </c>
      <c r="D2663" t="s">
        <v>15</v>
      </c>
      <c r="E2663" t="s">
        <v>21</v>
      </c>
      <c r="F2663">
        <v>0.15</v>
      </c>
      <c r="G2663">
        <v>932</v>
      </c>
      <c r="H2663" s="1">
        <v>44903</v>
      </c>
      <c r="I2663">
        <v>2022</v>
      </c>
      <c r="J2663">
        <v>12</v>
      </c>
      <c r="K2663" t="s">
        <v>36</v>
      </c>
      <c r="L2663">
        <v>0</v>
      </c>
      <c r="M2663">
        <v>1</v>
      </c>
    </row>
    <row r="2664" spans="1:13" x14ac:dyDescent="0.25">
      <c r="A2664" t="s">
        <v>1309</v>
      </c>
      <c r="B2664" t="s">
        <v>95</v>
      </c>
      <c r="C2664" t="s">
        <v>14</v>
      </c>
      <c r="D2664" t="s">
        <v>15</v>
      </c>
      <c r="E2664" t="s">
        <v>21</v>
      </c>
      <c r="F2664">
        <v>0.1</v>
      </c>
      <c r="G2664">
        <v>352</v>
      </c>
      <c r="H2664" s="1">
        <v>44903</v>
      </c>
      <c r="I2664">
        <v>2022</v>
      </c>
      <c r="J2664">
        <v>12</v>
      </c>
      <c r="K2664" t="s">
        <v>36</v>
      </c>
      <c r="L2664">
        <v>0</v>
      </c>
      <c r="M2664">
        <v>1</v>
      </c>
    </row>
    <row r="2665" spans="1:13" x14ac:dyDescent="0.25">
      <c r="A2665" t="s">
        <v>1976</v>
      </c>
      <c r="B2665" t="s">
        <v>140</v>
      </c>
      <c r="C2665" t="s">
        <v>14</v>
      </c>
      <c r="D2665" t="s">
        <v>33</v>
      </c>
      <c r="E2665" t="s">
        <v>21</v>
      </c>
      <c r="F2665" t="s">
        <v>21</v>
      </c>
      <c r="G2665">
        <v>32</v>
      </c>
      <c r="H2665" s="1">
        <v>44903</v>
      </c>
      <c r="I2665">
        <v>2022</v>
      </c>
      <c r="J2665">
        <v>12</v>
      </c>
      <c r="K2665" t="s">
        <v>30</v>
      </c>
      <c r="L2665" t="s">
        <v>21</v>
      </c>
      <c r="M2665">
        <v>0</v>
      </c>
    </row>
    <row r="2666" spans="1:13" x14ac:dyDescent="0.25">
      <c r="A2666" t="s">
        <v>398</v>
      </c>
      <c r="B2666" t="s">
        <v>70</v>
      </c>
      <c r="C2666" t="s">
        <v>14</v>
      </c>
      <c r="D2666" t="s">
        <v>15</v>
      </c>
      <c r="E2666" t="s">
        <v>21</v>
      </c>
      <c r="F2666" t="s">
        <v>21</v>
      </c>
      <c r="G2666">
        <v>850</v>
      </c>
      <c r="H2666" s="1">
        <v>44903</v>
      </c>
      <c r="I2666">
        <v>2022</v>
      </c>
      <c r="J2666">
        <v>12</v>
      </c>
      <c r="K2666" t="s">
        <v>36</v>
      </c>
      <c r="L2666" t="s">
        <v>21</v>
      </c>
      <c r="M2666">
        <v>0</v>
      </c>
    </row>
    <row r="2667" spans="1:13" x14ac:dyDescent="0.25">
      <c r="A2667" t="s">
        <v>1977</v>
      </c>
      <c r="B2667" t="s">
        <v>106</v>
      </c>
      <c r="C2667" t="s">
        <v>14</v>
      </c>
      <c r="D2667" t="s">
        <v>15</v>
      </c>
      <c r="E2667" t="s">
        <v>21</v>
      </c>
      <c r="F2667">
        <v>0.17</v>
      </c>
      <c r="G2667">
        <v>150</v>
      </c>
      <c r="H2667" s="1">
        <v>44903</v>
      </c>
      <c r="I2667">
        <v>2022</v>
      </c>
      <c r="J2667">
        <v>12</v>
      </c>
      <c r="K2667" t="s">
        <v>36</v>
      </c>
      <c r="L2667">
        <v>0</v>
      </c>
      <c r="M2667">
        <v>1</v>
      </c>
    </row>
    <row r="2668" spans="1:13" x14ac:dyDescent="0.25">
      <c r="A2668" t="s">
        <v>1978</v>
      </c>
      <c r="B2668" t="s">
        <v>28</v>
      </c>
      <c r="C2668" t="s">
        <v>14</v>
      </c>
      <c r="D2668" t="s">
        <v>33</v>
      </c>
      <c r="E2668" t="s">
        <v>21</v>
      </c>
      <c r="F2668">
        <v>0.14000000000000001</v>
      </c>
      <c r="G2668">
        <v>203</v>
      </c>
      <c r="H2668" s="1">
        <v>44903</v>
      </c>
      <c r="I2668">
        <v>2022</v>
      </c>
      <c r="J2668">
        <v>12</v>
      </c>
      <c r="K2668" t="s">
        <v>36</v>
      </c>
      <c r="L2668">
        <v>0</v>
      </c>
      <c r="M2668">
        <v>1</v>
      </c>
    </row>
    <row r="2669" spans="1:13" x14ac:dyDescent="0.25">
      <c r="A2669" t="s">
        <v>1979</v>
      </c>
      <c r="B2669" t="s">
        <v>106</v>
      </c>
      <c r="C2669" t="s">
        <v>48</v>
      </c>
      <c r="D2669" t="s">
        <v>111</v>
      </c>
      <c r="E2669">
        <v>385</v>
      </c>
      <c r="F2669" t="s">
        <v>21</v>
      </c>
      <c r="G2669">
        <v>292</v>
      </c>
      <c r="H2669" s="1">
        <v>44902</v>
      </c>
      <c r="I2669">
        <v>2022</v>
      </c>
      <c r="J2669">
        <v>12</v>
      </c>
      <c r="K2669" t="s">
        <v>36</v>
      </c>
      <c r="L2669" t="s">
        <v>21</v>
      </c>
      <c r="M2669">
        <v>1</v>
      </c>
    </row>
    <row r="2670" spans="1:13" x14ac:dyDescent="0.25">
      <c r="A2670" t="s">
        <v>1626</v>
      </c>
      <c r="B2670" t="s">
        <v>91</v>
      </c>
      <c r="C2670" t="s">
        <v>230</v>
      </c>
      <c r="D2670" t="s">
        <v>22</v>
      </c>
      <c r="E2670">
        <v>312</v>
      </c>
      <c r="F2670">
        <v>0.12</v>
      </c>
      <c r="G2670">
        <v>788</v>
      </c>
      <c r="H2670" s="1">
        <v>44902</v>
      </c>
      <c r="I2670">
        <v>2022</v>
      </c>
      <c r="J2670">
        <v>12</v>
      </c>
      <c r="K2670" t="s">
        <v>36</v>
      </c>
      <c r="L2670">
        <v>0</v>
      </c>
      <c r="M2670">
        <v>1</v>
      </c>
    </row>
    <row r="2671" spans="1:13" x14ac:dyDescent="0.25">
      <c r="A2671" t="s">
        <v>1980</v>
      </c>
      <c r="B2671" t="s">
        <v>77</v>
      </c>
      <c r="C2671" t="s">
        <v>14</v>
      </c>
      <c r="D2671" t="s">
        <v>55</v>
      </c>
      <c r="E2671">
        <v>260</v>
      </c>
      <c r="F2671">
        <v>0.2</v>
      </c>
      <c r="G2671">
        <v>734</v>
      </c>
      <c r="H2671" s="1">
        <v>44902</v>
      </c>
      <c r="I2671">
        <v>2022</v>
      </c>
      <c r="J2671">
        <v>12</v>
      </c>
      <c r="K2671" t="s">
        <v>36</v>
      </c>
      <c r="L2671">
        <v>0</v>
      </c>
      <c r="M2671">
        <v>1</v>
      </c>
    </row>
    <row r="2672" spans="1:13" x14ac:dyDescent="0.25">
      <c r="A2672" t="s">
        <v>1338</v>
      </c>
      <c r="B2672" t="s">
        <v>66</v>
      </c>
      <c r="C2672" t="s">
        <v>14</v>
      </c>
      <c r="D2672" t="s">
        <v>43</v>
      </c>
      <c r="E2672">
        <v>237</v>
      </c>
      <c r="F2672">
        <v>0.06</v>
      </c>
      <c r="G2672">
        <v>567</v>
      </c>
      <c r="H2672" s="1">
        <v>44902</v>
      </c>
      <c r="I2672">
        <v>2022</v>
      </c>
      <c r="J2672">
        <v>12</v>
      </c>
      <c r="K2672" t="s">
        <v>36</v>
      </c>
      <c r="L2672">
        <v>0</v>
      </c>
      <c r="M2672">
        <v>1</v>
      </c>
    </row>
    <row r="2673" spans="1:13" x14ac:dyDescent="0.25">
      <c r="A2673" t="s">
        <v>1981</v>
      </c>
      <c r="B2673" t="s">
        <v>52</v>
      </c>
      <c r="C2673" t="s">
        <v>14</v>
      </c>
      <c r="D2673" t="s">
        <v>68</v>
      </c>
      <c r="E2673">
        <v>235</v>
      </c>
      <c r="F2673" t="s">
        <v>21</v>
      </c>
      <c r="G2673">
        <v>55</v>
      </c>
      <c r="H2673" s="1">
        <v>44902</v>
      </c>
      <c r="I2673">
        <v>2022</v>
      </c>
      <c r="J2673">
        <v>12</v>
      </c>
      <c r="K2673" t="s">
        <v>30</v>
      </c>
      <c r="L2673" t="s">
        <v>21</v>
      </c>
      <c r="M2673">
        <v>1</v>
      </c>
    </row>
    <row r="2674" spans="1:13" x14ac:dyDescent="0.25">
      <c r="A2674" t="s">
        <v>1982</v>
      </c>
      <c r="B2674" t="s">
        <v>342</v>
      </c>
      <c r="C2674" t="s">
        <v>14</v>
      </c>
      <c r="D2674" t="s">
        <v>81</v>
      </c>
      <c r="E2674">
        <v>150</v>
      </c>
      <c r="F2674">
        <v>0.1</v>
      </c>
      <c r="G2674">
        <v>125</v>
      </c>
      <c r="H2674" s="1">
        <v>44902</v>
      </c>
      <c r="I2674">
        <v>2022</v>
      </c>
      <c r="J2674">
        <v>12</v>
      </c>
      <c r="K2674" t="s">
        <v>36</v>
      </c>
      <c r="L2674">
        <v>0</v>
      </c>
      <c r="M2674">
        <v>1</v>
      </c>
    </row>
    <row r="2675" spans="1:13" x14ac:dyDescent="0.25">
      <c r="A2675" t="s">
        <v>876</v>
      </c>
      <c r="B2675" t="s">
        <v>66</v>
      </c>
      <c r="C2675" t="s">
        <v>161</v>
      </c>
      <c r="D2675" t="s">
        <v>55</v>
      </c>
      <c r="E2675">
        <v>130</v>
      </c>
      <c r="F2675">
        <v>0.13</v>
      </c>
      <c r="G2675">
        <v>515</v>
      </c>
      <c r="H2675" s="1">
        <v>44902</v>
      </c>
      <c r="I2675">
        <v>2022</v>
      </c>
      <c r="J2675">
        <v>12</v>
      </c>
      <c r="K2675" t="s">
        <v>36</v>
      </c>
      <c r="L2675">
        <v>0</v>
      </c>
      <c r="M2675">
        <v>1</v>
      </c>
    </row>
    <row r="2676" spans="1:13" x14ac:dyDescent="0.25">
      <c r="A2676" t="s">
        <v>1983</v>
      </c>
      <c r="B2676" t="s">
        <v>54</v>
      </c>
      <c r="C2676" t="s">
        <v>14</v>
      </c>
      <c r="D2676" t="s">
        <v>20</v>
      </c>
      <c r="E2676">
        <v>120</v>
      </c>
      <c r="F2676">
        <v>0.13</v>
      </c>
      <c r="G2676">
        <v>116</v>
      </c>
      <c r="H2676" s="1">
        <v>44902</v>
      </c>
      <c r="I2676">
        <v>2022</v>
      </c>
      <c r="J2676">
        <v>12</v>
      </c>
      <c r="K2676" t="s">
        <v>36</v>
      </c>
      <c r="L2676">
        <v>0</v>
      </c>
      <c r="M2676">
        <v>1</v>
      </c>
    </row>
    <row r="2677" spans="1:13" x14ac:dyDescent="0.25">
      <c r="A2677" t="s">
        <v>1984</v>
      </c>
      <c r="B2677" t="s">
        <v>18</v>
      </c>
      <c r="C2677" t="s">
        <v>14</v>
      </c>
      <c r="D2677" t="s">
        <v>111</v>
      </c>
      <c r="E2677">
        <v>95</v>
      </c>
      <c r="F2677">
        <v>0.08</v>
      </c>
      <c r="G2677">
        <v>613</v>
      </c>
      <c r="H2677" s="1">
        <v>44902</v>
      </c>
      <c r="I2677">
        <v>2022</v>
      </c>
      <c r="J2677">
        <v>12</v>
      </c>
      <c r="K2677" t="s">
        <v>36</v>
      </c>
      <c r="L2677">
        <v>0</v>
      </c>
      <c r="M2677">
        <v>1</v>
      </c>
    </row>
    <row r="2678" spans="1:13" x14ac:dyDescent="0.25">
      <c r="A2678" t="s">
        <v>1985</v>
      </c>
      <c r="B2678" t="s">
        <v>24</v>
      </c>
      <c r="C2678" t="s">
        <v>83</v>
      </c>
      <c r="D2678" t="s">
        <v>22</v>
      </c>
      <c r="E2678">
        <v>40</v>
      </c>
      <c r="F2678">
        <v>0.1</v>
      </c>
      <c r="G2678">
        <v>2300</v>
      </c>
      <c r="H2678" s="1">
        <v>44902</v>
      </c>
      <c r="I2678">
        <v>2022</v>
      </c>
      <c r="J2678">
        <v>12</v>
      </c>
      <c r="K2678" t="s">
        <v>26</v>
      </c>
      <c r="L2678">
        <v>0</v>
      </c>
      <c r="M2678">
        <v>1</v>
      </c>
    </row>
    <row r="2679" spans="1:13" x14ac:dyDescent="0.25">
      <c r="A2679" t="s">
        <v>1495</v>
      </c>
      <c r="B2679" t="s">
        <v>91</v>
      </c>
      <c r="C2679" t="s">
        <v>14</v>
      </c>
      <c r="D2679" t="s">
        <v>33</v>
      </c>
      <c r="E2679">
        <v>30</v>
      </c>
      <c r="F2679">
        <v>0.3</v>
      </c>
      <c r="G2679">
        <v>114</v>
      </c>
      <c r="H2679" s="1">
        <v>44902</v>
      </c>
      <c r="I2679">
        <v>2022</v>
      </c>
      <c r="J2679">
        <v>12</v>
      </c>
      <c r="K2679" t="s">
        <v>36</v>
      </c>
      <c r="L2679">
        <v>0</v>
      </c>
      <c r="M2679">
        <v>1</v>
      </c>
    </row>
    <row r="2680" spans="1:13" x14ac:dyDescent="0.25">
      <c r="A2680" t="s">
        <v>1986</v>
      </c>
      <c r="B2680" t="s">
        <v>77</v>
      </c>
      <c r="C2680" t="s">
        <v>14</v>
      </c>
      <c r="D2680" t="s">
        <v>46</v>
      </c>
      <c r="E2680">
        <v>27</v>
      </c>
      <c r="F2680">
        <v>0.18</v>
      </c>
      <c r="G2680">
        <v>115</v>
      </c>
      <c r="H2680" s="1">
        <v>44902</v>
      </c>
      <c r="I2680">
        <v>2022</v>
      </c>
      <c r="J2680">
        <v>12</v>
      </c>
      <c r="K2680" t="s">
        <v>36</v>
      </c>
      <c r="L2680">
        <v>0</v>
      </c>
      <c r="M2680">
        <v>1</v>
      </c>
    </row>
    <row r="2681" spans="1:13" x14ac:dyDescent="0.25">
      <c r="A2681" t="s">
        <v>921</v>
      </c>
      <c r="B2681" t="s">
        <v>114</v>
      </c>
      <c r="C2681" t="s">
        <v>14</v>
      </c>
      <c r="D2681" t="s">
        <v>43</v>
      </c>
      <c r="E2681" t="s">
        <v>21</v>
      </c>
      <c r="F2681">
        <v>0.17</v>
      </c>
      <c r="G2681">
        <v>315</v>
      </c>
      <c r="H2681" s="1">
        <v>44902</v>
      </c>
      <c r="I2681">
        <v>2022</v>
      </c>
      <c r="J2681">
        <v>12</v>
      </c>
      <c r="K2681" t="s">
        <v>36</v>
      </c>
      <c r="L2681">
        <v>0</v>
      </c>
      <c r="M2681">
        <v>1</v>
      </c>
    </row>
    <row r="2682" spans="1:13" x14ac:dyDescent="0.25">
      <c r="A2682" t="s">
        <v>1229</v>
      </c>
      <c r="B2682" t="s">
        <v>28</v>
      </c>
      <c r="C2682" t="s">
        <v>161</v>
      </c>
      <c r="D2682" t="s">
        <v>22</v>
      </c>
      <c r="E2682" t="s">
        <v>21</v>
      </c>
      <c r="F2682" t="s">
        <v>21</v>
      </c>
      <c r="G2682">
        <v>42</v>
      </c>
      <c r="H2682" s="1">
        <v>44902</v>
      </c>
      <c r="I2682">
        <v>2022</v>
      </c>
      <c r="J2682">
        <v>12</v>
      </c>
      <c r="K2682" t="s">
        <v>30</v>
      </c>
      <c r="L2682" t="s">
        <v>21</v>
      </c>
      <c r="M2682">
        <v>0</v>
      </c>
    </row>
    <row r="2683" spans="1:13" x14ac:dyDescent="0.25">
      <c r="A2683" t="s">
        <v>1537</v>
      </c>
      <c r="B2683" t="s">
        <v>95</v>
      </c>
      <c r="C2683" t="s">
        <v>25</v>
      </c>
      <c r="D2683" t="s">
        <v>46</v>
      </c>
      <c r="E2683" t="s">
        <v>21</v>
      </c>
      <c r="F2683">
        <v>0.05</v>
      </c>
      <c r="G2683">
        <v>139</v>
      </c>
      <c r="H2683" s="1">
        <v>44902</v>
      </c>
      <c r="I2683">
        <v>2022</v>
      </c>
      <c r="J2683">
        <v>12</v>
      </c>
      <c r="K2683" t="s">
        <v>36</v>
      </c>
      <c r="L2683">
        <v>0</v>
      </c>
      <c r="M2683">
        <v>1</v>
      </c>
    </row>
    <row r="2684" spans="1:13" x14ac:dyDescent="0.25">
      <c r="A2684" t="s">
        <v>1987</v>
      </c>
      <c r="B2684" t="s">
        <v>77</v>
      </c>
      <c r="C2684" t="s">
        <v>14</v>
      </c>
      <c r="D2684" t="s">
        <v>20</v>
      </c>
      <c r="E2684" t="s">
        <v>21</v>
      </c>
      <c r="F2684" t="s">
        <v>21</v>
      </c>
      <c r="G2684" t="s">
        <v>21</v>
      </c>
      <c r="H2684" s="1">
        <v>44902</v>
      </c>
      <c r="I2684">
        <v>2022</v>
      </c>
      <c r="J2684">
        <v>12</v>
      </c>
      <c r="K2684" t="s">
        <v>22</v>
      </c>
      <c r="L2684" t="s">
        <v>21</v>
      </c>
      <c r="M2684">
        <v>0</v>
      </c>
    </row>
    <row r="2685" spans="1:13" x14ac:dyDescent="0.25">
      <c r="A2685" t="s">
        <v>1988</v>
      </c>
      <c r="B2685" t="s">
        <v>77</v>
      </c>
      <c r="C2685" t="s">
        <v>14</v>
      </c>
      <c r="D2685" t="s">
        <v>15</v>
      </c>
      <c r="E2685">
        <v>515</v>
      </c>
      <c r="F2685">
        <v>0.4</v>
      </c>
      <c r="G2685">
        <v>679</v>
      </c>
      <c r="H2685" s="1">
        <v>44901</v>
      </c>
      <c r="I2685">
        <v>2022</v>
      </c>
      <c r="J2685">
        <v>12</v>
      </c>
      <c r="K2685" t="s">
        <v>36</v>
      </c>
      <c r="L2685">
        <v>0</v>
      </c>
      <c r="M2685">
        <v>1</v>
      </c>
    </row>
    <row r="2686" spans="1:13" x14ac:dyDescent="0.25">
      <c r="A2686" t="s">
        <v>402</v>
      </c>
      <c r="B2686" t="s">
        <v>70</v>
      </c>
      <c r="C2686" t="s">
        <v>14</v>
      </c>
      <c r="D2686" t="s">
        <v>15</v>
      </c>
      <c r="E2686">
        <v>201</v>
      </c>
      <c r="F2686" t="s">
        <v>21</v>
      </c>
      <c r="G2686">
        <v>12</v>
      </c>
      <c r="H2686" s="1">
        <v>44901</v>
      </c>
      <c r="I2686">
        <v>2022</v>
      </c>
      <c r="J2686">
        <v>12</v>
      </c>
      <c r="K2686" t="s">
        <v>30</v>
      </c>
      <c r="L2686" t="s">
        <v>21</v>
      </c>
      <c r="M2686">
        <v>1</v>
      </c>
    </row>
    <row r="2687" spans="1:13" x14ac:dyDescent="0.25">
      <c r="A2687" t="s">
        <v>868</v>
      </c>
      <c r="B2687" t="s">
        <v>32</v>
      </c>
      <c r="C2687" t="s">
        <v>14</v>
      </c>
      <c r="D2687" t="s">
        <v>15</v>
      </c>
      <c r="E2687">
        <v>180</v>
      </c>
      <c r="F2687">
        <v>0.12</v>
      </c>
      <c r="G2687">
        <v>696</v>
      </c>
      <c r="H2687" s="1">
        <v>44901</v>
      </c>
      <c r="I2687">
        <v>2022</v>
      </c>
      <c r="J2687">
        <v>12</v>
      </c>
      <c r="K2687" t="s">
        <v>36</v>
      </c>
      <c r="L2687">
        <v>0</v>
      </c>
      <c r="M2687">
        <v>1</v>
      </c>
    </row>
    <row r="2688" spans="1:13" x14ac:dyDescent="0.25">
      <c r="A2688" t="s">
        <v>1989</v>
      </c>
      <c r="B2688" t="s">
        <v>13</v>
      </c>
      <c r="C2688" t="s">
        <v>14</v>
      </c>
      <c r="D2688" t="s">
        <v>20</v>
      </c>
      <c r="E2688">
        <v>175</v>
      </c>
      <c r="F2688">
        <v>0.25</v>
      </c>
      <c r="G2688" t="s">
        <v>21</v>
      </c>
      <c r="H2688" s="1">
        <v>44901</v>
      </c>
      <c r="I2688">
        <v>2022</v>
      </c>
      <c r="J2688">
        <v>12</v>
      </c>
      <c r="K2688" t="s">
        <v>22</v>
      </c>
      <c r="L2688">
        <v>0</v>
      </c>
      <c r="M2688">
        <v>1</v>
      </c>
    </row>
    <row r="2689" spans="1:13" x14ac:dyDescent="0.25">
      <c r="A2689" t="s">
        <v>1990</v>
      </c>
      <c r="B2689" t="s">
        <v>54</v>
      </c>
      <c r="C2689" t="s">
        <v>14</v>
      </c>
      <c r="D2689" t="s">
        <v>15</v>
      </c>
      <c r="E2689">
        <v>100</v>
      </c>
      <c r="F2689" t="s">
        <v>21</v>
      </c>
      <c r="G2689">
        <v>2</v>
      </c>
      <c r="H2689" s="1">
        <v>44901</v>
      </c>
      <c r="I2689">
        <v>2022</v>
      </c>
      <c r="J2689">
        <v>12</v>
      </c>
      <c r="K2689" t="s">
        <v>16</v>
      </c>
      <c r="L2689" t="s">
        <v>21</v>
      </c>
      <c r="M2689">
        <v>1</v>
      </c>
    </row>
    <row r="2690" spans="1:13" x14ac:dyDescent="0.25">
      <c r="A2690" t="s">
        <v>839</v>
      </c>
      <c r="B2690" t="s">
        <v>77</v>
      </c>
      <c r="C2690" t="s">
        <v>14</v>
      </c>
      <c r="D2690" t="s">
        <v>46</v>
      </c>
      <c r="E2690">
        <v>50</v>
      </c>
      <c r="F2690">
        <v>0.13</v>
      </c>
      <c r="G2690">
        <v>302</v>
      </c>
      <c r="H2690" s="1">
        <v>44901</v>
      </c>
      <c r="I2690">
        <v>2022</v>
      </c>
      <c r="J2690">
        <v>12</v>
      </c>
      <c r="K2690" t="s">
        <v>36</v>
      </c>
      <c r="L2690">
        <v>0</v>
      </c>
      <c r="M2690">
        <v>1</v>
      </c>
    </row>
    <row r="2691" spans="1:13" x14ac:dyDescent="0.25">
      <c r="A2691" t="s">
        <v>557</v>
      </c>
      <c r="B2691" t="s">
        <v>77</v>
      </c>
      <c r="C2691" t="s">
        <v>14</v>
      </c>
      <c r="D2691" t="s">
        <v>22</v>
      </c>
      <c r="E2691">
        <v>32</v>
      </c>
      <c r="F2691">
        <v>0.08</v>
      </c>
      <c r="G2691">
        <v>480</v>
      </c>
      <c r="H2691" s="1">
        <v>44901</v>
      </c>
      <c r="I2691">
        <v>2022</v>
      </c>
      <c r="J2691">
        <v>12</v>
      </c>
      <c r="K2691" t="s">
        <v>36</v>
      </c>
      <c r="L2691">
        <v>0</v>
      </c>
      <c r="M2691">
        <v>1</v>
      </c>
    </row>
    <row r="2692" spans="1:13" x14ac:dyDescent="0.25">
      <c r="A2692" t="s">
        <v>1991</v>
      </c>
      <c r="B2692" t="s">
        <v>28</v>
      </c>
      <c r="C2692" t="s">
        <v>29</v>
      </c>
      <c r="D2692" t="s">
        <v>46</v>
      </c>
      <c r="E2692">
        <v>20</v>
      </c>
      <c r="F2692">
        <v>0.08</v>
      </c>
      <c r="G2692">
        <v>165</v>
      </c>
      <c r="H2692" s="1">
        <v>44901</v>
      </c>
      <c r="I2692">
        <v>2022</v>
      </c>
      <c r="J2692">
        <v>12</v>
      </c>
      <c r="K2692" t="s">
        <v>36</v>
      </c>
      <c r="L2692">
        <v>0</v>
      </c>
      <c r="M2692">
        <v>1</v>
      </c>
    </row>
    <row r="2693" spans="1:13" x14ac:dyDescent="0.25">
      <c r="A2693" t="s">
        <v>1992</v>
      </c>
      <c r="B2693" t="s">
        <v>52</v>
      </c>
      <c r="C2693" t="s">
        <v>80</v>
      </c>
      <c r="D2693" t="s">
        <v>22</v>
      </c>
      <c r="E2693">
        <v>16</v>
      </c>
      <c r="F2693">
        <v>0.14000000000000001</v>
      </c>
      <c r="G2693" t="s">
        <v>21</v>
      </c>
      <c r="H2693" s="1">
        <v>44901</v>
      </c>
      <c r="I2693">
        <v>2022</v>
      </c>
      <c r="J2693">
        <v>12</v>
      </c>
      <c r="K2693" t="s">
        <v>22</v>
      </c>
      <c r="L2693">
        <v>0</v>
      </c>
      <c r="M2693">
        <v>1</v>
      </c>
    </row>
    <row r="2694" spans="1:13" x14ac:dyDescent="0.25">
      <c r="A2694" t="s">
        <v>1993</v>
      </c>
      <c r="B2694" t="s">
        <v>533</v>
      </c>
      <c r="C2694" t="s">
        <v>174</v>
      </c>
      <c r="D2694" t="s">
        <v>33</v>
      </c>
      <c r="E2694">
        <v>13</v>
      </c>
      <c r="F2694">
        <v>0.13</v>
      </c>
      <c r="G2694">
        <v>36</v>
      </c>
      <c r="H2694" s="1">
        <v>44901</v>
      </c>
      <c r="I2694">
        <v>2022</v>
      </c>
      <c r="J2694">
        <v>12</v>
      </c>
      <c r="K2694" t="s">
        <v>30</v>
      </c>
      <c r="L2694">
        <v>0</v>
      </c>
      <c r="M2694">
        <v>1</v>
      </c>
    </row>
    <row r="2695" spans="1:13" x14ac:dyDescent="0.25">
      <c r="A2695" t="s">
        <v>1994</v>
      </c>
      <c r="B2695" t="s">
        <v>342</v>
      </c>
      <c r="C2695" t="s">
        <v>14</v>
      </c>
      <c r="D2695" t="s">
        <v>55</v>
      </c>
      <c r="E2695" t="s">
        <v>21</v>
      </c>
      <c r="F2695" t="s">
        <v>21</v>
      </c>
      <c r="G2695">
        <v>226</v>
      </c>
      <c r="H2695" s="1">
        <v>44901</v>
      </c>
      <c r="I2695">
        <v>2022</v>
      </c>
      <c r="J2695">
        <v>12</v>
      </c>
      <c r="K2695" t="s">
        <v>36</v>
      </c>
      <c r="L2695" t="s">
        <v>21</v>
      </c>
      <c r="M2695">
        <v>0</v>
      </c>
    </row>
    <row r="2696" spans="1:13" x14ac:dyDescent="0.25">
      <c r="A2696" t="s">
        <v>1995</v>
      </c>
      <c r="B2696" t="s">
        <v>66</v>
      </c>
      <c r="C2696" t="s">
        <v>143</v>
      </c>
      <c r="D2696" t="s">
        <v>22</v>
      </c>
      <c r="E2696" t="s">
        <v>21</v>
      </c>
      <c r="F2696" t="s">
        <v>21</v>
      </c>
      <c r="G2696">
        <v>630</v>
      </c>
      <c r="H2696" s="1">
        <v>44901</v>
      </c>
      <c r="I2696">
        <v>2022</v>
      </c>
      <c r="J2696">
        <v>12</v>
      </c>
      <c r="K2696" t="s">
        <v>36</v>
      </c>
      <c r="L2696" t="s">
        <v>21</v>
      </c>
      <c r="M2696">
        <v>0</v>
      </c>
    </row>
    <row r="2697" spans="1:13" x14ac:dyDescent="0.25">
      <c r="A2697" t="s">
        <v>1996</v>
      </c>
      <c r="B2697" t="s">
        <v>13</v>
      </c>
      <c r="C2697" t="s">
        <v>14</v>
      </c>
      <c r="D2697" t="s">
        <v>81</v>
      </c>
      <c r="E2697" t="s">
        <v>21</v>
      </c>
      <c r="F2697">
        <v>0.17</v>
      </c>
      <c r="G2697">
        <v>200</v>
      </c>
      <c r="H2697" s="1">
        <v>44901</v>
      </c>
      <c r="I2697">
        <v>2022</v>
      </c>
      <c r="J2697">
        <v>12</v>
      </c>
      <c r="K2697" t="s">
        <v>36</v>
      </c>
      <c r="L2697">
        <v>0</v>
      </c>
      <c r="M2697">
        <v>1</v>
      </c>
    </row>
    <row r="2698" spans="1:13" x14ac:dyDescent="0.25">
      <c r="A2698" t="s">
        <v>1997</v>
      </c>
      <c r="B2698" t="s">
        <v>35</v>
      </c>
      <c r="C2698" t="s">
        <v>14</v>
      </c>
      <c r="D2698" t="s">
        <v>55</v>
      </c>
      <c r="E2698" t="s">
        <v>21</v>
      </c>
      <c r="F2698">
        <v>0.25</v>
      </c>
      <c r="G2698">
        <v>479</v>
      </c>
      <c r="H2698" s="1">
        <v>44901</v>
      </c>
      <c r="I2698">
        <v>2022</v>
      </c>
      <c r="J2698">
        <v>12</v>
      </c>
      <c r="K2698" t="s">
        <v>36</v>
      </c>
      <c r="L2698">
        <v>0</v>
      </c>
      <c r="M2698">
        <v>1</v>
      </c>
    </row>
    <row r="2699" spans="1:13" x14ac:dyDescent="0.25">
      <c r="A2699" t="s">
        <v>924</v>
      </c>
      <c r="B2699" t="s">
        <v>77</v>
      </c>
      <c r="C2699" t="s">
        <v>14</v>
      </c>
      <c r="D2699" t="s">
        <v>15</v>
      </c>
      <c r="E2699" t="s">
        <v>21</v>
      </c>
      <c r="F2699">
        <v>0.11</v>
      </c>
      <c r="G2699">
        <v>647</v>
      </c>
      <c r="H2699" s="1">
        <v>44901</v>
      </c>
      <c r="I2699">
        <v>2022</v>
      </c>
      <c r="J2699">
        <v>12</v>
      </c>
      <c r="K2699" t="s">
        <v>36</v>
      </c>
      <c r="L2699">
        <v>0</v>
      </c>
      <c r="M2699">
        <v>1</v>
      </c>
    </row>
    <row r="2700" spans="1:13" x14ac:dyDescent="0.25">
      <c r="A2700" t="s">
        <v>190</v>
      </c>
      <c r="B2700" t="s">
        <v>52</v>
      </c>
      <c r="C2700" t="s">
        <v>42</v>
      </c>
      <c r="D2700" t="s">
        <v>22</v>
      </c>
      <c r="E2700">
        <v>90</v>
      </c>
      <c r="F2700">
        <v>0.4</v>
      </c>
      <c r="G2700" t="s">
        <v>21</v>
      </c>
      <c r="H2700" s="1">
        <v>44900</v>
      </c>
      <c r="I2700">
        <v>2022</v>
      </c>
      <c r="J2700">
        <v>12</v>
      </c>
      <c r="K2700" t="s">
        <v>22</v>
      </c>
      <c r="L2700">
        <v>0</v>
      </c>
      <c r="M2700">
        <v>1</v>
      </c>
    </row>
    <row r="2701" spans="1:13" x14ac:dyDescent="0.25">
      <c r="A2701" t="s">
        <v>317</v>
      </c>
      <c r="B2701" t="s">
        <v>28</v>
      </c>
      <c r="C2701" t="s">
        <v>14</v>
      </c>
      <c r="D2701" t="s">
        <v>111</v>
      </c>
      <c r="E2701">
        <v>65</v>
      </c>
      <c r="F2701">
        <v>0.1</v>
      </c>
      <c r="G2701">
        <v>265</v>
      </c>
      <c r="H2701" s="1">
        <v>44900</v>
      </c>
      <c r="I2701">
        <v>2022</v>
      </c>
      <c r="J2701">
        <v>12</v>
      </c>
      <c r="K2701" t="s">
        <v>36</v>
      </c>
      <c r="L2701">
        <v>0</v>
      </c>
      <c r="M2701">
        <v>1</v>
      </c>
    </row>
    <row r="2702" spans="1:13" x14ac:dyDescent="0.25">
      <c r="A2702" t="s">
        <v>1998</v>
      </c>
      <c r="B2702" t="s">
        <v>77</v>
      </c>
      <c r="C2702" t="s">
        <v>29</v>
      </c>
      <c r="D2702" t="s">
        <v>33</v>
      </c>
      <c r="E2702">
        <v>30</v>
      </c>
      <c r="F2702">
        <v>0.18</v>
      </c>
      <c r="G2702">
        <v>103</v>
      </c>
      <c r="H2702" s="1">
        <v>44900</v>
      </c>
      <c r="I2702">
        <v>2022</v>
      </c>
      <c r="J2702">
        <v>12</v>
      </c>
      <c r="K2702" t="s">
        <v>36</v>
      </c>
      <c r="L2702">
        <v>0</v>
      </c>
      <c r="M2702">
        <v>1</v>
      </c>
    </row>
    <row r="2703" spans="1:13" x14ac:dyDescent="0.25">
      <c r="A2703" t="s">
        <v>1999</v>
      </c>
      <c r="B2703" t="s">
        <v>35</v>
      </c>
      <c r="C2703" t="s">
        <v>14</v>
      </c>
      <c r="D2703" t="s">
        <v>33</v>
      </c>
      <c r="E2703" t="s">
        <v>21</v>
      </c>
      <c r="F2703" t="s">
        <v>21</v>
      </c>
      <c r="G2703">
        <v>323</v>
      </c>
      <c r="H2703" s="1">
        <v>44900</v>
      </c>
      <c r="I2703">
        <v>2022</v>
      </c>
      <c r="J2703">
        <v>12</v>
      </c>
      <c r="K2703" t="s">
        <v>36</v>
      </c>
      <c r="L2703" t="s">
        <v>21</v>
      </c>
      <c r="M2703">
        <v>0</v>
      </c>
    </row>
    <row r="2704" spans="1:13" x14ac:dyDescent="0.25">
      <c r="A2704" t="s">
        <v>2000</v>
      </c>
      <c r="B2704" t="s">
        <v>24</v>
      </c>
      <c r="C2704" t="s">
        <v>14</v>
      </c>
      <c r="D2704" t="s">
        <v>22</v>
      </c>
      <c r="E2704" t="s">
        <v>21</v>
      </c>
      <c r="F2704" t="s">
        <v>21</v>
      </c>
      <c r="G2704">
        <v>481</v>
      </c>
      <c r="H2704" s="1">
        <v>44900</v>
      </c>
      <c r="I2704">
        <v>2022</v>
      </c>
      <c r="J2704">
        <v>12</v>
      </c>
      <c r="K2704" t="s">
        <v>36</v>
      </c>
      <c r="L2704" t="s">
        <v>21</v>
      </c>
      <c r="M2704">
        <v>0</v>
      </c>
    </row>
    <row r="2705" spans="1:13" x14ac:dyDescent="0.25">
      <c r="A2705" t="s">
        <v>1884</v>
      </c>
      <c r="B2705" t="s">
        <v>106</v>
      </c>
      <c r="C2705" t="s">
        <v>174</v>
      </c>
      <c r="D2705" t="s">
        <v>15</v>
      </c>
      <c r="E2705" t="s">
        <v>21</v>
      </c>
      <c r="F2705" t="s">
        <v>21</v>
      </c>
      <c r="G2705">
        <v>22</v>
      </c>
      <c r="H2705" s="1">
        <v>44900</v>
      </c>
      <c r="I2705">
        <v>2022</v>
      </c>
      <c r="J2705">
        <v>12</v>
      </c>
      <c r="K2705" t="s">
        <v>30</v>
      </c>
      <c r="L2705" t="s">
        <v>21</v>
      </c>
      <c r="M2705">
        <v>0</v>
      </c>
    </row>
    <row r="2706" spans="1:13" x14ac:dyDescent="0.25">
      <c r="A2706" t="s">
        <v>2001</v>
      </c>
      <c r="B2706" t="s">
        <v>73</v>
      </c>
      <c r="C2706" t="s">
        <v>48</v>
      </c>
      <c r="D2706" t="s">
        <v>43</v>
      </c>
      <c r="E2706">
        <v>600</v>
      </c>
      <c r="F2706" t="s">
        <v>21</v>
      </c>
      <c r="G2706">
        <v>4000</v>
      </c>
      <c r="H2706" s="1">
        <v>44898</v>
      </c>
      <c r="I2706">
        <v>2022</v>
      </c>
      <c r="J2706">
        <v>12</v>
      </c>
      <c r="K2706" t="s">
        <v>26</v>
      </c>
      <c r="L2706" t="s">
        <v>21</v>
      </c>
      <c r="M2706">
        <v>1</v>
      </c>
    </row>
    <row r="2707" spans="1:13" x14ac:dyDescent="0.25">
      <c r="A2707" t="s">
        <v>792</v>
      </c>
      <c r="B2707" t="s">
        <v>207</v>
      </c>
      <c r="C2707" t="s">
        <v>48</v>
      </c>
      <c r="D2707" t="s">
        <v>46</v>
      </c>
      <c r="E2707">
        <v>150</v>
      </c>
      <c r="F2707" t="s">
        <v>21</v>
      </c>
      <c r="G2707">
        <v>100</v>
      </c>
      <c r="H2707" s="1">
        <v>44898</v>
      </c>
      <c r="I2707">
        <v>2022</v>
      </c>
      <c r="J2707">
        <v>12</v>
      </c>
      <c r="K2707" t="s">
        <v>36</v>
      </c>
      <c r="L2707" t="s">
        <v>21</v>
      </c>
      <c r="M2707">
        <v>1</v>
      </c>
    </row>
    <row r="2708" spans="1:13" x14ac:dyDescent="0.25">
      <c r="A2708" t="s">
        <v>2002</v>
      </c>
      <c r="B2708" t="s">
        <v>52</v>
      </c>
      <c r="C2708" t="s">
        <v>64</v>
      </c>
      <c r="D2708" t="s">
        <v>22</v>
      </c>
      <c r="E2708" t="s">
        <v>21</v>
      </c>
      <c r="F2708">
        <v>0.3</v>
      </c>
      <c r="G2708" t="s">
        <v>21</v>
      </c>
      <c r="H2708" s="1">
        <v>44898</v>
      </c>
      <c r="I2708">
        <v>2022</v>
      </c>
      <c r="J2708">
        <v>12</v>
      </c>
      <c r="K2708" t="s">
        <v>22</v>
      </c>
      <c r="L2708">
        <v>0</v>
      </c>
      <c r="M2708">
        <v>1</v>
      </c>
    </row>
    <row r="2709" spans="1:13" x14ac:dyDescent="0.25">
      <c r="A2709" t="s">
        <v>2003</v>
      </c>
      <c r="B2709" t="s">
        <v>28</v>
      </c>
      <c r="C2709" t="s">
        <v>29</v>
      </c>
      <c r="D2709" t="s">
        <v>22</v>
      </c>
      <c r="E2709">
        <v>100</v>
      </c>
      <c r="F2709">
        <v>0.05</v>
      </c>
      <c r="G2709" t="s">
        <v>21</v>
      </c>
      <c r="H2709" s="1">
        <v>44897</v>
      </c>
      <c r="I2709">
        <v>2022</v>
      </c>
      <c r="J2709">
        <v>12</v>
      </c>
      <c r="K2709" t="s">
        <v>22</v>
      </c>
      <c r="L2709">
        <v>0</v>
      </c>
      <c r="M2709">
        <v>1</v>
      </c>
    </row>
    <row r="2710" spans="1:13" x14ac:dyDescent="0.25">
      <c r="A2710" t="s">
        <v>525</v>
      </c>
      <c r="B2710" t="s">
        <v>18</v>
      </c>
      <c r="C2710" t="s">
        <v>48</v>
      </c>
      <c r="D2710" t="s">
        <v>22</v>
      </c>
      <c r="E2710">
        <v>100</v>
      </c>
      <c r="F2710" t="s">
        <v>21</v>
      </c>
      <c r="G2710">
        <v>1700</v>
      </c>
      <c r="H2710" s="1">
        <v>44897</v>
      </c>
      <c r="I2710">
        <v>2022</v>
      </c>
      <c r="J2710">
        <v>12</v>
      </c>
      <c r="K2710" t="s">
        <v>26</v>
      </c>
      <c r="L2710" t="s">
        <v>21</v>
      </c>
      <c r="M2710">
        <v>1</v>
      </c>
    </row>
    <row r="2711" spans="1:13" x14ac:dyDescent="0.25">
      <c r="A2711" t="s">
        <v>2004</v>
      </c>
      <c r="B2711" t="s">
        <v>77</v>
      </c>
      <c r="C2711" t="s">
        <v>14</v>
      </c>
      <c r="D2711" t="s">
        <v>46</v>
      </c>
      <c r="E2711">
        <v>47</v>
      </c>
      <c r="F2711">
        <v>0.15</v>
      </c>
      <c r="G2711">
        <v>184</v>
      </c>
      <c r="H2711" s="1">
        <v>44897</v>
      </c>
      <c r="I2711">
        <v>2022</v>
      </c>
      <c r="J2711">
        <v>12</v>
      </c>
      <c r="K2711" t="s">
        <v>36</v>
      </c>
      <c r="L2711">
        <v>0</v>
      </c>
      <c r="M2711">
        <v>1</v>
      </c>
    </row>
    <row r="2712" spans="1:13" x14ac:dyDescent="0.25">
      <c r="A2712" t="s">
        <v>79</v>
      </c>
      <c r="B2712" t="s">
        <v>77</v>
      </c>
      <c r="C2712" t="s">
        <v>80</v>
      </c>
      <c r="D2712" t="s">
        <v>81</v>
      </c>
      <c r="E2712" t="s">
        <v>21</v>
      </c>
      <c r="F2712" t="s">
        <v>21</v>
      </c>
      <c r="G2712">
        <v>3500</v>
      </c>
      <c r="H2712" s="1">
        <v>44897</v>
      </c>
      <c r="I2712">
        <v>2022</v>
      </c>
      <c r="J2712">
        <v>12</v>
      </c>
      <c r="K2712" t="s">
        <v>26</v>
      </c>
      <c r="L2712" t="s">
        <v>21</v>
      </c>
      <c r="M2712">
        <v>0</v>
      </c>
    </row>
    <row r="2713" spans="1:13" x14ac:dyDescent="0.25">
      <c r="A2713" t="s">
        <v>2005</v>
      </c>
      <c r="B2713" t="s">
        <v>91</v>
      </c>
      <c r="C2713" t="s">
        <v>14</v>
      </c>
      <c r="D2713" t="s">
        <v>22</v>
      </c>
      <c r="E2713" t="s">
        <v>21</v>
      </c>
      <c r="F2713" t="s">
        <v>21</v>
      </c>
      <c r="G2713">
        <v>128</v>
      </c>
      <c r="H2713" s="1">
        <v>44897</v>
      </c>
      <c r="I2713">
        <v>2022</v>
      </c>
      <c r="J2713">
        <v>12</v>
      </c>
      <c r="K2713" t="s">
        <v>36</v>
      </c>
      <c r="L2713" t="s">
        <v>21</v>
      </c>
      <c r="M2713">
        <v>0</v>
      </c>
    </row>
    <row r="2714" spans="1:13" x14ac:dyDescent="0.25">
      <c r="A2714" t="s">
        <v>2006</v>
      </c>
      <c r="B2714" t="s">
        <v>18</v>
      </c>
      <c r="C2714" t="s">
        <v>14</v>
      </c>
      <c r="D2714" t="s">
        <v>22</v>
      </c>
      <c r="E2714" t="s">
        <v>21</v>
      </c>
      <c r="F2714">
        <v>1</v>
      </c>
      <c r="G2714">
        <v>9</v>
      </c>
      <c r="H2714" s="1">
        <v>44897</v>
      </c>
      <c r="I2714">
        <v>2022</v>
      </c>
      <c r="J2714">
        <v>12</v>
      </c>
      <c r="K2714" t="s">
        <v>16</v>
      </c>
      <c r="L2714">
        <v>1</v>
      </c>
      <c r="M2714">
        <v>1</v>
      </c>
    </row>
    <row r="2715" spans="1:13" x14ac:dyDescent="0.25">
      <c r="A2715" t="s">
        <v>553</v>
      </c>
      <c r="B2715" t="s">
        <v>24</v>
      </c>
      <c r="C2715" t="s">
        <v>64</v>
      </c>
      <c r="D2715" t="s">
        <v>81</v>
      </c>
      <c r="E2715">
        <v>110</v>
      </c>
      <c r="F2715">
        <v>0.1</v>
      </c>
      <c r="G2715">
        <v>372</v>
      </c>
      <c r="H2715" s="1">
        <v>44896</v>
      </c>
      <c r="I2715">
        <v>2022</v>
      </c>
      <c r="J2715">
        <v>12</v>
      </c>
      <c r="K2715" t="s">
        <v>36</v>
      </c>
      <c r="L2715">
        <v>0</v>
      </c>
      <c r="M2715">
        <v>1</v>
      </c>
    </row>
    <row r="2716" spans="1:13" x14ac:dyDescent="0.25">
      <c r="A2716" t="s">
        <v>2007</v>
      </c>
      <c r="B2716" t="s">
        <v>54</v>
      </c>
      <c r="C2716" t="s">
        <v>14</v>
      </c>
      <c r="D2716" t="s">
        <v>111</v>
      </c>
      <c r="E2716">
        <v>100</v>
      </c>
      <c r="F2716">
        <v>0.37</v>
      </c>
      <c r="G2716">
        <v>194</v>
      </c>
      <c r="H2716" s="1">
        <v>44896</v>
      </c>
      <c r="I2716">
        <v>2022</v>
      </c>
      <c r="J2716">
        <v>12</v>
      </c>
      <c r="K2716" t="s">
        <v>36</v>
      </c>
      <c r="L2716">
        <v>0</v>
      </c>
      <c r="M2716">
        <v>1</v>
      </c>
    </row>
    <row r="2717" spans="1:13" x14ac:dyDescent="0.25">
      <c r="A2717" t="s">
        <v>2008</v>
      </c>
      <c r="B2717" t="s">
        <v>106</v>
      </c>
      <c r="C2717" t="s">
        <v>14</v>
      </c>
      <c r="D2717" t="s">
        <v>22</v>
      </c>
      <c r="E2717">
        <v>88</v>
      </c>
      <c r="F2717">
        <v>0.5</v>
      </c>
      <c r="G2717" t="s">
        <v>21</v>
      </c>
      <c r="H2717" s="1">
        <v>44896</v>
      </c>
      <c r="I2717">
        <v>2022</v>
      </c>
      <c r="J2717">
        <v>12</v>
      </c>
      <c r="K2717" t="s">
        <v>22</v>
      </c>
      <c r="L2717">
        <v>0</v>
      </c>
      <c r="M2717">
        <v>1</v>
      </c>
    </row>
    <row r="2718" spans="1:13" x14ac:dyDescent="0.25">
      <c r="A2718" t="s">
        <v>1323</v>
      </c>
      <c r="B2718" t="s">
        <v>114</v>
      </c>
      <c r="C2718" t="s">
        <v>14</v>
      </c>
      <c r="D2718" t="s">
        <v>55</v>
      </c>
      <c r="E2718">
        <v>48</v>
      </c>
      <c r="F2718">
        <v>0.16</v>
      </c>
      <c r="G2718">
        <v>212</v>
      </c>
      <c r="H2718" s="1">
        <v>44896</v>
      </c>
      <c r="I2718">
        <v>2022</v>
      </c>
      <c r="J2718">
        <v>12</v>
      </c>
      <c r="K2718" t="s">
        <v>36</v>
      </c>
      <c r="L2718">
        <v>0</v>
      </c>
      <c r="M2718">
        <v>1</v>
      </c>
    </row>
    <row r="2719" spans="1:13" x14ac:dyDescent="0.25">
      <c r="A2719" t="s">
        <v>2009</v>
      </c>
      <c r="B2719" t="s">
        <v>99</v>
      </c>
      <c r="C2719" t="s">
        <v>14</v>
      </c>
      <c r="D2719" t="s">
        <v>15</v>
      </c>
      <c r="E2719">
        <v>37</v>
      </c>
      <c r="F2719">
        <v>0.23</v>
      </c>
      <c r="G2719">
        <v>32</v>
      </c>
      <c r="H2719" s="1">
        <v>44896</v>
      </c>
      <c r="I2719">
        <v>2022</v>
      </c>
      <c r="J2719">
        <v>12</v>
      </c>
      <c r="K2719" t="s">
        <v>30</v>
      </c>
      <c r="L2719">
        <v>0</v>
      </c>
      <c r="M2719">
        <v>1</v>
      </c>
    </row>
    <row r="2720" spans="1:13" x14ac:dyDescent="0.25">
      <c r="A2720" t="s">
        <v>1247</v>
      </c>
      <c r="B2720" t="s">
        <v>89</v>
      </c>
      <c r="C2720" t="s">
        <v>14</v>
      </c>
      <c r="D2720" t="s">
        <v>55</v>
      </c>
      <c r="E2720" t="s">
        <v>21</v>
      </c>
      <c r="F2720">
        <v>0.12</v>
      </c>
      <c r="G2720">
        <v>419</v>
      </c>
      <c r="H2720" s="1">
        <v>44896</v>
      </c>
      <c r="I2720">
        <v>2022</v>
      </c>
      <c r="J2720">
        <v>12</v>
      </c>
      <c r="K2720" t="s">
        <v>36</v>
      </c>
      <c r="L2720">
        <v>0</v>
      </c>
      <c r="M2720">
        <v>1</v>
      </c>
    </row>
    <row r="2721" spans="1:13" x14ac:dyDescent="0.25">
      <c r="A2721" t="s">
        <v>2010</v>
      </c>
      <c r="B2721" t="s">
        <v>35</v>
      </c>
      <c r="C2721" t="s">
        <v>14</v>
      </c>
      <c r="D2721" t="s">
        <v>15</v>
      </c>
      <c r="E2721" t="s">
        <v>21</v>
      </c>
      <c r="F2721">
        <v>0.6</v>
      </c>
      <c r="G2721">
        <v>229</v>
      </c>
      <c r="H2721" s="1">
        <v>44896</v>
      </c>
      <c r="I2721">
        <v>2022</v>
      </c>
      <c r="J2721">
        <v>12</v>
      </c>
      <c r="K2721" t="s">
        <v>36</v>
      </c>
      <c r="L2721">
        <v>0</v>
      </c>
      <c r="M2721">
        <v>1</v>
      </c>
    </row>
    <row r="2722" spans="1:13" x14ac:dyDescent="0.25">
      <c r="A2722" t="s">
        <v>2011</v>
      </c>
      <c r="B2722" t="s">
        <v>207</v>
      </c>
      <c r="C2722" t="s">
        <v>14</v>
      </c>
      <c r="D2722" t="s">
        <v>43</v>
      </c>
      <c r="E2722" t="s">
        <v>21</v>
      </c>
      <c r="F2722">
        <v>0.14000000000000001</v>
      </c>
      <c r="G2722">
        <v>151</v>
      </c>
      <c r="H2722" s="1">
        <v>44896</v>
      </c>
      <c r="I2722">
        <v>2022</v>
      </c>
      <c r="J2722">
        <v>12</v>
      </c>
      <c r="K2722" t="s">
        <v>36</v>
      </c>
      <c r="L2722">
        <v>0</v>
      </c>
      <c r="M2722">
        <v>1</v>
      </c>
    </row>
    <row r="2723" spans="1:13" x14ac:dyDescent="0.25">
      <c r="A2723" t="s">
        <v>2012</v>
      </c>
      <c r="B2723" t="s">
        <v>35</v>
      </c>
      <c r="C2723" t="s">
        <v>14</v>
      </c>
      <c r="D2723" t="s">
        <v>15</v>
      </c>
      <c r="E2723" t="s">
        <v>21</v>
      </c>
      <c r="F2723">
        <v>0.25</v>
      </c>
      <c r="G2723">
        <v>321</v>
      </c>
      <c r="H2723" s="1">
        <v>44896</v>
      </c>
      <c r="I2723">
        <v>2022</v>
      </c>
      <c r="J2723">
        <v>12</v>
      </c>
      <c r="K2723" t="s">
        <v>36</v>
      </c>
      <c r="L2723">
        <v>0</v>
      </c>
      <c r="M2723">
        <v>1</v>
      </c>
    </row>
    <row r="2724" spans="1:13" x14ac:dyDescent="0.25">
      <c r="A2724" t="s">
        <v>2013</v>
      </c>
      <c r="B2724" t="s">
        <v>77</v>
      </c>
      <c r="C2724" t="s">
        <v>80</v>
      </c>
      <c r="D2724" t="s">
        <v>68</v>
      </c>
      <c r="E2724" t="s">
        <v>21</v>
      </c>
      <c r="F2724" t="s">
        <v>21</v>
      </c>
      <c r="G2724">
        <v>69</v>
      </c>
      <c r="H2724" s="1">
        <v>44896</v>
      </c>
      <c r="I2724">
        <v>2022</v>
      </c>
      <c r="J2724">
        <v>12</v>
      </c>
      <c r="K2724" t="s">
        <v>30</v>
      </c>
      <c r="L2724" t="s">
        <v>21</v>
      </c>
      <c r="M2724">
        <v>0</v>
      </c>
    </row>
    <row r="2725" spans="1:13" x14ac:dyDescent="0.25">
      <c r="A2725" t="s">
        <v>2014</v>
      </c>
      <c r="B2725" t="s">
        <v>95</v>
      </c>
      <c r="C2725" t="s">
        <v>14</v>
      </c>
      <c r="D2725" t="s">
        <v>15</v>
      </c>
      <c r="E2725">
        <v>1250</v>
      </c>
      <c r="F2725">
        <v>0.06</v>
      </c>
      <c r="G2725">
        <v>2500</v>
      </c>
      <c r="H2725" s="1">
        <v>44895</v>
      </c>
      <c r="I2725">
        <v>2022</v>
      </c>
      <c r="J2725">
        <v>11</v>
      </c>
      <c r="K2725" t="s">
        <v>26</v>
      </c>
      <c r="L2725">
        <v>0</v>
      </c>
      <c r="M2725">
        <v>1</v>
      </c>
    </row>
    <row r="2726" spans="1:13" x14ac:dyDescent="0.25">
      <c r="A2726" t="s">
        <v>134</v>
      </c>
      <c r="B2726" t="s">
        <v>52</v>
      </c>
      <c r="C2726" t="s">
        <v>14</v>
      </c>
      <c r="D2726" t="s">
        <v>22</v>
      </c>
      <c r="E2726">
        <v>1100</v>
      </c>
      <c r="F2726">
        <v>0.3</v>
      </c>
      <c r="G2726">
        <v>134</v>
      </c>
      <c r="H2726" s="1">
        <v>44895</v>
      </c>
      <c r="I2726">
        <v>2022</v>
      </c>
      <c r="J2726">
        <v>11</v>
      </c>
      <c r="K2726" t="s">
        <v>36</v>
      </c>
      <c r="L2726">
        <v>0</v>
      </c>
      <c r="M2726">
        <v>1</v>
      </c>
    </row>
    <row r="2727" spans="1:13" x14ac:dyDescent="0.25">
      <c r="A2727" t="s">
        <v>2015</v>
      </c>
      <c r="B2727" t="s">
        <v>77</v>
      </c>
      <c r="C2727" t="s">
        <v>14</v>
      </c>
      <c r="D2727" t="s">
        <v>55</v>
      </c>
      <c r="E2727">
        <v>158</v>
      </c>
      <c r="F2727">
        <v>0.34</v>
      </c>
      <c r="G2727">
        <v>191</v>
      </c>
      <c r="H2727" s="1">
        <v>44895</v>
      </c>
      <c r="I2727">
        <v>2022</v>
      </c>
      <c r="J2727">
        <v>11</v>
      </c>
      <c r="K2727" t="s">
        <v>36</v>
      </c>
      <c r="L2727">
        <v>0</v>
      </c>
      <c r="M2727">
        <v>1</v>
      </c>
    </row>
    <row r="2728" spans="1:13" x14ac:dyDescent="0.25">
      <c r="A2728" t="s">
        <v>2016</v>
      </c>
      <c r="B2728" t="s">
        <v>24</v>
      </c>
      <c r="C2728" t="s">
        <v>25</v>
      </c>
      <c r="D2728" t="s">
        <v>33</v>
      </c>
      <c r="E2728">
        <v>134</v>
      </c>
      <c r="F2728">
        <v>0.23</v>
      </c>
      <c r="G2728">
        <v>140</v>
      </c>
      <c r="H2728" s="1">
        <v>44895</v>
      </c>
      <c r="I2728">
        <v>2022</v>
      </c>
      <c r="J2728">
        <v>11</v>
      </c>
      <c r="K2728" t="s">
        <v>36</v>
      </c>
      <c r="L2728">
        <v>0</v>
      </c>
      <c r="M2728">
        <v>1</v>
      </c>
    </row>
    <row r="2729" spans="1:13" x14ac:dyDescent="0.25">
      <c r="A2729" t="s">
        <v>2017</v>
      </c>
      <c r="B2729" t="s">
        <v>95</v>
      </c>
      <c r="C2729" t="s">
        <v>14</v>
      </c>
      <c r="D2729" t="s">
        <v>33</v>
      </c>
      <c r="E2729">
        <v>130</v>
      </c>
      <c r="F2729">
        <v>7.0000000000000007E-2</v>
      </c>
      <c r="G2729">
        <v>850</v>
      </c>
      <c r="H2729" s="1">
        <v>44895</v>
      </c>
      <c r="I2729">
        <v>2022</v>
      </c>
      <c r="J2729">
        <v>11</v>
      </c>
      <c r="K2729" t="s">
        <v>36</v>
      </c>
      <c r="L2729">
        <v>0</v>
      </c>
      <c r="M2729">
        <v>1</v>
      </c>
    </row>
    <row r="2730" spans="1:13" x14ac:dyDescent="0.25">
      <c r="A2730" t="s">
        <v>2018</v>
      </c>
      <c r="B2730" t="s">
        <v>106</v>
      </c>
      <c r="C2730" t="s">
        <v>83</v>
      </c>
      <c r="D2730" t="s">
        <v>68</v>
      </c>
      <c r="E2730">
        <v>70</v>
      </c>
      <c r="F2730" t="s">
        <v>21</v>
      </c>
      <c r="G2730">
        <v>64</v>
      </c>
      <c r="H2730" s="1">
        <v>44895</v>
      </c>
      <c r="I2730">
        <v>2022</v>
      </c>
      <c r="J2730">
        <v>11</v>
      </c>
      <c r="K2730" t="s">
        <v>30</v>
      </c>
      <c r="L2730" t="s">
        <v>21</v>
      </c>
      <c r="M2730">
        <v>1</v>
      </c>
    </row>
    <row r="2731" spans="1:13" x14ac:dyDescent="0.25">
      <c r="A2731" t="s">
        <v>794</v>
      </c>
      <c r="B2731" t="s">
        <v>54</v>
      </c>
      <c r="C2731" t="s">
        <v>14</v>
      </c>
      <c r="D2731" t="s">
        <v>33</v>
      </c>
      <c r="E2731">
        <v>60</v>
      </c>
      <c r="F2731">
        <v>0.13</v>
      </c>
      <c r="G2731">
        <v>145</v>
      </c>
      <c r="H2731" s="1">
        <v>44895</v>
      </c>
      <c r="I2731">
        <v>2022</v>
      </c>
      <c r="J2731">
        <v>11</v>
      </c>
      <c r="K2731" t="s">
        <v>36</v>
      </c>
      <c r="L2731">
        <v>0</v>
      </c>
      <c r="M2731">
        <v>1</v>
      </c>
    </row>
    <row r="2732" spans="1:13" x14ac:dyDescent="0.25">
      <c r="A2732" t="s">
        <v>2019</v>
      </c>
      <c r="B2732" t="s">
        <v>77</v>
      </c>
      <c r="C2732" t="s">
        <v>1850</v>
      </c>
      <c r="D2732" t="s">
        <v>55</v>
      </c>
      <c r="E2732">
        <v>53</v>
      </c>
      <c r="F2732">
        <v>0.03</v>
      </c>
      <c r="G2732">
        <v>544</v>
      </c>
      <c r="H2732" s="1">
        <v>44895</v>
      </c>
      <c r="I2732">
        <v>2022</v>
      </c>
      <c r="J2732">
        <v>11</v>
      </c>
      <c r="K2732" t="s">
        <v>36</v>
      </c>
      <c r="L2732">
        <v>0</v>
      </c>
      <c r="M2732">
        <v>1</v>
      </c>
    </row>
    <row r="2733" spans="1:13" x14ac:dyDescent="0.25">
      <c r="A2733" t="s">
        <v>1481</v>
      </c>
      <c r="B2733" t="s">
        <v>106</v>
      </c>
      <c r="C2733" t="s">
        <v>48</v>
      </c>
      <c r="D2733" t="s">
        <v>33</v>
      </c>
      <c r="E2733">
        <v>45</v>
      </c>
      <c r="F2733">
        <v>0.05</v>
      </c>
      <c r="G2733">
        <v>118</v>
      </c>
      <c r="H2733" s="1">
        <v>44895</v>
      </c>
      <c r="I2733">
        <v>2022</v>
      </c>
      <c r="J2733">
        <v>11</v>
      </c>
      <c r="K2733" t="s">
        <v>36</v>
      </c>
      <c r="L2733">
        <v>0</v>
      </c>
      <c r="M2733">
        <v>1</v>
      </c>
    </row>
    <row r="2734" spans="1:13" x14ac:dyDescent="0.25">
      <c r="A2734" t="s">
        <v>2020</v>
      </c>
      <c r="B2734" t="s">
        <v>13</v>
      </c>
      <c r="C2734" t="s">
        <v>1850</v>
      </c>
      <c r="D2734" t="s">
        <v>22</v>
      </c>
      <c r="E2734">
        <v>40</v>
      </c>
      <c r="F2734" t="s">
        <v>21</v>
      </c>
      <c r="G2734" t="s">
        <v>21</v>
      </c>
      <c r="H2734" s="1">
        <v>44895</v>
      </c>
      <c r="I2734">
        <v>2022</v>
      </c>
      <c r="J2734">
        <v>11</v>
      </c>
      <c r="K2734" t="s">
        <v>22</v>
      </c>
      <c r="L2734" t="s">
        <v>21</v>
      </c>
      <c r="M2734">
        <v>1</v>
      </c>
    </row>
    <row r="2735" spans="1:13" x14ac:dyDescent="0.25">
      <c r="A2735" t="s">
        <v>2021</v>
      </c>
      <c r="B2735" t="s">
        <v>24</v>
      </c>
      <c r="C2735" t="s">
        <v>80</v>
      </c>
      <c r="D2735" t="s">
        <v>20</v>
      </c>
      <c r="E2735">
        <v>30</v>
      </c>
      <c r="F2735">
        <v>0.5</v>
      </c>
      <c r="G2735">
        <v>40</v>
      </c>
      <c r="H2735" s="1">
        <v>44895</v>
      </c>
      <c r="I2735">
        <v>2022</v>
      </c>
      <c r="J2735">
        <v>11</v>
      </c>
      <c r="K2735" t="s">
        <v>30</v>
      </c>
      <c r="L2735">
        <v>0</v>
      </c>
      <c r="M2735">
        <v>1</v>
      </c>
    </row>
    <row r="2736" spans="1:13" x14ac:dyDescent="0.25">
      <c r="A2736" t="s">
        <v>1192</v>
      </c>
      <c r="B2736" t="s">
        <v>66</v>
      </c>
      <c r="C2736" t="s">
        <v>14</v>
      </c>
      <c r="D2736" t="s">
        <v>55</v>
      </c>
      <c r="E2736">
        <v>25</v>
      </c>
      <c r="F2736" t="s">
        <v>21</v>
      </c>
      <c r="G2736">
        <v>149</v>
      </c>
      <c r="H2736" s="1">
        <v>44895</v>
      </c>
      <c r="I2736">
        <v>2022</v>
      </c>
      <c r="J2736">
        <v>11</v>
      </c>
      <c r="K2736" t="s">
        <v>36</v>
      </c>
      <c r="L2736" t="s">
        <v>21</v>
      </c>
      <c r="M2736">
        <v>1</v>
      </c>
    </row>
    <row r="2737" spans="1:13" x14ac:dyDescent="0.25">
      <c r="A2737" t="s">
        <v>58</v>
      </c>
      <c r="B2737" t="s">
        <v>38</v>
      </c>
      <c r="C2737" t="s">
        <v>14</v>
      </c>
      <c r="D2737" t="s">
        <v>15</v>
      </c>
      <c r="E2737" t="s">
        <v>21</v>
      </c>
      <c r="F2737">
        <v>0.13</v>
      </c>
      <c r="G2737">
        <v>162</v>
      </c>
      <c r="H2737" s="1">
        <v>44895</v>
      </c>
      <c r="I2737">
        <v>2022</v>
      </c>
      <c r="J2737">
        <v>11</v>
      </c>
      <c r="K2737" t="s">
        <v>36</v>
      </c>
      <c r="L2737">
        <v>0</v>
      </c>
      <c r="M2737">
        <v>1</v>
      </c>
    </row>
    <row r="2738" spans="1:13" x14ac:dyDescent="0.25">
      <c r="A2738" t="s">
        <v>772</v>
      </c>
      <c r="B2738" t="s">
        <v>66</v>
      </c>
      <c r="C2738" t="s">
        <v>14</v>
      </c>
      <c r="D2738" t="s">
        <v>22</v>
      </c>
      <c r="E2738" t="s">
        <v>21</v>
      </c>
      <c r="F2738" t="s">
        <v>21</v>
      </c>
      <c r="G2738" t="s">
        <v>21</v>
      </c>
      <c r="H2738" s="1">
        <v>44895</v>
      </c>
      <c r="I2738">
        <v>2022</v>
      </c>
      <c r="J2738">
        <v>11</v>
      </c>
      <c r="K2738" t="s">
        <v>22</v>
      </c>
      <c r="L2738" t="s">
        <v>21</v>
      </c>
      <c r="M2738">
        <v>0</v>
      </c>
    </row>
    <row r="2739" spans="1:13" x14ac:dyDescent="0.25">
      <c r="A2739" t="s">
        <v>277</v>
      </c>
      <c r="B2739" t="s">
        <v>18</v>
      </c>
      <c r="C2739" t="s">
        <v>14</v>
      </c>
      <c r="D2739" t="s">
        <v>15</v>
      </c>
      <c r="E2739" t="s">
        <v>21</v>
      </c>
      <c r="F2739" t="s">
        <v>21</v>
      </c>
      <c r="G2739">
        <v>1500</v>
      </c>
      <c r="H2739" s="1">
        <v>44895</v>
      </c>
      <c r="I2739">
        <v>2022</v>
      </c>
      <c r="J2739">
        <v>11</v>
      </c>
      <c r="K2739" t="s">
        <v>26</v>
      </c>
      <c r="L2739" t="s">
        <v>21</v>
      </c>
      <c r="M2739">
        <v>0</v>
      </c>
    </row>
    <row r="2740" spans="1:13" x14ac:dyDescent="0.25">
      <c r="A2740" t="s">
        <v>2022</v>
      </c>
      <c r="B2740" t="s">
        <v>35</v>
      </c>
      <c r="C2740" t="s">
        <v>14</v>
      </c>
      <c r="D2740" t="s">
        <v>68</v>
      </c>
      <c r="E2740" t="s">
        <v>21</v>
      </c>
      <c r="F2740">
        <v>0.15</v>
      </c>
      <c r="G2740">
        <v>700</v>
      </c>
      <c r="H2740" s="1">
        <v>44895</v>
      </c>
      <c r="I2740">
        <v>2022</v>
      </c>
      <c r="J2740">
        <v>11</v>
      </c>
      <c r="K2740" t="s">
        <v>36</v>
      </c>
      <c r="L2740">
        <v>0</v>
      </c>
      <c r="M2740">
        <v>1</v>
      </c>
    </row>
    <row r="2741" spans="1:13" x14ac:dyDescent="0.25">
      <c r="A2741" t="s">
        <v>2023</v>
      </c>
      <c r="B2741" t="s">
        <v>28</v>
      </c>
      <c r="C2741" t="s">
        <v>14</v>
      </c>
      <c r="D2741" t="s">
        <v>20</v>
      </c>
      <c r="E2741" t="s">
        <v>21</v>
      </c>
      <c r="F2741" t="s">
        <v>21</v>
      </c>
      <c r="G2741">
        <v>167</v>
      </c>
      <c r="H2741" s="1">
        <v>44895</v>
      </c>
      <c r="I2741">
        <v>2022</v>
      </c>
      <c r="J2741">
        <v>11</v>
      </c>
      <c r="K2741" t="s">
        <v>36</v>
      </c>
      <c r="L2741" t="s">
        <v>21</v>
      </c>
      <c r="M2741">
        <v>0</v>
      </c>
    </row>
    <row r="2742" spans="1:13" x14ac:dyDescent="0.25">
      <c r="A2742" t="s">
        <v>2024</v>
      </c>
      <c r="B2742" t="s">
        <v>52</v>
      </c>
      <c r="C2742" t="s">
        <v>1362</v>
      </c>
      <c r="D2742" t="s">
        <v>46</v>
      </c>
      <c r="E2742">
        <v>100</v>
      </c>
      <c r="F2742" t="s">
        <v>21</v>
      </c>
      <c r="G2742">
        <v>378</v>
      </c>
      <c r="H2742" s="1">
        <v>44894</v>
      </c>
      <c r="I2742">
        <v>2022</v>
      </c>
      <c r="J2742">
        <v>11</v>
      </c>
      <c r="K2742" t="s">
        <v>36</v>
      </c>
      <c r="L2742" t="s">
        <v>21</v>
      </c>
      <c r="M2742">
        <v>1</v>
      </c>
    </row>
    <row r="2743" spans="1:13" x14ac:dyDescent="0.25">
      <c r="A2743" t="s">
        <v>2025</v>
      </c>
      <c r="B2743" t="s">
        <v>24</v>
      </c>
      <c r="C2743" t="s">
        <v>80</v>
      </c>
      <c r="D2743" t="s">
        <v>22</v>
      </c>
      <c r="E2743">
        <v>50</v>
      </c>
      <c r="F2743">
        <v>0.25</v>
      </c>
      <c r="G2743">
        <v>144</v>
      </c>
      <c r="H2743" s="1">
        <v>44894</v>
      </c>
      <c r="I2743">
        <v>2022</v>
      </c>
      <c r="J2743">
        <v>11</v>
      </c>
      <c r="K2743" t="s">
        <v>36</v>
      </c>
      <c r="L2743">
        <v>0</v>
      </c>
      <c r="M2743">
        <v>1</v>
      </c>
    </row>
    <row r="2744" spans="1:13" x14ac:dyDescent="0.25">
      <c r="A2744" t="s">
        <v>2026</v>
      </c>
      <c r="B2744" t="s">
        <v>52</v>
      </c>
      <c r="C2744" t="s">
        <v>42</v>
      </c>
      <c r="D2744" t="s">
        <v>22</v>
      </c>
      <c r="E2744">
        <v>10</v>
      </c>
      <c r="F2744">
        <v>0.2</v>
      </c>
      <c r="G2744">
        <v>1</v>
      </c>
      <c r="H2744" s="1">
        <v>44894</v>
      </c>
      <c r="I2744">
        <v>2022</v>
      </c>
      <c r="J2744">
        <v>11</v>
      </c>
      <c r="K2744" t="s">
        <v>16</v>
      </c>
      <c r="L2744">
        <v>0</v>
      </c>
      <c r="M2744">
        <v>1</v>
      </c>
    </row>
    <row r="2745" spans="1:13" x14ac:dyDescent="0.25">
      <c r="A2745" t="s">
        <v>2027</v>
      </c>
      <c r="B2745" t="s">
        <v>52</v>
      </c>
      <c r="C2745" t="s">
        <v>14</v>
      </c>
      <c r="D2745" t="s">
        <v>22</v>
      </c>
      <c r="E2745" t="s">
        <v>21</v>
      </c>
      <c r="F2745">
        <v>1</v>
      </c>
      <c r="G2745" t="s">
        <v>21</v>
      </c>
      <c r="H2745" s="1">
        <v>44894</v>
      </c>
      <c r="I2745">
        <v>2022</v>
      </c>
      <c r="J2745">
        <v>11</v>
      </c>
      <c r="K2745" t="s">
        <v>22</v>
      </c>
      <c r="L2745">
        <v>1</v>
      </c>
      <c r="M2745">
        <v>1</v>
      </c>
    </row>
    <row r="2746" spans="1:13" x14ac:dyDescent="0.25">
      <c r="A2746" t="s">
        <v>2028</v>
      </c>
      <c r="B2746" t="s">
        <v>35</v>
      </c>
      <c r="C2746" t="s">
        <v>14</v>
      </c>
      <c r="D2746" t="s">
        <v>15</v>
      </c>
      <c r="E2746" t="s">
        <v>21</v>
      </c>
      <c r="F2746">
        <v>0.18</v>
      </c>
      <c r="G2746">
        <v>162</v>
      </c>
      <c r="H2746" s="1">
        <v>44894</v>
      </c>
      <c r="I2746">
        <v>2022</v>
      </c>
      <c r="J2746">
        <v>11</v>
      </c>
      <c r="K2746" t="s">
        <v>36</v>
      </c>
      <c r="L2746">
        <v>0</v>
      </c>
      <c r="M2746">
        <v>1</v>
      </c>
    </row>
    <row r="2747" spans="1:13" x14ac:dyDescent="0.25">
      <c r="A2747" t="s">
        <v>2029</v>
      </c>
      <c r="B2747" t="s">
        <v>24</v>
      </c>
      <c r="C2747" t="s">
        <v>14</v>
      </c>
      <c r="D2747" t="s">
        <v>33</v>
      </c>
      <c r="E2747" t="s">
        <v>21</v>
      </c>
      <c r="F2747">
        <v>0.1</v>
      </c>
      <c r="G2747">
        <v>269</v>
      </c>
      <c r="H2747" s="1">
        <v>44894</v>
      </c>
      <c r="I2747">
        <v>2022</v>
      </c>
      <c r="J2747">
        <v>11</v>
      </c>
      <c r="K2747" t="s">
        <v>36</v>
      </c>
      <c r="L2747">
        <v>0</v>
      </c>
      <c r="M2747">
        <v>1</v>
      </c>
    </row>
    <row r="2748" spans="1:13" x14ac:dyDescent="0.25">
      <c r="A2748" t="s">
        <v>1541</v>
      </c>
      <c r="B2748" t="s">
        <v>52</v>
      </c>
      <c r="C2748" t="s">
        <v>143</v>
      </c>
      <c r="D2748" t="s">
        <v>22</v>
      </c>
      <c r="E2748" t="s">
        <v>21</v>
      </c>
      <c r="F2748" t="s">
        <v>21</v>
      </c>
      <c r="G2748" t="s">
        <v>21</v>
      </c>
      <c r="H2748" s="1">
        <v>44894</v>
      </c>
      <c r="I2748">
        <v>2022</v>
      </c>
      <c r="J2748">
        <v>11</v>
      </c>
      <c r="K2748" t="s">
        <v>22</v>
      </c>
      <c r="L2748" t="s">
        <v>21</v>
      </c>
      <c r="M2748">
        <v>0</v>
      </c>
    </row>
    <row r="2749" spans="1:13" x14ac:dyDescent="0.25">
      <c r="A2749" t="s">
        <v>150</v>
      </c>
      <c r="B2749" t="s">
        <v>13</v>
      </c>
      <c r="C2749" t="s">
        <v>74</v>
      </c>
      <c r="D2749" t="s">
        <v>46</v>
      </c>
      <c r="E2749" t="s">
        <v>21</v>
      </c>
      <c r="F2749">
        <v>0.31</v>
      </c>
      <c r="G2749">
        <v>1100</v>
      </c>
      <c r="H2749" s="1">
        <v>44894</v>
      </c>
      <c r="I2749">
        <v>2022</v>
      </c>
      <c r="J2749">
        <v>11</v>
      </c>
      <c r="K2749" t="s">
        <v>26</v>
      </c>
      <c r="L2749">
        <v>0</v>
      </c>
      <c r="M2749">
        <v>1</v>
      </c>
    </row>
    <row r="2750" spans="1:13" x14ac:dyDescent="0.25">
      <c r="A2750" t="s">
        <v>2030</v>
      </c>
      <c r="B2750" t="s">
        <v>77</v>
      </c>
      <c r="C2750" t="s">
        <v>1362</v>
      </c>
      <c r="D2750" t="s">
        <v>68</v>
      </c>
      <c r="E2750" t="s">
        <v>21</v>
      </c>
      <c r="F2750">
        <v>0.4</v>
      </c>
      <c r="G2750">
        <v>13</v>
      </c>
      <c r="H2750" s="1">
        <v>44894</v>
      </c>
      <c r="I2750">
        <v>2022</v>
      </c>
      <c r="J2750">
        <v>11</v>
      </c>
      <c r="K2750" t="s">
        <v>30</v>
      </c>
      <c r="L2750">
        <v>0</v>
      </c>
      <c r="M2750">
        <v>1</v>
      </c>
    </row>
    <row r="2751" spans="1:13" x14ac:dyDescent="0.25">
      <c r="A2751" t="s">
        <v>2031</v>
      </c>
      <c r="B2751" t="s">
        <v>99</v>
      </c>
      <c r="C2751" t="s">
        <v>14</v>
      </c>
      <c r="D2751" t="s">
        <v>68</v>
      </c>
      <c r="E2751" t="s">
        <v>21</v>
      </c>
      <c r="F2751" t="s">
        <v>21</v>
      </c>
      <c r="G2751">
        <v>20</v>
      </c>
      <c r="H2751" s="1">
        <v>44894</v>
      </c>
      <c r="I2751">
        <v>2022</v>
      </c>
      <c r="J2751">
        <v>11</v>
      </c>
      <c r="K2751" t="s">
        <v>30</v>
      </c>
      <c r="L2751" t="s">
        <v>21</v>
      </c>
      <c r="M2751">
        <v>0</v>
      </c>
    </row>
    <row r="2752" spans="1:13" x14ac:dyDescent="0.25">
      <c r="A2752" t="s">
        <v>2032</v>
      </c>
      <c r="B2752" t="s">
        <v>13</v>
      </c>
      <c r="C2752" t="s">
        <v>83</v>
      </c>
      <c r="D2752" t="s">
        <v>55</v>
      </c>
      <c r="E2752">
        <v>500</v>
      </c>
      <c r="F2752">
        <v>0.5</v>
      </c>
      <c r="G2752">
        <v>604</v>
      </c>
      <c r="H2752" s="1">
        <v>44893</v>
      </c>
      <c r="I2752">
        <v>2022</v>
      </c>
      <c r="J2752">
        <v>11</v>
      </c>
      <c r="K2752" t="s">
        <v>36</v>
      </c>
      <c r="L2752">
        <v>0</v>
      </c>
      <c r="M2752">
        <v>1</v>
      </c>
    </row>
    <row r="2753" spans="1:13" x14ac:dyDescent="0.25">
      <c r="A2753" t="s">
        <v>2033</v>
      </c>
      <c r="B2753" t="s">
        <v>18</v>
      </c>
      <c r="C2753" t="s">
        <v>230</v>
      </c>
      <c r="D2753" t="s">
        <v>22</v>
      </c>
      <c r="E2753">
        <v>300</v>
      </c>
      <c r="F2753">
        <v>0.2</v>
      </c>
      <c r="G2753">
        <v>260</v>
      </c>
      <c r="H2753" s="1">
        <v>44893</v>
      </c>
      <c r="I2753">
        <v>2022</v>
      </c>
      <c r="J2753">
        <v>11</v>
      </c>
      <c r="K2753" t="s">
        <v>36</v>
      </c>
      <c r="L2753">
        <v>0</v>
      </c>
      <c r="M2753">
        <v>1</v>
      </c>
    </row>
    <row r="2754" spans="1:13" x14ac:dyDescent="0.25">
      <c r="A2754" t="s">
        <v>2034</v>
      </c>
      <c r="B2754" t="s">
        <v>45</v>
      </c>
      <c r="C2754" t="s">
        <v>48</v>
      </c>
      <c r="D2754" t="s">
        <v>68</v>
      </c>
      <c r="E2754">
        <v>200</v>
      </c>
      <c r="F2754">
        <v>0.4</v>
      </c>
      <c r="G2754" t="s">
        <v>21</v>
      </c>
      <c r="H2754" s="1">
        <v>44893</v>
      </c>
      <c r="I2754">
        <v>2022</v>
      </c>
      <c r="J2754">
        <v>11</v>
      </c>
      <c r="K2754" t="s">
        <v>22</v>
      </c>
      <c r="L2754">
        <v>0</v>
      </c>
      <c r="M2754">
        <v>1</v>
      </c>
    </row>
    <row r="2755" spans="1:13" x14ac:dyDescent="0.25">
      <c r="A2755" t="s">
        <v>637</v>
      </c>
      <c r="B2755" t="s">
        <v>106</v>
      </c>
      <c r="C2755" t="s">
        <v>174</v>
      </c>
      <c r="D2755" t="s">
        <v>55</v>
      </c>
      <c r="E2755">
        <v>90</v>
      </c>
      <c r="F2755">
        <v>0.06</v>
      </c>
      <c r="G2755">
        <v>483</v>
      </c>
      <c r="H2755" s="1">
        <v>44893</v>
      </c>
      <c r="I2755">
        <v>2022</v>
      </c>
      <c r="J2755">
        <v>11</v>
      </c>
      <c r="K2755" t="s">
        <v>36</v>
      </c>
      <c r="L2755">
        <v>0</v>
      </c>
      <c r="M2755">
        <v>1</v>
      </c>
    </row>
    <row r="2756" spans="1:13" x14ac:dyDescent="0.25">
      <c r="A2756" t="s">
        <v>2035</v>
      </c>
      <c r="B2756" t="s">
        <v>77</v>
      </c>
      <c r="C2756" t="s">
        <v>25</v>
      </c>
      <c r="D2756" t="s">
        <v>22</v>
      </c>
      <c r="E2756">
        <v>67</v>
      </c>
      <c r="F2756">
        <v>0.08</v>
      </c>
      <c r="G2756">
        <v>245</v>
      </c>
      <c r="H2756" s="1">
        <v>44893</v>
      </c>
      <c r="I2756">
        <v>2022</v>
      </c>
      <c r="J2756">
        <v>11</v>
      </c>
      <c r="K2756" t="s">
        <v>36</v>
      </c>
      <c r="L2756">
        <v>0</v>
      </c>
      <c r="M2756">
        <v>1</v>
      </c>
    </row>
    <row r="2757" spans="1:13" x14ac:dyDescent="0.25">
      <c r="A2757" t="s">
        <v>1357</v>
      </c>
      <c r="B2757" t="s">
        <v>52</v>
      </c>
      <c r="C2757" t="s">
        <v>14</v>
      </c>
      <c r="D2757" t="s">
        <v>68</v>
      </c>
      <c r="E2757">
        <v>33</v>
      </c>
      <c r="F2757">
        <v>0.33</v>
      </c>
      <c r="G2757">
        <v>100</v>
      </c>
      <c r="H2757" s="1">
        <v>44893</v>
      </c>
      <c r="I2757">
        <v>2022</v>
      </c>
      <c r="J2757">
        <v>11</v>
      </c>
      <c r="K2757" t="s">
        <v>36</v>
      </c>
      <c r="L2757">
        <v>0</v>
      </c>
      <c r="M2757">
        <v>1</v>
      </c>
    </row>
    <row r="2758" spans="1:13" x14ac:dyDescent="0.25">
      <c r="A2758" t="s">
        <v>2036</v>
      </c>
      <c r="B2758" t="s">
        <v>13</v>
      </c>
      <c r="C2758" t="s">
        <v>83</v>
      </c>
      <c r="D2758" t="s">
        <v>55</v>
      </c>
      <c r="E2758">
        <v>25</v>
      </c>
      <c r="F2758">
        <v>0.1</v>
      </c>
      <c r="G2758">
        <v>87</v>
      </c>
      <c r="H2758" s="1">
        <v>44893</v>
      </c>
      <c r="I2758">
        <v>2022</v>
      </c>
      <c r="J2758">
        <v>11</v>
      </c>
      <c r="K2758" t="s">
        <v>30</v>
      </c>
      <c r="L2758">
        <v>0</v>
      </c>
      <c r="M2758">
        <v>1</v>
      </c>
    </row>
    <row r="2759" spans="1:13" x14ac:dyDescent="0.25">
      <c r="A2759" t="s">
        <v>2037</v>
      </c>
      <c r="B2759" t="s">
        <v>52</v>
      </c>
      <c r="C2759" t="s">
        <v>14</v>
      </c>
      <c r="D2759" t="s">
        <v>111</v>
      </c>
      <c r="E2759" t="s">
        <v>21</v>
      </c>
      <c r="F2759">
        <v>1</v>
      </c>
      <c r="G2759">
        <v>1000</v>
      </c>
      <c r="H2759" s="1">
        <v>44893</v>
      </c>
      <c r="I2759">
        <v>2022</v>
      </c>
      <c r="J2759">
        <v>11</v>
      </c>
      <c r="K2759" t="s">
        <v>26</v>
      </c>
      <c r="L2759">
        <v>1</v>
      </c>
      <c r="M2759">
        <v>1</v>
      </c>
    </row>
    <row r="2760" spans="1:13" x14ac:dyDescent="0.25">
      <c r="A2760" t="s">
        <v>2038</v>
      </c>
      <c r="B2760" t="s">
        <v>106</v>
      </c>
      <c r="C2760" t="s">
        <v>80</v>
      </c>
      <c r="D2760" t="s">
        <v>22</v>
      </c>
      <c r="E2760" t="s">
        <v>21</v>
      </c>
      <c r="F2760" t="s">
        <v>21</v>
      </c>
      <c r="G2760">
        <v>50</v>
      </c>
      <c r="H2760" s="1">
        <v>44893</v>
      </c>
      <c r="I2760">
        <v>2022</v>
      </c>
      <c r="J2760">
        <v>11</v>
      </c>
      <c r="K2760" t="s">
        <v>30</v>
      </c>
      <c r="L2760" t="s">
        <v>21</v>
      </c>
      <c r="M2760">
        <v>0</v>
      </c>
    </row>
    <row r="2761" spans="1:13" x14ac:dyDescent="0.25">
      <c r="A2761" t="s">
        <v>2039</v>
      </c>
      <c r="B2761" t="s">
        <v>91</v>
      </c>
      <c r="C2761" t="s">
        <v>14</v>
      </c>
      <c r="D2761" t="s">
        <v>68</v>
      </c>
      <c r="E2761" t="s">
        <v>21</v>
      </c>
      <c r="F2761" t="s">
        <v>21</v>
      </c>
      <c r="G2761">
        <v>11</v>
      </c>
      <c r="H2761" s="1">
        <v>44893</v>
      </c>
      <c r="I2761">
        <v>2022</v>
      </c>
      <c r="J2761">
        <v>11</v>
      </c>
      <c r="K2761" t="s">
        <v>30</v>
      </c>
      <c r="L2761" t="s">
        <v>21</v>
      </c>
      <c r="M2761">
        <v>0</v>
      </c>
    </row>
    <row r="2762" spans="1:13" x14ac:dyDescent="0.25">
      <c r="A2762" t="s">
        <v>2040</v>
      </c>
      <c r="B2762" t="s">
        <v>52</v>
      </c>
      <c r="C2762" t="s">
        <v>174</v>
      </c>
      <c r="D2762" t="s">
        <v>33</v>
      </c>
      <c r="E2762" t="s">
        <v>21</v>
      </c>
      <c r="F2762" t="s">
        <v>21</v>
      </c>
      <c r="G2762">
        <v>103</v>
      </c>
      <c r="H2762" s="1">
        <v>44893</v>
      </c>
      <c r="I2762">
        <v>2022</v>
      </c>
      <c r="J2762">
        <v>11</v>
      </c>
      <c r="K2762" t="s">
        <v>36</v>
      </c>
      <c r="L2762" t="s">
        <v>21</v>
      </c>
      <c r="M2762">
        <v>0</v>
      </c>
    </row>
    <row r="2763" spans="1:13" x14ac:dyDescent="0.25">
      <c r="A2763" t="s">
        <v>2041</v>
      </c>
      <c r="B2763" t="s">
        <v>217</v>
      </c>
      <c r="C2763" t="s">
        <v>14</v>
      </c>
      <c r="D2763" t="s">
        <v>33</v>
      </c>
      <c r="E2763" t="s">
        <v>21</v>
      </c>
      <c r="F2763">
        <v>0.4</v>
      </c>
      <c r="G2763">
        <v>78</v>
      </c>
      <c r="H2763" s="1">
        <v>44893</v>
      </c>
      <c r="I2763">
        <v>2022</v>
      </c>
      <c r="J2763">
        <v>11</v>
      </c>
      <c r="K2763" t="s">
        <v>30</v>
      </c>
      <c r="L2763">
        <v>0</v>
      </c>
      <c r="M2763">
        <v>1</v>
      </c>
    </row>
    <row r="2764" spans="1:13" x14ac:dyDescent="0.25">
      <c r="A2764" t="s">
        <v>2042</v>
      </c>
      <c r="B2764" t="s">
        <v>35</v>
      </c>
      <c r="C2764" t="s">
        <v>14</v>
      </c>
      <c r="D2764" t="s">
        <v>49</v>
      </c>
      <c r="E2764" t="s">
        <v>21</v>
      </c>
      <c r="F2764">
        <v>1</v>
      </c>
      <c r="G2764">
        <v>4</v>
      </c>
      <c r="H2764" s="1">
        <v>44893</v>
      </c>
      <c r="I2764">
        <v>2022</v>
      </c>
      <c r="J2764">
        <v>11</v>
      </c>
      <c r="K2764" t="s">
        <v>16</v>
      </c>
      <c r="L2764">
        <v>1</v>
      </c>
      <c r="M2764">
        <v>1</v>
      </c>
    </row>
    <row r="2765" spans="1:13" x14ac:dyDescent="0.25">
      <c r="A2765" t="s">
        <v>2043</v>
      </c>
      <c r="B2765" t="s">
        <v>77</v>
      </c>
      <c r="C2765" t="s">
        <v>74</v>
      </c>
      <c r="D2765" t="s">
        <v>22</v>
      </c>
      <c r="E2765" t="s">
        <v>21</v>
      </c>
      <c r="F2765">
        <v>0.24</v>
      </c>
      <c r="G2765">
        <v>22</v>
      </c>
      <c r="H2765" s="1">
        <v>44892</v>
      </c>
      <c r="I2765">
        <v>2022</v>
      </c>
      <c r="J2765">
        <v>11</v>
      </c>
      <c r="K2765" t="s">
        <v>30</v>
      </c>
      <c r="L2765">
        <v>0</v>
      </c>
      <c r="M2765">
        <v>1</v>
      </c>
    </row>
    <row r="2766" spans="1:13" x14ac:dyDescent="0.25">
      <c r="A2766" t="s">
        <v>2044</v>
      </c>
      <c r="B2766" t="s">
        <v>77</v>
      </c>
      <c r="C2766" t="s">
        <v>80</v>
      </c>
      <c r="D2766" t="s">
        <v>22</v>
      </c>
      <c r="E2766" t="s">
        <v>21</v>
      </c>
      <c r="F2766" t="s">
        <v>21</v>
      </c>
      <c r="G2766">
        <v>389</v>
      </c>
      <c r="H2766" s="1">
        <v>44891</v>
      </c>
      <c r="I2766">
        <v>2022</v>
      </c>
      <c r="J2766">
        <v>11</v>
      </c>
      <c r="K2766" t="s">
        <v>36</v>
      </c>
      <c r="L2766" t="s">
        <v>21</v>
      </c>
      <c r="M2766">
        <v>0</v>
      </c>
    </row>
    <row r="2767" spans="1:13" x14ac:dyDescent="0.25">
      <c r="A2767" t="s">
        <v>2045</v>
      </c>
      <c r="B2767" t="s">
        <v>32</v>
      </c>
      <c r="C2767" t="s">
        <v>48</v>
      </c>
      <c r="D2767" t="s">
        <v>429</v>
      </c>
      <c r="E2767">
        <v>150</v>
      </c>
      <c r="F2767">
        <v>0.05</v>
      </c>
      <c r="G2767">
        <v>1700</v>
      </c>
      <c r="H2767" s="1">
        <v>44890</v>
      </c>
      <c r="I2767">
        <v>2022</v>
      </c>
      <c r="J2767">
        <v>11</v>
      </c>
      <c r="K2767" t="s">
        <v>26</v>
      </c>
      <c r="L2767">
        <v>0</v>
      </c>
      <c r="M2767">
        <v>1</v>
      </c>
    </row>
    <row r="2768" spans="1:13" x14ac:dyDescent="0.25">
      <c r="A2768" t="s">
        <v>2046</v>
      </c>
      <c r="B2768" t="s">
        <v>66</v>
      </c>
      <c r="C2768" t="s">
        <v>80</v>
      </c>
      <c r="D2768" t="s">
        <v>22</v>
      </c>
      <c r="E2768">
        <v>70</v>
      </c>
      <c r="F2768">
        <v>0.2</v>
      </c>
      <c r="G2768">
        <v>157</v>
      </c>
      <c r="H2768" s="1">
        <v>44890</v>
      </c>
      <c r="I2768">
        <v>2022</v>
      </c>
      <c r="J2768">
        <v>11</v>
      </c>
      <c r="K2768" t="s">
        <v>36</v>
      </c>
      <c r="L2768">
        <v>0</v>
      </c>
      <c r="M2768">
        <v>1</v>
      </c>
    </row>
    <row r="2769" spans="1:13" x14ac:dyDescent="0.25">
      <c r="A2769" t="s">
        <v>486</v>
      </c>
      <c r="B2769" t="s">
        <v>95</v>
      </c>
      <c r="C2769" t="s">
        <v>143</v>
      </c>
      <c r="D2769" t="s">
        <v>68</v>
      </c>
      <c r="E2769">
        <v>27</v>
      </c>
      <c r="F2769">
        <v>0.09</v>
      </c>
      <c r="G2769">
        <v>43</v>
      </c>
      <c r="H2769" s="1">
        <v>44890</v>
      </c>
      <c r="I2769">
        <v>2022</v>
      </c>
      <c r="J2769">
        <v>11</v>
      </c>
      <c r="K2769" t="s">
        <v>30</v>
      </c>
      <c r="L2769">
        <v>0</v>
      </c>
      <c r="M2769">
        <v>1</v>
      </c>
    </row>
    <row r="2770" spans="1:13" x14ac:dyDescent="0.25">
      <c r="A2770" t="s">
        <v>2047</v>
      </c>
      <c r="B2770" t="s">
        <v>52</v>
      </c>
      <c r="C2770" t="s">
        <v>1850</v>
      </c>
      <c r="D2770" t="s">
        <v>68</v>
      </c>
      <c r="E2770">
        <v>100</v>
      </c>
      <c r="F2770">
        <v>0.38</v>
      </c>
      <c r="G2770">
        <v>17</v>
      </c>
      <c r="H2770" s="1">
        <v>44889</v>
      </c>
      <c r="I2770">
        <v>2022</v>
      </c>
      <c r="J2770">
        <v>11</v>
      </c>
      <c r="K2770" t="s">
        <v>30</v>
      </c>
      <c r="L2770">
        <v>0</v>
      </c>
      <c r="M2770">
        <v>1</v>
      </c>
    </row>
    <row r="2771" spans="1:13" x14ac:dyDescent="0.25">
      <c r="A2771" t="s">
        <v>2048</v>
      </c>
      <c r="B2771" t="s">
        <v>52</v>
      </c>
      <c r="C2771" t="s">
        <v>143</v>
      </c>
      <c r="D2771" t="s">
        <v>22</v>
      </c>
      <c r="E2771">
        <v>20</v>
      </c>
      <c r="F2771">
        <v>0.2</v>
      </c>
      <c r="G2771">
        <v>3</v>
      </c>
      <c r="H2771" s="1">
        <v>44889</v>
      </c>
      <c r="I2771">
        <v>2022</v>
      </c>
      <c r="J2771">
        <v>11</v>
      </c>
      <c r="K2771" t="s">
        <v>16</v>
      </c>
      <c r="L2771">
        <v>0</v>
      </c>
      <c r="M2771">
        <v>1</v>
      </c>
    </row>
    <row r="2772" spans="1:13" x14ac:dyDescent="0.25">
      <c r="A2772" t="s">
        <v>2049</v>
      </c>
      <c r="B2772" t="s">
        <v>95</v>
      </c>
      <c r="C2772" t="s">
        <v>42</v>
      </c>
      <c r="D2772" t="s">
        <v>20</v>
      </c>
      <c r="E2772" t="s">
        <v>21</v>
      </c>
      <c r="F2772" t="s">
        <v>21</v>
      </c>
      <c r="G2772" t="s">
        <v>21</v>
      </c>
      <c r="H2772" s="1">
        <v>44889</v>
      </c>
      <c r="I2772">
        <v>2022</v>
      </c>
      <c r="J2772">
        <v>11</v>
      </c>
      <c r="K2772" t="s">
        <v>22</v>
      </c>
      <c r="L2772" t="s">
        <v>21</v>
      </c>
      <c r="M2772">
        <v>0</v>
      </c>
    </row>
    <row r="2773" spans="1:13" x14ac:dyDescent="0.25">
      <c r="A2773" t="s">
        <v>1531</v>
      </c>
      <c r="B2773" t="s">
        <v>32</v>
      </c>
      <c r="C2773" t="s">
        <v>62</v>
      </c>
      <c r="D2773" t="s">
        <v>33</v>
      </c>
      <c r="E2773" t="s">
        <v>21</v>
      </c>
      <c r="F2773" t="s">
        <v>21</v>
      </c>
      <c r="G2773" t="s">
        <v>21</v>
      </c>
      <c r="H2773" s="1">
        <v>44889</v>
      </c>
      <c r="I2773">
        <v>2022</v>
      </c>
      <c r="J2773">
        <v>11</v>
      </c>
      <c r="K2773" t="s">
        <v>22</v>
      </c>
      <c r="L2773" t="s">
        <v>21</v>
      </c>
      <c r="M2773">
        <v>0</v>
      </c>
    </row>
    <row r="2774" spans="1:13" x14ac:dyDescent="0.25">
      <c r="A2774" t="s">
        <v>2050</v>
      </c>
      <c r="B2774" t="s">
        <v>77</v>
      </c>
      <c r="C2774" t="s">
        <v>14</v>
      </c>
      <c r="D2774" t="s">
        <v>49</v>
      </c>
      <c r="E2774" t="s">
        <v>21</v>
      </c>
      <c r="F2774">
        <v>1</v>
      </c>
      <c r="G2774">
        <v>2</v>
      </c>
      <c r="H2774" s="1">
        <v>44888</v>
      </c>
      <c r="I2774">
        <v>2022</v>
      </c>
      <c r="J2774">
        <v>11</v>
      </c>
      <c r="K2774" t="s">
        <v>16</v>
      </c>
      <c r="L2774">
        <v>1</v>
      </c>
      <c r="M2774">
        <v>1</v>
      </c>
    </row>
    <row r="2775" spans="1:13" x14ac:dyDescent="0.25">
      <c r="A2775" t="s">
        <v>2051</v>
      </c>
      <c r="B2775" t="s">
        <v>24</v>
      </c>
      <c r="C2775" t="s">
        <v>174</v>
      </c>
      <c r="D2775" t="s">
        <v>49</v>
      </c>
      <c r="E2775" t="s">
        <v>21</v>
      </c>
      <c r="F2775">
        <v>1</v>
      </c>
      <c r="G2775">
        <v>6</v>
      </c>
      <c r="H2775" s="1">
        <v>44888</v>
      </c>
      <c r="I2775">
        <v>2022</v>
      </c>
      <c r="J2775">
        <v>11</v>
      </c>
      <c r="K2775" t="s">
        <v>16</v>
      </c>
      <c r="L2775">
        <v>1</v>
      </c>
      <c r="M2775">
        <v>1</v>
      </c>
    </row>
    <row r="2776" spans="1:13" x14ac:dyDescent="0.25">
      <c r="A2776" t="s">
        <v>2052</v>
      </c>
      <c r="B2776" t="s">
        <v>13</v>
      </c>
      <c r="C2776" t="s">
        <v>1843</v>
      </c>
      <c r="D2776" t="s">
        <v>68</v>
      </c>
      <c r="E2776" t="s">
        <v>21</v>
      </c>
      <c r="F2776">
        <v>1</v>
      </c>
      <c r="G2776">
        <v>20</v>
      </c>
      <c r="H2776" s="1">
        <v>44888</v>
      </c>
      <c r="I2776">
        <v>2022</v>
      </c>
      <c r="J2776">
        <v>11</v>
      </c>
      <c r="K2776" t="s">
        <v>30</v>
      </c>
      <c r="L2776">
        <v>1</v>
      </c>
      <c r="M2776">
        <v>1</v>
      </c>
    </row>
    <row r="2777" spans="1:13" x14ac:dyDescent="0.25">
      <c r="A2777" t="s">
        <v>2053</v>
      </c>
      <c r="B2777" t="s">
        <v>66</v>
      </c>
      <c r="C2777" t="s">
        <v>146</v>
      </c>
      <c r="D2777" t="s">
        <v>15</v>
      </c>
      <c r="E2777" t="s">
        <v>21</v>
      </c>
      <c r="F2777">
        <v>0.5</v>
      </c>
      <c r="G2777">
        <v>264</v>
      </c>
      <c r="H2777" s="1">
        <v>44888</v>
      </c>
      <c r="I2777">
        <v>2022</v>
      </c>
      <c r="J2777">
        <v>11</v>
      </c>
      <c r="K2777" t="s">
        <v>36</v>
      </c>
      <c r="L2777">
        <v>0</v>
      </c>
      <c r="M2777">
        <v>1</v>
      </c>
    </row>
    <row r="2778" spans="1:13" x14ac:dyDescent="0.25">
      <c r="A2778" t="s">
        <v>1399</v>
      </c>
      <c r="B2778" t="s">
        <v>70</v>
      </c>
      <c r="C2778" t="s">
        <v>14</v>
      </c>
      <c r="D2778" t="s">
        <v>15</v>
      </c>
      <c r="E2778">
        <v>251</v>
      </c>
      <c r="F2778" t="s">
        <v>21</v>
      </c>
      <c r="G2778">
        <v>900</v>
      </c>
      <c r="H2778" s="1">
        <v>44887</v>
      </c>
      <c r="I2778">
        <v>2022</v>
      </c>
      <c r="J2778">
        <v>11</v>
      </c>
      <c r="K2778" t="s">
        <v>36</v>
      </c>
      <c r="L2778" t="s">
        <v>21</v>
      </c>
      <c r="M2778">
        <v>1</v>
      </c>
    </row>
    <row r="2779" spans="1:13" x14ac:dyDescent="0.25">
      <c r="A2779" t="s">
        <v>2054</v>
      </c>
      <c r="B2779" t="s">
        <v>24</v>
      </c>
      <c r="C2779" t="s">
        <v>25</v>
      </c>
      <c r="D2779" t="s">
        <v>33</v>
      </c>
      <c r="E2779">
        <v>160</v>
      </c>
      <c r="F2779">
        <v>0.08</v>
      </c>
      <c r="G2779">
        <v>92</v>
      </c>
      <c r="H2779" s="1">
        <v>44887</v>
      </c>
      <c r="I2779">
        <v>2022</v>
      </c>
      <c r="J2779">
        <v>11</v>
      </c>
      <c r="K2779" t="s">
        <v>30</v>
      </c>
      <c r="L2779">
        <v>0</v>
      </c>
      <c r="M2779">
        <v>1</v>
      </c>
    </row>
    <row r="2780" spans="1:13" x14ac:dyDescent="0.25">
      <c r="A2780" t="s">
        <v>2055</v>
      </c>
      <c r="B2780" t="s">
        <v>89</v>
      </c>
      <c r="C2780" t="s">
        <v>230</v>
      </c>
      <c r="D2780" t="s">
        <v>20</v>
      </c>
      <c r="E2780">
        <v>118</v>
      </c>
      <c r="F2780" t="s">
        <v>21</v>
      </c>
      <c r="G2780">
        <v>11</v>
      </c>
      <c r="H2780" s="1">
        <v>44887</v>
      </c>
      <c r="I2780">
        <v>2022</v>
      </c>
      <c r="J2780">
        <v>11</v>
      </c>
      <c r="K2780" t="s">
        <v>30</v>
      </c>
      <c r="L2780" t="s">
        <v>21</v>
      </c>
      <c r="M2780">
        <v>1</v>
      </c>
    </row>
    <row r="2781" spans="1:13" x14ac:dyDescent="0.25">
      <c r="A2781" t="s">
        <v>2056</v>
      </c>
      <c r="B2781" t="s">
        <v>24</v>
      </c>
      <c r="C2781" t="s">
        <v>64</v>
      </c>
      <c r="D2781" t="s">
        <v>111</v>
      </c>
      <c r="E2781">
        <v>80</v>
      </c>
      <c r="F2781">
        <v>0.08</v>
      </c>
      <c r="G2781">
        <v>1000</v>
      </c>
      <c r="H2781" s="1">
        <v>44887</v>
      </c>
      <c r="I2781">
        <v>2022</v>
      </c>
      <c r="J2781">
        <v>11</v>
      </c>
      <c r="K2781" t="s">
        <v>26</v>
      </c>
      <c r="L2781">
        <v>0</v>
      </c>
      <c r="M2781">
        <v>1</v>
      </c>
    </row>
    <row r="2782" spans="1:13" x14ac:dyDescent="0.25">
      <c r="A2782" t="s">
        <v>2057</v>
      </c>
      <c r="B2782" t="s">
        <v>95</v>
      </c>
      <c r="C2782" t="s">
        <v>64</v>
      </c>
      <c r="D2782" t="s">
        <v>33</v>
      </c>
      <c r="E2782" t="s">
        <v>21</v>
      </c>
      <c r="F2782" t="s">
        <v>21</v>
      </c>
      <c r="G2782">
        <v>57</v>
      </c>
      <c r="H2782" s="1">
        <v>44887</v>
      </c>
      <c r="I2782">
        <v>2022</v>
      </c>
      <c r="J2782">
        <v>11</v>
      </c>
      <c r="K2782" t="s">
        <v>30</v>
      </c>
      <c r="L2782" t="s">
        <v>21</v>
      </c>
      <c r="M2782">
        <v>0</v>
      </c>
    </row>
    <row r="2783" spans="1:13" x14ac:dyDescent="0.25">
      <c r="A2783" t="s">
        <v>2058</v>
      </c>
      <c r="B2783" t="s">
        <v>35</v>
      </c>
      <c r="C2783" t="s">
        <v>14</v>
      </c>
      <c r="D2783" t="s">
        <v>15</v>
      </c>
      <c r="E2783" t="s">
        <v>21</v>
      </c>
      <c r="F2783" t="s">
        <v>21</v>
      </c>
      <c r="G2783">
        <v>809</v>
      </c>
      <c r="H2783" s="1">
        <v>44887</v>
      </c>
      <c r="I2783">
        <v>2022</v>
      </c>
      <c r="J2783">
        <v>11</v>
      </c>
      <c r="K2783" t="s">
        <v>36</v>
      </c>
      <c r="L2783" t="s">
        <v>21</v>
      </c>
      <c r="M2783">
        <v>0</v>
      </c>
    </row>
    <row r="2784" spans="1:13" x14ac:dyDescent="0.25">
      <c r="A2784" t="s">
        <v>123</v>
      </c>
      <c r="B2784" t="s">
        <v>77</v>
      </c>
      <c r="C2784" t="s">
        <v>29</v>
      </c>
      <c r="D2784" t="s">
        <v>22</v>
      </c>
      <c r="E2784" t="s">
        <v>21</v>
      </c>
      <c r="F2784" t="s">
        <v>21</v>
      </c>
      <c r="G2784">
        <v>770</v>
      </c>
      <c r="H2784" s="1">
        <v>44887</v>
      </c>
      <c r="I2784">
        <v>2022</v>
      </c>
      <c r="J2784">
        <v>11</v>
      </c>
      <c r="K2784" t="s">
        <v>36</v>
      </c>
      <c r="L2784" t="s">
        <v>21</v>
      </c>
      <c r="M2784">
        <v>0</v>
      </c>
    </row>
    <row r="2785" spans="1:13" x14ac:dyDescent="0.25">
      <c r="A2785" t="s">
        <v>2059</v>
      </c>
      <c r="B2785" t="s">
        <v>342</v>
      </c>
      <c r="C2785" t="s">
        <v>74</v>
      </c>
      <c r="D2785" t="s">
        <v>22</v>
      </c>
      <c r="E2785" t="s">
        <v>21</v>
      </c>
      <c r="F2785" t="s">
        <v>21</v>
      </c>
      <c r="G2785">
        <v>23</v>
      </c>
      <c r="H2785" s="1">
        <v>44887</v>
      </c>
      <c r="I2785">
        <v>2022</v>
      </c>
      <c r="J2785">
        <v>11</v>
      </c>
      <c r="K2785" t="s">
        <v>30</v>
      </c>
      <c r="L2785" t="s">
        <v>21</v>
      </c>
      <c r="M2785">
        <v>0</v>
      </c>
    </row>
    <row r="2786" spans="1:13" x14ac:dyDescent="0.25">
      <c r="A2786" t="s">
        <v>142</v>
      </c>
      <c r="B2786" t="s">
        <v>24</v>
      </c>
      <c r="C2786" t="s">
        <v>143</v>
      </c>
      <c r="D2786" t="s">
        <v>15</v>
      </c>
      <c r="E2786">
        <v>900</v>
      </c>
      <c r="F2786">
        <v>0.2</v>
      </c>
      <c r="G2786">
        <v>1200</v>
      </c>
      <c r="H2786" s="1">
        <v>44886</v>
      </c>
      <c r="I2786">
        <v>2022</v>
      </c>
      <c r="J2786">
        <v>11</v>
      </c>
      <c r="K2786" t="s">
        <v>26</v>
      </c>
      <c r="L2786">
        <v>0</v>
      </c>
      <c r="M2786">
        <v>1</v>
      </c>
    </row>
    <row r="2787" spans="1:13" x14ac:dyDescent="0.25">
      <c r="A2787" t="s">
        <v>2060</v>
      </c>
      <c r="B2787" t="s">
        <v>95</v>
      </c>
      <c r="C2787" t="s">
        <v>627</v>
      </c>
      <c r="D2787" t="s">
        <v>46</v>
      </c>
      <c r="E2787">
        <v>93</v>
      </c>
      <c r="F2787">
        <v>0.1</v>
      </c>
      <c r="G2787">
        <v>804</v>
      </c>
      <c r="H2787" s="1">
        <v>44886</v>
      </c>
      <c r="I2787">
        <v>2022</v>
      </c>
      <c r="J2787">
        <v>11</v>
      </c>
      <c r="K2787" t="s">
        <v>36</v>
      </c>
      <c r="L2787">
        <v>0</v>
      </c>
      <c r="M2787">
        <v>1</v>
      </c>
    </row>
    <row r="2788" spans="1:13" x14ac:dyDescent="0.25">
      <c r="A2788" t="s">
        <v>2061</v>
      </c>
      <c r="B2788" t="s">
        <v>28</v>
      </c>
      <c r="C2788" t="s">
        <v>14</v>
      </c>
      <c r="D2788" t="s">
        <v>43</v>
      </c>
      <c r="E2788" t="s">
        <v>21</v>
      </c>
      <c r="F2788">
        <v>0.15</v>
      </c>
      <c r="G2788">
        <v>481</v>
      </c>
      <c r="H2788" s="1">
        <v>44886</v>
      </c>
      <c r="I2788">
        <v>2022</v>
      </c>
      <c r="J2788">
        <v>11</v>
      </c>
      <c r="K2788" t="s">
        <v>36</v>
      </c>
      <c r="L2788">
        <v>0</v>
      </c>
      <c r="M2788">
        <v>1</v>
      </c>
    </row>
    <row r="2789" spans="1:13" x14ac:dyDescent="0.25">
      <c r="A2789" t="s">
        <v>2062</v>
      </c>
      <c r="B2789" t="s">
        <v>77</v>
      </c>
      <c r="C2789" t="s">
        <v>14</v>
      </c>
      <c r="D2789" t="s">
        <v>22</v>
      </c>
      <c r="E2789" t="s">
        <v>21</v>
      </c>
      <c r="F2789">
        <v>1</v>
      </c>
      <c r="G2789" t="s">
        <v>21</v>
      </c>
      <c r="H2789" s="1">
        <v>44886</v>
      </c>
      <c r="I2789">
        <v>2022</v>
      </c>
      <c r="J2789">
        <v>11</v>
      </c>
      <c r="K2789" t="s">
        <v>22</v>
      </c>
      <c r="L2789">
        <v>1</v>
      </c>
      <c r="M2789">
        <v>1</v>
      </c>
    </row>
    <row r="2790" spans="1:13" x14ac:dyDescent="0.25">
      <c r="A2790" t="s">
        <v>458</v>
      </c>
      <c r="B2790" t="s">
        <v>95</v>
      </c>
      <c r="C2790" t="s">
        <v>48</v>
      </c>
      <c r="D2790" t="s">
        <v>429</v>
      </c>
      <c r="E2790">
        <v>100</v>
      </c>
      <c r="F2790">
        <v>0.04</v>
      </c>
      <c r="G2790">
        <v>914</v>
      </c>
      <c r="H2790" s="1">
        <v>44884</v>
      </c>
      <c r="I2790">
        <v>2022</v>
      </c>
      <c r="J2790">
        <v>11</v>
      </c>
      <c r="K2790" t="s">
        <v>36</v>
      </c>
      <c r="L2790">
        <v>0</v>
      </c>
      <c r="M2790">
        <v>1</v>
      </c>
    </row>
    <row r="2791" spans="1:13" x14ac:dyDescent="0.25">
      <c r="A2791" t="s">
        <v>1863</v>
      </c>
      <c r="B2791" t="s">
        <v>66</v>
      </c>
      <c r="C2791" t="s">
        <v>14</v>
      </c>
      <c r="D2791" t="s">
        <v>15</v>
      </c>
      <c r="E2791">
        <v>1500</v>
      </c>
      <c r="F2791">
        <v>0.08</v>
      </c>
      <c r="G2791">
        <v>1600</v>
      </c>
      <c r="H2791" s="1">
        <v>44883</v>
      </c>
      <c r="I2791">
        <v>2022</v>
      </c>
      <c r="J2791">
        <v>11</v>
      </c>
      <c r="K2791" t="s">
        <v>26</v>
      </c>
      <c r="L2791">
        <v>0</v>
      </c>
      <c r="M2791">
        <v>1</v>
      </c>
    </row>
    <row r="2792" spans="1:13" x14ac:dyDescent="0.25">
      <c r="A2792" t="s">
        <v>1463</v>
      </c>
      <c r="B2792" t="s">
        <v>66</v>
      </c>
      <c r="C2792" t="s">
        <v>14</v>
      </c>
      <c r="D2792" t="s">
        <v>55</v>
      </c>
      <c r="E2792">
        <v>300</v>
      </c>
      <c r="F2792">
        <v>0.2</v>
      </c>
      <c r="G2792">
        <v>2100</v>
      </c>
      <c r="H2792" s="1">
        <v>44883</v>
      </c>
      <c r="I2792">
        <v>2022</v>
      </c>
      <c r="J2792">
        <v>11</v>
      </c>
      <c r="K2792" t="s">
        <v>26</v>
      </c>
      <c r="L2792">
        <v>0</v>
      </c>
      <c r="M2792">
        <v>1</v>
      </c>
    </row>
    <row r="2793" spans="1:13" x14ac:dyDescent="0.25">
      <c r="A2793" t="s">
        <v>2063</v>
      </c>
      <c r="B2793" t="s">
        <v>35</v>
      </c>
      <c r="C2793" t="s">
        <v>14</v>
      </c>
      <c r="D2793" t="s">
        <v>111</v>
      </c>
      <c r="E2793">
        <v>105</v>
      </c>
      <c r="F2793">
        <v>0.2</v>
      </c>
      <c r="G2793">
        <v>459</v>
      </c>
      <c r="H2793" s="1">
        <v>44883</v>
      </c>
      <c r="I2793">
        <v>2022</v>
      </c>
      <c r="J2793">
        <v>11</v>
      </c>
      <c r="K2793" t="s">
        <v>36</v>
      </c>
      <c r="L2793">
        <v>0</v>
      </c>
      <c r="M2793">
        <v>1</v>
      </c>
    </row>
    <row r="2794" spans="1:13" x14ac:dyDescent="0.25">
      <c r="A2794" t="s">
        <v>2064</v>
      </c>
      <c r="B2794" t="s">
        <v>66</v>
      </c>
      <c r="C2794" t="s">
        <v>80</v>
      </c>
      <c r="D2794" t="s">
        <v>33</v>
      </c>
      <c r="E2794">
        <v>57</v>
      </c>
      <c r="F2794" t="s">
        <v>21</v>
      </c>
      <c r="G2794">
        <v>34</v>
      </c>
      <c r="H2794" s="1">
        <v>44883</v>
      </c>
      <c r="I2794">
        <v>2022</v>
      </c>
      <c r="J2794">
        <v>11</v>
      </c>
      <c r="K2794" t="s">
        <v>30</v>
      </c>
      <c r="L2794" t="s">
        <v>21</v>
      </c>
      <c r="M2794">
        <v>1</v>
      </c>
    </row>
    <row r="2795" spans="1:13" x14ac:dyDescent="0.25">
      <c r="A2795" t="s">
        <v>2065</v>
      </c>
      <c r="B2795" t="s">
        <v>77</v>
      </c>
      <c r="C2795" t="s">
        <v>14</v>
      </c>
      <c r="D2795" t="s">
        <v>55</v>
      </c>
      <c r="E2795" t="s">
        <v>21</v>
      </c>
      <c r="F2795">
        <v>0.25</v>
      </c>
      <c r="G2795">
        <v>281</v>
      </c>
      <c r="H2795" s="1">
        <v>44883</v>
      </c>
      <c r="I2795">
        <v>2022</v>
      </c>
      <c r="J2795">
        <v>11</v>
      </c>
      <c r="K2795" t="s">
        <v>36</v>
      </c>
      <c r="L2795">
        <v>0</v>
      </c>
      <c r="M2795">
        <v>1</v>
      </c>
    </row>
    <row r="2796" spans="1:13" x14ac:dyDescent="0.25">
      <c r="A2796" t="s">
        <v>2066</v>
      </c>
      <c r="B2796" t="s">
        <v>66</v>
      </c>
      <c r="C2796" t="s">
        <v>230</v>
      </c>
      <c r="D2796" t="s">
        <v>111</v>
      </c>
      <c r="E2796" t="s">
        <v>21</v>
      </c>
      <c r="F2796" t="s">
        <v>21</v>
      </c>
      <c r="G2796">
        <v>1600</v>
      </c>
      <c r="H2796" s="1">
        <v>44883</v>
      </c>
      <c r="I2796">
        <v>2022</v>
      </c>
      <c r="J2796">
        <v>11</v>
      </c>
      <c r="K2796" t="s">
        <v>26</v>
      </c>
      <c r="L2796" t="s">
        <v>21</v>
      </c>
      <c r="M2796">
        <v>0</v>
      </c>
    </row>
    <row r="2797" spans="1:13" x14ac:dyDescent="0.25">
      <c r="A2797" t="s">
        <v>2067</v>
      </c>
      <c r="B2797" t="s">
        <v>52</v>
      </c>
      <c r="C2797" t="s">
        <v>14</v>
      </c>
      <c r="D2797" t="s">
        <v>22</v>
      </c>
      <c r="E2797" t="s">
        <v>21</v>
      </c>
      <c r="F2797" t="s">
        <v>21</v>
      </c>
      <c r="G2797" t="s">
        <v>21</v>
      </c>
      <c r="H2797" s="1">
        <v>44883</v>
      </c>
      <c r="I2797">
        <v>2022</v>
      </c>
      <c r="J2797">
        <v>11</v>
      </c>
      <c r="K2797" t="s">
        <v>22</v>
      </c>
      <c r="L2797" t="s">
        <v>21</v>
      </c>
      <c r="M2797">
        <v>0</v>
      </c>
    </row>
    <row r="2798" spans="1:13" x14ac:dyDescent="0.25">
      <c r="A2798" t="s">
        <v>2068</v>
      </c>
      <c r="B2798" t="s">
        <v>106</v>
      </c>
      <c r="C2798" t="s">
        <v>25</v>
      </c>
      <c r="D2798" t="s">
        <v>22</v>
      </c>
      <c r="E2798" t="s">
        <v>21</v>
      </c>
      <c r="F2798" t="s">
        <v>21</v>
      </c>
      <c r="G2798">
        <v>205</v>
      </c>
      <c r="H2798" s="1">
        <v>44883</v>
      </c>
      <c r="I2798">
        <v>2022</v>
      </c>
      <c r="J2798">
        <v>11</v>
      </c>
      <c r="K2798" t="s">
        <v>36</v>
      </c>
      <c r="L2798" t="s">
        <v>21</v>
      </c>
      <c r="M2798">
        <v>0</v>
      </c>
    </row>
    <row r="2799" spans="1:13" x14ac:dyDescent="0.25">
      <c r="A2799" t="s">
        <v>2069</v>
      </c>
      <c r="B2799" t="s">
        <v>32</v>
      </c>
      <c r="C2799" t="s">
        <v>14</v>
      </c>
      <c r="D2799" t="s">
        <v>20</v>
      </c>
      <c r="E2799" t="s">
        <v>21</v>
      </c>
      <c r="F2799">
        <v>0.25</v>
      </c>
      <c r="G2799">
        <v>18</v>
      </c>
      <c r="H2799" s="1">
        <v>44883</v>
      </c>
      <c r="I2799">
        <v>2022</v>
      </c>
      <c r="J2799">
        <v>11</v>
      </c>
      <c r="K2799" t="s">
        <v>30</v>
      </c>
      <c r="L2799">
        <v>0</v>
      </c>
      <c r="M2799">
        <v>1</v>
      </c>
    </row>
    <row r="2800" spans="1:13" x14ac:dyDescent="0.25">
      <c r="A2800" t="s">
        <v>2070</v>
      </c>
      <c r="B2800" t="s">
        <v>52</v>
      </c>
      <c r="C2800" t="s">
        <v>14</v>
      </c>
      <c r="D2800" t="s">
        <v>68</v>
      </c>
      <c r="E2800" t="s">
        <v>21</v>
      </c>
      <c r="F2800">
        <v>0.15</v>
      </c>
      <c r="G2800">
        <v>33</v>
      </c>
      <c r="H2800" s="1">
        <v>44883</v>
      </c>
      <c r="I2800">
        <v>2022</v>
      </c>
      <c r="J2800">
        <v>11</v>
      </c>
      <c r="K2800" t="s">
        <v>30</v>
      </c>
      <c r="L2800">
        <v>0</v>
      </c>
      <c r="M2800">
        <v>1</v>
      </c>
    </row>
    <row r="2801" spans="1:13" x14ac:dyDescent="0.25">
      <c r="A2801" t="s">
        <v>1181</v>
      </c>
      <c r="B2801" t="s">
        <v>32</v>
      </c>
      <c r="C2801" t="s">
        <v>14</v>
      </c>
      <c r="D2801" t="s">
        <v>15</v>
      </c>
      <c r="E2801">
        <v>200</v>
      </c>
      <c r="F2801">
        <v>7.0000000000000007E-2</v>
      </c>
      <c r="G2801">
        <v>208</v>
      </c>
      <c r="H2801" s="1">
        <v>44882</v>
      </c>
      <c r="I2801">
        <v>2022</v>
      </c>
      <c r="J2801">
        <v>11</v>
      </c>
      <c r="K2801" t="s">
        <v>36</v>
      </c>
      <c r="L2801">
        <v>0</v>
      </c>
      <c r="M2801">
        <v>1</v>
      </c>
    </row>
    <row r="2802" spans="1:13" x14ac:dyDescent="0.25">
      <c r="A2802" t="s">
        <v>1083</v>
      </c>
      <c r="B2802" t="s">
        <v>91</v>
      </c>
      <c r="C2802" t="s">
        <v>14</v>
      </c>
      <c r="D2802" t="s">
        <v>55</v>
      </c>
      <c r="E2802">
        <v>180</v>
      </c>
      <c r="F2802" t="s">
        <v>21</v>
      </c>
      <c r="G2802">
        <v>472</v>
      </c>
      <c r="H2802" s="1">
        <v>44882</v>
      </c>
      <c r="I2802">
        <v>2022</v>
      </c>
      <c r="J2802">
        <v>11</v>
      </c>
      <c r="K2802" t="s">
        <v>36</v>
      </c>
      <c r="L2802" t="s">
        <v>21</v>
      </c>
      <c r="M2802">
        <v>1</v>
      </c>
    </row>
    <row r="2803" spans="1:13" x14ac:dyDescent="0.25">
      <c r="A2803" t="s">
        <v>2071</v>
      </c>
      <c r="B2803" t="s">
        <v>91</v>
      </c>
      <c r="C2803" t="s">
        <v>14</v>
      </c>
      <c r="D2803" t="s">
        <v>15</v>
      </c>
      <c r="E2803">
        <v>113</v>
      </c>
      <c r="F2803" t="s">
        <v>21</v>
      </c>
      <c r="G2803" t="s">
        <v>21</v>
      </c>
      <c r="H2803" s="1">
        <v>44882</v>
      </c>
      <c r="I2803">
        <v>2022</v>
      </c>
      <c r="J2803">
        <v>11</v>
      </c>
      <c r="K2803" t="s">
        <v>22</v>
      </c>
      <c r="L2803" t="s">
        <v>21</v>
      </c>
      <c r="M2803">
        <v>1</v>
      </c>
    </row>
    <row r="2804" spans="1:13" x14ac:dyDescent="0.25">
      <c r="A2804" t="s">
        <v>2072</v>
      </c>
      <c r="B2804" t="s">
        <v>77</v>
      </c>
      <c r="C2804" t="s">
        <v>161</v>
      </c>
      <c r="D2804" t="s">
        <v>22</v>
      </c>
      <c r="E2804">
        <v>72</v>
      </c>
      <c r="F2804">
        <v>0.33</v>
      </c>
      <c r="G2804">
        <v>281</v>
      </c>
      <c r="H2804" s="1">
        <v>44882</v>
      </c>
      <c r="I2804">
        <v>2022</v>
      </c>
      <c r="J2804">
        <v>11</v>
      </c>
      <c r="K2804" t="s">
        <v>36</v>
      </c>
      <c r="L2804">
        <v>0</v>
      </c>
      <c r="M2804">
        <v>1</v>
      </c>
    </row>
    <row r="2805" spans="1:13" x14ac:dyDescent="0.25">
      <c r="A2805" t="s">
        <v>2073</v>
      </c>
      <c r="B2805" t="s">
        <v>99</v>
      </c>
      <c r="C2805" t="s">
        <v>14</v>
      </c>
      <c r="D2805" t="s">
        <v>33</v>
      </c>
      <c r="E2805">
        <v>58</v>
      </c>
      <c r="F2805" t="s">
        <v>21</v>
      </c>
      <c r="G2805">
        <v>54</v>
      </c>
      <c r="H2805" s="1">
        <v>44882</v>
      </c>
      <c r="I2805">
        <v>2022</v>
      </c>
      <c r="J2805">
        <v>11</v>
      </c>
      <c r="K2805" t="s">
        <v>30</v>
      </c>
      <c r="L2805" t="s">
        <v>21</v>
      </c>
      <c r="M2805">
        <v>1</v>
      </c>
    </row>
    <row r="2806" spans="1:13" x14ac:dyDescent="0.25">
      <c r="A2806" t="s">
        <v>2065</v>
      </c>
      <c r="B2806" t="s">
        <v>77</v>
      </c>
      <c r="C2806" t="s">
        <v>14</v>
      </c>
      <c r="D2806" t="s">
        <v>55</v>
      </c>
      <c r="E2806">
        <v>37</v>
      </c>
      <c r="F2806">
        <v>0.25</v>
      </c>
      <c r="G2806">
        <v>281</v>
      </c>
      <c r="H2806" s="1">
        <v>44882</v>
      </c>
      <c r="I2806">
        <v>2022</v>
      </c>
      <c r="J2806">
        <v>11</v>
      </c>
      <c r="K2806" t="s">
        <v>36</v>
      </c>
      <c r="L2806">
        <v>0</v>
      </c>
      <c r="M2806">
        <v>1</v>
      </c>
    </row>
    <row r="2807" spans="1:13" x14ac:dyDescent="0.25">
      <c r="A2807" t="s">
        <v>2074</v>
      </c>
      <c r="B2807" t="s">
        <v>13</v>
      </c>
      <c r="C2807" t="s">
        <v>174</v>
      </c>
      <c r="D2807" t="s">
        <v>33</v>
      </c>
      <c r="E2807">
        <v>34</v>
      </c>
      <c r="F2807">
        <v>0.19</v>
      </c>
      <c r="G2807">
        <v>73</v>
      </c>
      <c r="H2807" s="1">
        <v>44882</v>
      </c>
      <c r="I2807">
        <v>2022</v>
      </c>
      <c r="J2807">
        <v>11</v>
      </c>
      <c r="K2807" t="s">
        <v>30</v>
      </c>
      <c r="L2807">
        <v>0</v>
      </c>
      <c r="M2807">
        <v>1</v>
      </c>
    </row>
    <row r="2808" spans="1:13" x14ac:dyDescent="0.25">
      <c r="A2808" t="s">
        <v>1717</v>
      </c>
      <c r="B2808" t="s">
        <v>77</v>
      </c>
      <c r="C2808" t="s">
        <v>174</v>
      </c>
      <c r="D2808" t="s">
        <v>55</v>
      </c>
      <c r="E2808">
        <v>15</v>
      </c>
      <c r="F2808">
        <v>0.04</v>
      </c>
      <c r="G2808">
        <v>278</v>
      </c>
      <c r="H2808" s="1">
        <v>44882</v>
      </c>
      <c r="I2808">
        <v>2022</v>
      </c>
      <c r="J2808">
        <v>11</v>
      </c>
      <c r="K2808" t="s">
        <v>36</v>
      </c>
      <c r="L2808">
        <v>0</v>
      </c>
      <c r="M2808">
        <v>1</v>
      </c>
    </row>
    <row r="2809" spans="1:13" x14ac:dyDescent="0.25">
      <c r="A2809" t="s">
        <v>2075</v>
      </c>
      <c r="B2809" t="s">
        <v>54</v>
      </c>
      <c r="C2809" t="s">
        <v>19</v>
      </c>
      <c r="D2809" t="s">
        <v>68</v>
      </c>
      <c r="E2809">
        <v>9</v>
      </c>
      <c r="F2809">
        <v>0.09</v>
      </c>
      <c r="G2809">
        <v>35</v>
      </c>
      <c r="H2809" s="1">
        <v>44882</v>
      </c>
      <c r="I2809">
        <v>2022</v>
      </c>
      <c r="J2809">
        <v>11</v>
      </c>
      <c r="K2809" t="s">
        <v>30</v>
      </c>
      <c r="L2809">
        <v>0</v>
      </c>
      <c r="M2809">
        <v>1</v>
      </c>
    </row>
    <row r="2810" spans="1:13" x14ac:dyDescent="0.25">
      <c r="A2810" t="s">
        <v>893</v>
      </c>
      <c r="B2810" t="s">
        <v>13</v>
      </c>
      <c r="C2810" t="s">
        <v>14</v>
      </c>
      <c r="D2810" t="s">
        <v>46</v>
      </c>
      <c r="E2810" t="s">
        <v>21</v>
      </c>
      <c r="F2810">
        <v>0.17</v>
      </c>
      <c r="G2810">
        <v>188</v>
      </c>
      <c r="H2810" s="1">
        <v>44882</v>
      </c>
      <c r="I2810">
        <v>2022</v>
      </c>
      <c r="J2810">
        <v>11</v>
      </c>
      <c r="K2810" t="s">
        <v>36</v>
      </c>
      <c r="L2810">
        <v>0</v>
      </c>
      <c r="M2810">
        <v>1</v>
      </c>
    </row>
    <row r="2811" spans="1:13" x14ac:dyDescent="0.25">
      <c r="A2811" t="s">
        <v>1615</v>
      </c>
      <c r="B2811" t="s">
        <v>32</v>
      </c>
      <c r="C2811" t="s">
        <v>14</v>
      </c>
      <c r="D2811" t="s">
        <v>20</v>
      </c>
      <c r="E2811" t="s">
        <v>21</v>
      </c>
      <c r="F2811">
        <v>0.14000000000000001</v>
      </c>
      <c r="G2811" t="s">
        <v>21</v>
      </c>
      <c r="H2811" s="1">
        <v>44882</v>
      </c>
      <c r="I2811">
        <v>2022</v>
      </c>
      <c r="J2811">
        <v>11</v>
      </c>
      <c r="K2811" t="s">
        <v>22</v>
      </c>
      <c r="L2811">
        <v>0</v>
      </c>
      <c r="M2811">
        <v>1</v>
      </c>
    </row>
    <row r="2812" spans="1:13" x14ac:dyDescent="0.25">
      <c r="A2812" t="s">
        <v>773</v>
      </c>
      <c r="B2812" t="s">
        <v>13</v>
      </c>
      <c r="C2812" t="s">
        <v>174</v>
      </c>
      <c r="D2812" t="s">
        <v>46</v>
      </c>
      <c r="E2812" t="s">
        <v>21</v>
      </c>
      <c r="F2812">
        <v>0.13</v>
      </c>
      <c r="G2812">
        <v>148</v>
      </c>
      <c r="H2812" s="1">
        <v>44882</v>
      </c>
      <c r="I2812">
        <v>2022</v>
      </c>
      <c r="J2812">
        <v>11</v>
      </c>
      <c r="K2812" t="s">
        <v>36</v>
      </c>
      <c r="L2812">
        <v>0</v>
      </c>
      <c r="M2812">
        <v>1</v>
      </c>
    </row>
    <row r="2813" spans="1:13" x14ac:dyDescent="0.25">
      <c r="A2813" t="s">
        <v>240</v>
      </c>
      <c r="B2813" t="s">
        <v>24</v>
      </c>
      <c r="C2813" t="s">
        <v>14</v>
      </c>
      <c r="D2813" t="s">
        <v>15</v>
      </c>
      <c r="E2813">
        <v>10000</v>
      </c>
      <c r="F2813">
        <v>0.03</v>
      </c>
      <c r="G2813">
        <v>108</v>
      </c>
      <c r="H2813" s="1">
        <v>44881</v>
      </c>
      <c r="I2813">
        <v>2022</v>
      </c>
      <c r="J2813">
        <v>11</v>
      </c>
      <c r="K2813" t="s">
        <v>36</v>
      </c>
      <c r="L2813">
        <v>0</v>
      </c>
      <c r="M2813">
        <v>1</v>
      </c>
    </row>
    <row r="2814" spans="1:13" x14ac:dyDescent="0.25">
      <c r="A2814" t="s">
        <v>139</v>
      </c>
      <c r="B2814" t="s">
        <v>140</v>
      </c>
      <c r="C2814" t="s">
        <v>14</v>
      </c>
      <c r="D2814" t="s">
        <v>15</v>
      </c>
      <c r="E2814">
        <v>4100</v>
      </c>
      <c r="F2814">
        <v>0.05</v>
      </c>
      <c r="G2814">
        <v>2</v>
      </c>
      <c r="H2814" s="1">
        <v>44881</v>
      </c>
      <c r="I2814">
        <v>2022</v>
      </c>
      <c r="J2814">
        <v>11</v>
      </c>
      <c r="K2814" t="s">
        <v>16</v>
      </c>
      <c r="L2814">
        <v>0</v>
      </c>
      <c r="M2814">
        <v>1</v>
      </c>
    </row>
    <row r="2815" spans="1:13" x14ac:dyDescent="0.25">
      <c r="A2815" t="s">
        <v>1226</v>
      </c>
      <c r="B2815" t="s">
        <v>95</v>
      </c>
      <c r="C2815" t="s">
        <v>184</v>
      </c>
      <c r="D2815" t="s">
        <v>46</v>
      </c>
      <c r="E2815">
        <v>211</v>
      </c>
      <c r="F2815">
        <v>0.21</v>
      </c>
      <c r="G2815">
        <v>157</v>
      </c>
      <c r="H2815" s="1">
        <v>44881</v>
      </c>
      <c r="I2815">
        <v>2022</v>
      </c>
      <c r="J2815">
        <v>11</v>
      </c>
      <c r="K2815" t="s">
        <v>36</v>
      </c>
      <c r="L2815">
        <v>0</v>
      </c>
      <c r="M2815">
        <v>1</v>
      </c>
    </row>
    <row r="2816" spans="1:13" x14ac:dyDescent="0.25">
      <c r="A2816" t="s">
        <v>2076</v>
      </c>
      <c r="B2816" t="s">
        <v>54</v>
      </c>
      <c r="C2816" t="s">
        <v>19</v>
      </c>
      <c r="D2816" t="s">
        <v>22</v>
      </c>
      <c r="E2816">
        <v>200</v>
      </c>
      <c r="F2816">
        <v>0.4</v>
      </c>
      <c r="G2816">
        <v>889</v>
      </c>
      <c r="H2816" s="1">
        <v>44881</v>
      </c>
      <c r="I2816">
        <v>2022</v>
      </c>
      <c r="J2816">
        <v>11</v>
      </c>
      <c r="K2816" t="s">
        <v>36</v>
      </c>
      <c r="L2816">
        <v>0</v>
      </c>
      <c r="M2816">
        <v>1</v>
      </c>
    </row>
    <row r="2817" spans="1:13" x14ac:dyDescent="0.25">
      <c r="A2817" t="s">
        <v>1473</v>
      </c>
      <c r="B2817" t="s">
        <v>13</v>
      </c>
      <c r="C2817" t="s">
        <v>14</v>
      </c>
      <c r="D2817" t="s">
        <v>15</v>
      </c>
      <c r="E2817">
        <v>120</v>
      </c>
      <c r="F2817">
        <v>0.1</v>
      </c>
      <c r="G2817">
        <v>235</v>
      </c>
      <c r="H2817" s="1">
        <v>44881</v>
      </c>
      <c r="I2817">
        <v>2022</v>
      </c>
      <c r="J2817">
        <v>11</v>
      </c>
      <c r="K2817" t="s">
        <v>36</v>
      </c>
      <c r="L2817">
        <v>0</v>
      </c>
      <c r="M2817">
        <v>1</v>
      </c>
    </row>
    <row r="2818" spans="1:13" x14ac:dyDescent="0.25">
      <c r="A2818" t="s">
        <v>1094</v>
      </c>
      <c r="B2818" t="s">
        <v>24</v>
      </c>
      <c r="C2818" t="s">
        <v>14</v>
      </c>
      <c r="D2818" t="s">
        <v>43</v>
      </c>
      <c r="E2818">
        <v>90</v>
      </c>
      <c r="F2818">
        <v>0.11</v>
      </c>
      <c r="G2818">
        <v>452</v>
      </c>
      <c r="H2818" s="1">
        <v>44881</v>
      </c>
      <c r="I2818">
        <v>2022</v>
      </c>
      <c r="J2818">
        <v>11</v>
      </c>
      <c r="K2818" t="s">
        <v>36</v>
      </c>
      <c r="L2818">
        <v>0</v>
      </c>
      <c r="M2818">
        <v>1</v>
      </c>
    </row>
    <row r="2819" spans="1:13" x14ac:dyDescent="0.25">
      <c r="A2819" t="s">
        <v>2077</v>
      </c>
      <c r="B2819" t="s">
        <v>13</v>
      </c>
      <c r="C2819" t="s">
        <v>14</v>
      </c>
      <c r="D2819" t="s">
        <v>33</v>
      </c>
      <c r="E2819">
        <v>76</v>
      </c>
      <c r="F2819">
        <v>0.23</v>
      </c>
      <c r="G2819">
        <v>56</v>
      </c>
      <c r="H2819" s="1">
        <v>44881</v>
      </c>
      <c r="I2819">
        <v>2022</v>
      </c>
      <c r="J2819">
        <v>11</v>
      </c>
      <c r="K2819" t="s">
        <v>30</v>
      </c>
      <c r="L2819">
        <v>0</v>
      </c>
      <c r="M2819">
        <v>1</v>
      </c>
    </row>
    <row r="2820" spans="1:13" x14ac:dyDescent="0.25">
      <c r="A2820" t="s">
        <v>384</v>
      </c>
      <c r="B2820" t="s">
        <v>54</v>
      </c>
      <c r="C2820" t="s">
        <v>14</v>
      </c>
      <c r="D2820" t="s">
        <v>22</v>
      </c>
      <c r="E2820">
        <v>70</v>
      </c>
      <c r="F2820">
        <v>0.09</v>
      </c>
      <c r="G2820">
        <v>436</v>
      </c>
      <c r="H2820" s="1">
        <v>44881</v>
      </c>
      <c r="I2820">
        <v>2022</v>
      </c>
      <c r="J2820">
        <v>11</v>
      </c>
      <c r="K2820" t="s">
        <v>36</v>
      </c>
      <c r="L2820">
        <v>0</v>
      </c>
      <c r="M2820">
        <v>1</v>
      </c>
    </row>
    <row r="2821" spans="1:13" x14ac:dyDescent="0.25">
      <c r="A2821" t="s">
        <v>1550</v>
      </c>
      <c r="B2821" t="s">
        <v>35</v>
      </c>
      <c r="C2821" t="s">
        <v>14</v>
      </c>
      <c r="D2821" t="s">
        <v>15</v>
      </c>
      <c r="E2821">
        <v>59</v>
      </c>
      <c r="F2821">
        <v>0.22</v>
      </c>
      <c r="G2821">
        <v>409</v>
      </c>
      <c r="H2821" s="1">
        <v>44881</v>
      </c>
      <c r="I2821">
        <v>2022</v>
      </c>
      <c r="J2821">
        <v>11</v>
      </c>
      <c r="K2821" t="s">
        <v>36</v>
      </c>
      <c r="L2821">
        <v>0</v>
      </c>
      <c r="M2821">
        <v>1</v>
      </c>
    </row>
    <row r="2822" spans="1:13" x14ac:dyDescent="0.25">
      <c r="A2822" t="s">
        <v>2078</v>
      </c>
      <c r="B2822" t="s">
        <v>106</v>
      </c>
      <c r="C2822" t="s">
        <v>174</v>
      </c>
      <c r="D2822" t="s">
        <v>15</v>
      </c>
      <c r="E2822" t="s">
        <v>21</v>
      </c>
      <c r="F2822">
        <v>0.05</v>
      </c>
      <c r="G2822">
        <v>168</v>
      </c>
      <c r="H2822" s="1">
        <v>44881</v>
      </c>
      <c r="I2822">
        <v>2022</v>
      </c>
      <c r="J2822">
        <v>11</v>
      </c>
      <c r="K2822" t="s">
        <v>36</v>
      </c>
      <c r="L2822">
        <v>0</v>
      </c>
      <c r="M2822">
        <v>1</v>
      </c>
    </row>
    <row r="2823" spans="1:13" x14ac:dyDescent="0.25">
      <c r="A2823" t="s">
        <v>2079</v>
      </c>
      <c r="B2823" t="s">
        <v>66</v>
      </c>
      <c r="C2823" t="s">
        <v>83</v>
      </c>
      <c r="D2823" t="s">
        <v>22</v>
      </c>
      <c r="E2823" t="s">
        <v>21</v>
      </c>
      <c r="F2823">
        <v>0.16</v>
      </c>
      <c r="G2823">
        <v>63</v>
      </c>
      <c r="H2823" s="1">
        <v>44881</v>
      </c>
      <c r="I2823">
        <v>2022</v>
      </c>
      <c r="J2823">
        <v>11</v>
      </c>
      <c r="K2823" t="s">
        <v>30</v>
      </c>
      <c r="L2823">
        <v>0</v>
      </c>
      <c r="M2823">
        <v>1</v>
      </c>
    </row>
    <row r="2824" spans="1:13" x14ac:dyDescent="0.25">
      <c r="A2824" t="s">
        <v>2080</v>
      </c>
      <c r="B2824" t="s">
        <v>91</v>
      </c>
      <c r="C2824" t="s">
        <v>14</v>
      </c>
      <c r="D2824" t="s">
        <v>22</v>
      </c>
      <c r="E2824" t="s">
        <v>21</v>
      </c>
      <c r="F2824">
        <v>0.25</v>
      </c>
      <c r="G2824">
        <v>501</v>
      </c>
      <c r="H2824" s="1">
        <v>44881</v>
      </c>
      <c r="I2824">
        <v>2022</v>
      </c>
      <c r="J2824">
        <v>11</v>
      </c>
      <c r="K2824" t="s">
        <v>36</v>
      </c>
      <c r="L2824">
        <v>0</v>
      </c>
      <c r="M2824">
        <v>1</v>
      </c>
    </row>
    <row r="2825" spans="1:13" x14ac:dyDescent="0.25">
      <c r="A2825" t="s">
        <v>780</v>
      </c>
      <c r="B2825" t="s">
        <v>13</v>
      </c>
      <c r="C2825" t="s">
        <v>80</v>
      </c>
      <c r="D2825" t="s">
        <v>55</v>
      </c>
      <c r="E2825" t="s">
        <v>21</v>
      </c>
      <c r="F2825">
        <v>0.17</v>
      </c>
      <c r="G2825">
        <v>1000</v>
      </c>
      <c r="H2825" s="1">
        <v>44881</v>
      </c>
      <c r="I2825">
        <v>2022</v>
      </c>
      <c r="J2825">
        <v>11</v>
      </c>
      <c r="K2825" t="s">
        <v>26</v>
      </c>
      <c r="L2825">
        <v>0</v>
      </c>
      <c r="M2825">
        <v>1</v>
      </c>
    </row>
    <row r="2826" spans="1:13" x14ac:dyDescent="0.25">
      <c r="A2826" t="s">
        <v>2081</v>
      </c>
      <c r="B2826" t="s">
        <v>13</v>
      </c>
      <c r="C2826" t="s">
        <v>80</v>
      </c>
      <c r="D2826" t="s">
        <v>68</v>
      </c>
      <c r="E2826" t="s">
        <v>21</v>
      </c>
      <c r="F2826" t="s">
        <v>21</v>
      </c>
      <c r="G2826">
        <v>15</v>
      </c>
      <c r="H2826" s="1">
        <v>44881</v>
      </c>
      <c r="I2826">
        <v>2022</v>
      </c>
      <c r="J2826">
        <v>11</v>
      </c>
      <c r="K2826" t="s">
        <v>30</v>
      </c>
      <c r="L2826" t="s">
        <v>21</v>
      </c>
      <c r="M2826">
        <v>0</v>
      </c>
    </row>
    <row r="2827" spans="1:13" x14ac:dyDescent="0.25">
      <c r="A2827" t="s">
        <v>2082</v>
      </c>
      <c r="B2827" t="s">
        <v>114</v>
      </c>
      <c r="C2827" t="s">
        <v>14</v>
      </c>
      <c r="D2827" t="s">
        <v>68</v>
      </c>
      <c r="E2827" t="s">
        <v>21</v>
      </c>
      <c r="F2827">
        <v>1</v>
      </c>
      <c r="G2827">
        <v>21</v>
      </c>
      <c r="H2827" s="1">
        <v>44881</v>
      </c>
      <c r="I2827">
        <v>2022</v>
      </c>
      <c r="J2827">
        <v>11</v>
      </c>
      <c r="K2827" t="s">
        <v>30</v>
      </c>
      <c r="L2827">
        <v>1</v>
      </c>
      <c r="M2827">
        <v>1</v>
      </c>
    </row>
    <row r="2828" spans="1:13" x14ac:dyDescent="0.25">
      <c r="A2828" t="s">
        <v>2083</v>
      </c>
      <c r="B2828" t="s">
        <v>38</v>
      </c>
      <c r="C2828" t="s">
        <v>14</v>
      </c>
      <c r="D2828" t="s">
        <v>15</v>
      </c>
      <c r="E2828">
        <v>241</v>
      </c>
      <c r="F2828">
        <v>0.06</v>
      </c>
      <c r="G2828">
        <v>2000</v>
      </c>
      <c r="H2828" s="1">
        <v>44880</v>
      </c>
      <c r="I2828">
        <v>2022</v>
      </c>
      <c r="J2828">
        <v>11</v>
      </c>
      <c r="K2828" t="s">
        <v>26</v>
      </c>
      <c r="L2828">
        <v>0</v>
      </c>
      <c r="M2828">
        <v>1</v>
      </c>
    </row>
    <row r="2829" spans="1:13" x14ac:dyDescent="0.25">
      <c r="A2829" t="s">
        <v>510</v>
      </c>
      <c r="B2829" t="s">
        <v>13</v>
      </c>
      <c r="C2829" t="s">
        <v>14</v>
      </c>
      <c r="D2829" t="s">
        <v>15</v>
      </c>
      <c r="E2829">
        <v>180</v>
      </c>
      <c r="F2829">
        <v>0.09</v>
      </c>
      <c r="G2829">
        <v>453</v>
      </c>
      <c r="H2829" s="1">
        <v>44880</v>
      </c>
      <c r="I2829">
        <v>2022</v>
      </c>
      <c r="J2829">
        <v>11</v>
      </c>
      <c r="K2829" t="s">
        <v>36</v>
      </c>
      <c r="L2829">
        <v>0</v>
      </c>
      <c r="M2829">
        <v>1</v>
      </c>
    </row>
    <row r="2830" spans="1:13" x14ac:dyDescent="0.25">
      <c r="A2830" t="s">
        <v>2084</v>
      </c>
      <c r="B2830" t="s">
        <v>28</v>
      </c>
      <c r="C2830" t="s">
        <v>14</v>
      </c>
      <c r="D2830" t="s">
        <v>111</v>
      </c>
      <c r="E2830">
        <v>170</v>
      </c>
      <c r="F2830">
        <v>0.17</v>
      </c>
      <c r="G2830">
        <v>507</v>
      </c>
      <c r="H2830" s="1">
        <v>44880</v>
      </c>
      <c r="I2830">
        <v>2022</v>
      </c>
      <c r="J2830">
        <v>11</v>
      </c>
      <c r="K2830" t="s">
        <v>36</v>
      </c>
      <c r="L2830">
        <v>0</v>
      </c>
      <c r="M2830">
        <v>1</v>
      </c>
    </row>
    <row r="2831" spans="1:13" x14ac:dyDescent="0.25">
      <c r="A2831" t="s">
        <v>2085</v>
      </c>
      <c r="B2831" t="s">
        <v>95</v>
      </c>
      <c r="C2831" t="s">
        <v>42</v>
      </c>
      <c r="D2831" t="s">
        <v>15</v>
      </c>
      <c r="E2831">
        <v>120</v>
      </c>
      <c r="F2831">
        <v>1</v>
      </c>
      <c r="G2831">
        <v>1700</v>
      </c>
      <c r="H2831" s="1">
        <v>44880</v>
      </c>
      <c r="I2831">
        <v>2022</v>
      </c>
      <c r="J2831">
        <v>11</v>
      </c>
      <c r="K2831" t="s">
        <v>26</v>
      </c>
      <c r="L2831">
        <v>1</v>
      </c>
      <c r="M2831">
        <v>1</v>
      </c>
    </row>
    <row r="2832" spans="1:13" x14ac:dyDescent="0.25">
      <c r="A2832" t="s">
        <v>192</v>
      </c>
      <c r="B2832" t="s">
        <v>114</v>
      </c>
      <c r="C2832" t="s">
        <v>14</v>
      </c>
      <c r="D2832" t="s">
        <v>55</v>
      </c>
      <c r="E2832">
        <v>100</v>
      </c>
      <c r="F2832">
        <v>0.2</v>
      </c>
      <c r="G2832" t="s">
        <v>21</v>
      </c>
      <c r="H2832" s="1">
        <v>44880</v>
      </c>
      <c r="I2832">
        <v>2022</v>
      </c>
      <c r="J2832">
        <v>11</v>
      </c>
      <c r="K2832" t="s">
        <v>22</v>
      </c>
      <c r="L2832">
        <v>0</v>
      </c>
      <c r="M2832">
        <v>1</v>
      </c>
    </row>
    <row r="2833" spans="1:13" x14ac:dyDescent="0.25">
      <c r="A2833" t="s">
        <v>2086</v>
      </c>
      <c r="B2833" t="s">
        <v>91</v>
      </c>
      <c r="C2833" t="s">
        <v>174</v>
      </c>
      <c r="D2833" t="s">
        <v>33</v>
      </c>
      <c r="E2833">
        <v>71</v>
      </c>
      <c r="F2833" t="s">
        <v>21</v>
      </c>
      <c r="G2833">
        <v>154</v>
      </c>
      <c r="H2833" s="1">
        <v>44880</v>
      </c>
      <c r="I2833">
        <v>2022</v>
      </c>
      <c r="J2833">
        <v>11</v>
      </c>
      <c r="K2833" t="s">
        <v>36</v>
      </c>
      <c r="L2833" t="s">
        <v>21</v>
      </c>
      <c r="M2833">
        <v>1</v>
      </c>
    </row>
    <row r="2834" spans="1:13" x14ac:dyDescent="0.25">
      <c r="A2834" t="s">
        <v>2087</v>
      </c>
      <c r="B2834" t="s">
        <v>32</v>
      </c>
      <c r="C2834" t="s">
        <v>14</v>
      </c>
      <c r="D2834" t="s">
        <v>20</v>
      </c>
      <c r="E2834">
        <v>60</v>
      </c>
      <c r="F2834">
        <v>1</v>
      </c>
      <c r="G2834" t="s">
        <v>21</v>
      </c>
      <c r="H2834" s="1">
        <v>44880</v>
      </c>
      <c r="I2834">
        <v>2022</v>
      </c>
      <c r="J2834">
        <v>11</v>
      </c>
      <c r="K2834" t="s">
        <v>22</v>
      </c>
      <c r="L2834">
        <v>1</v>
      </c>
      <c r="M2834">
        <v>1</v>
      </c>
    </row>
    <row r="2835" spans="1:13" x14ac:dyDescent="0.25">
      <c r="A2835" t="s">
        <v>2088</v>
      </c>
      <c r="B2835" t="s">
        <v>13</v>
      </c>
      <c r="C2835" t="s">
        <v>83</v>
      </c>
      <c r="D2835" t="s">
        <v>22</v>
      </c>
      <c r="E2835">
        <v>50</v>
      </c>
      <c r="F2835">
        <v>0.16</v>
      </c>
      <c r="G2835">
        <v>28</v>
      </c>
      <c r="H2835" s="1">
        <v>44880</v>
      </c>
      <c r="I2835">
        <v>2022</v>
      </c>
      <c r="J2835">
        <v>11</v>
      </c>
      <c r="K2835" t="s">
        <v>30</v>
      </c>
      <c r="L2835">
        <v>0</v>
      </c>
      <c r="M2835">
        <v>1</v>
      </c>
    </row>
    <row r="2836" spans="1:13" x14ac:dyDescent="0.25">
      <c r="A2836" t="s">
        <v>2089</v>
      </c>
      <c r="B2836" t="s">
        <v>77</v>
      </c>
      <c r="C2836" t="s">
        <v>14</v>
      </c>
      <c r="D2836" t="s">
        <v>55</v>
      </c>
      <c r="E2836">
        <v>50</v>
      </c>
      <c r="F2836" t="s">
        <v>21</v>
      </c>
      <c r="G2836">
        <v>256</v>
      </c>
      <c r="H2836" s="1">
        <v>44880</v>
      </c>
      <c r="I2836">
        <v>2022</v>
      </c>
      <c r="J2836">
        <v>11</v>
      </c>
      <c r="K2836" t="s">
        <v>36</v>
      </c>
      <c r="L2836" t="s">
        <v>21</v>
      </c>
      <c r="M2836">
        <v>1</v>
      </c>
    </row>
    <row r="2837" spans="1:13" x14ac:dyDescent="0.25">
      <c r="A2837" t="s">
        <v>2090</v>
      </c>
      <c r="B2837" t="s">
        <v>18</v>
      </c>
      <c r="C2837" t="s">
        <v>1294</v>
      </c>
      <c r="D2837" t="s">
        <v>20</v>
      </c>
      <c r="E2837">
        <v>45</v>
      </c>
      <c r="F2837">
        <v>0.08</v>
      </c>
      <c r="G2837" t="s">
        <v>21</v>
      </c>
      <c r="H2837" s="1">
        <v>44880</v>
      </c>
      <c r="I2837">
        <v>2022</v>
      </c>
      <c r="J2837">
        <v>11</v>
      </c>
      <c r="K2837" t="s">
        <v>22</v>
      </c>
      <c r="L2837">
        <v>0</v>
      </c>
      <c r="M2837">
        <v>1</v>
      </c>
    </row>
    <row r="2838" spans="1:13" x14ac:dyDescent="0.25">
      <c r="A2838" t="s">
        <v>2091</v>
      </c>
      <c r="B2838" t="s">
        <v>99</v>
      </c>
      <c r="C2838" t="s">
        <v>14</v>
      </c>
      <c r="D2838" t="s">
        <v>46</v>
      </c>
      <c r="E2838">
        <v>31</v>
      </c>
      <c r="F2838">
        <v>0.1</v>
      </c>
      <c r="G2838">
        <v>164</v>
      </c>
      <c r="H2838" s="1">
        <v>44880</v>
      </c>
      <c r="I2838">
        <v>2022</v>
      </c>
      <c r="J2838">
        <v>11</v>
      </c>
      <c r="K2838" t="s">
        <v>36</v>
      </c>
      <c r="L2838">
        <v>0</v>
      </c>
      <c r="M2838">
        <v>1</v>
      </c>
    </row>
    <row r="2839" spans="1:13" x14ac:dyDescent="0.25">
      <c r="A2839" t="s">
        <v>2092</v>
      </c>
      <c r="B2839" t="s">
        <v>77</v>
      </c>
      <c r="C2839" t="s">
        <v>174</v>
      </c>
      <c r="D2839" t="s">
        <v>33</v>
      </c>
      <c r="E2839" t="s">
        <v>21</v>
      </c>
      <c r="F2839">
        <v>0.25</v>
      </c>
      <c r="G2839">
        <v>11</v>
      </c>
      <c r="H2839" s="1">
        <v>44880</v>
      </c>
      <c r="I2839">
        <v>2022</v>
      </c>
      <c r="J2839">
        <v>11</v>
      </c>
      <c r="K2839" t="s">
        <v>30</v>
      </c>
      <c r="L2839">
        <v>0</v>
      </c>
      <c r="M2839">
        <v>1</v>
      </c>
    </row>
    <row r="2840" spans="1:13" x14ac:dyDescent="0.25">
      <c r="A2840" t="s">
        <v>2093</v>
      </c>
      <c r="B2840" t="s">
        <v>77</v>
      </c>
      <c r="C2840" t="s">
        <v>14</v>
      </c>
      <c r="D2840" t="s">
        <v>22</v>
      </c>
      <c r="E2840" t="s">
        <v>21</v>
      </c>
      <c r="F2840">
        <v>1</v>
      </c>
      <c r="G2840" t="s">
        <v>21</v>
      </c>
      <c r="H2840" s="1">
        <v>44880</v>
      </c>
      <c r="I2840">
        <v>2022</v>
      </c>
      <c r="J2840">
        <v>11</v>
      </c>
      <c r="K2840" t="s">
        <v>22</v>
      </c>
      <c r="L2840">
        <v>1</v>
      </c>
      <c r="M2840">
        <v>1</v>
      </c>
    </row>
    <row r="2841" spans="1:13" x14ac:dyDescent="0.25">
      <c r="A2841" t="s">
        <v>2094</v>
      </c>
      <c r="B2841" t="s">
        <v>95</v>
      </c>
      <c r="C2841" t="s">
        <v>161</v>
      </c>
      <c r="D2841" t="s">
        <v>15</v>
      </c>
      <c r="E2841" t="s">
        <v>21</v>
      </c>
      <c r="F2841" t="s">
        <v>21</v>
      </c>
      <c r="G2841">
        <v>441</v>
      </c>
      <c r="H2841" s="1">
        <v>44880</v>
      </c>
      <c r="I2841">
        <v>2022</v>
      </c>
      <c r="J2841">
        <v>11</v>
      </c>
      <c r="K2841" t="s">
        <v>36</v>
      </c>
      <c r="L2841" t="s">
        <v>21</v>
      </c>
      <c r="M2841">
        <v>0</v>
      </c>
    </row>
    <row r="2842" spans="1:13" x14ac:dyDescent="0.25">
      <c r="A2842" t="s">
        <v>350</v>
      </c>
      <c r="B2842" t="s">
        <v>24</v>
      </c>
      <c r="C2842" t="s">
        <v>14</v>
      </c>
      <c r="D2842" t="s">
        <v>22</v>
      </c>
      <c r="E2842" t="s">
        <v>21</v>
      </c>
      <c r="F2842">
        <v>0.19</v>
      </c>
      <c r="G2842">
        <v>381</v>
      </c>
      <c r="H2842" s="1">
        <v>44880</v>
      </c>
      <c r="I2842">
        <v>2022</v>
      </c>
      <c r="J2842">
        <v>11</v>
      </c>
      <c r="K2842" t="s">
        <v>36</v>
      </c>
      <c r="L2842">
        <v>0</v>
      </c>
      <c r="M2842">
        <v>1</v>
      </c>
    </row>
    <row r="2843" spans="1:13" x14ac:dyDescent="0.25">
      <c r="A2843" t="s">
        <v>2095</v>
      </c>
      <c r="B2843" t="s">
        <v>32</v>
      </c>
      <c r="C2843" t="s">
        <v>14</v>
      </c>
      <c r="D2843" t="s">
        <v>33</v>
      </c>
      <c r="E2843" t="s">
        <v>21</v>
      </c>
      <c r="F2843">
        <v>0.12</v>
      </c>
      <c r="G2843">
        <v>174</v>
      </c>
      <c r="H2843" s="1">
        <v>44880</v>
      </c>
      <c r="I2843">
        <v>2022</v>
      </c>
      <c r="J2843">
        <v>11</v>
      </c>
      <c r="K2843" t="s">
        <v>36</v>
      </c>
      <c r="L2843">
        <v>0</v>
      </c>
      <c r="M2843">
        <v>1</v>
      </c>
    </row>
    <row r="2844" spans="1:13" x14ac:dyDescent="0.25">
      <c r="A2844" t="s">
        <v>2096</v>
      </c>
      <c r="B2844" t="s">
        <v>13</v>
      </c>
      <c r="C2844" t="s">
        <v>14</v>
      </c>
      <c r="D2844" t="s">
        <v>15</v>
      </c>
      <c r="E2844" t="s">
        <v>21</v>
      </c>
      <c r="F2844">
        <v>0.11</v>
      </c>
      <c r="G2844">
        <v>382</v>
      </c>
      <c r="H2844" s="1">
        <v>44880</v>
      </c>
      <c r="I2844">
        <v>2022</v>
      </c>
      <c r="J2844">
        <v>11</v>
      </c>
      <c r="K2844" t="s">
        <v>36</v>
      </c>
      <c r="L2844">
        <v>0</v>
      </c>
      <c r="M2844">
        <v>1</v>
      </c>
    </row>
    <row r="2845" spans="1:13" x14ac:dyDescent="0.25">
      <c r="A2845" t="s">
        <v>1676</v>
      </c>
      <c r="B2845" t="s">
        <v>18</v>
      </c>
      <c r="C2845" t="s">
        <v>657</v>
      </c>
      <c r="D2845" t="s">
        <v>15</v>
      </c>
      <c r="E2845" t="s">
        <v>21</v>
      </c>
      <c r="F2845" t="s">
        <v>21</v>
      </c>
      <c r="G2845">
        <v>12600</v>
      </c>
      <c r="H2845" s="1">
        <v>44880</v>
      </c>
      <c r="I2845">
        <v>2022</v>
      </c>
      <c r="J2845">
        <v>11</v>
      </c>
      <c r="K2845" t="s">
        <v>26</v>
      </c>
      <c r="L2845" t="s">
        <v>21</v>
      </c>
      <c r="M2845">
        <v>0</v>
      </c>
    </row>
    <row r="2846" spans="1:13" x14ac:dyDescent="0.25">
      <c r="A2846" t="s">
        <v>2097</v>
      </c>
      <c r="B2846" t="s">
        <v>54</v>
      </c>
      <c r="C2846" t="s">
        <v>757</v>
      </c>
      <c r="D2846" t="s">
        <v>46</v>
      </c>
      <c r="E2846" t="s">
        <v>21</v>
      </c>
      <c r="F2846" t="s">
        <v>21</v>
      </c>
      <c r="G2846">
        <v>187</v>
      </c>
      <c r="H2846" s="1">
        <v>44880</v>
      </c>
      <c r="I2846">
        <v>2022</v>
      </c>
      <c r="J2846">
        <v>11</v>
      </c>
      <c r="K2846" t="s">
        <v>36</v>
      </c>
      <c r="L2846" t="s">
        <v>21</v>
      </c>
      <c r="M2846">
        <v>0</v>
      </c>
    </row>
    <row r="2847" spans="1:13" x14ac:dyDescent="0.25">
      <c r="A2847" t="s">
        <v>2098</v>
      </c>
      <c r="B2847" t="s">
        <v>13</v>
      </c>
      <c r="C2847" t="s">
        <v>42</v>
      </c>
      <c r="D2847" t="s">
        <v>15</v>
      </c>
      <c r="E2847" t="s">
        <v>21</v>
      </c>
      <c r="F2847">
        <v>0.3</v>
      </c>
      <c r="G2847">
        <v>68</v>
      </c>
      <c r="H2847" s="1">
        <v>44880</v>
      </c>
      <c r="I2847">
        <v>2022</v>
      </c>
      <c r="J2847">
        <v>11</v>
      </c>
      <c r="K2847" t="s">
        <v>30</v>
      </c>
      <c r="L2847">
        <v>0</v>
      </c>
      <c r="M2847">
        <v>1</v>
      </c>
    </row>
    <row r="2848" spans="1:13" x14ac:dyDescent="0.25">
      <c r="A2848" t="s">
        <v>917</v>
      </c>
      <c r="B2848" t="s">
        <v>35</v>
      </c>
      <c r="C2848" t="s">
        <v>14</v>
      </c>
      <c r="D2848" t="s">
        <v>15</v>
      </c>
      <c r="E2848">
        <v>500</v>
      </c>
      <c r="F2848">
        <v>0.05</v>
      </c>
      <c r="G2848">
        <v>28</v>
      </c>
      <c r="H2848" s="1">
        <v>44879</v>
      </c>
      <c r="I2848">
        <v>2022</v>
      </c>
      <c r="J2848">
        <v>11</v>
      </c>
      <c r="K2848" t="s">
        <v>30</v>
      </c>
      <c r="L2848">
        <v>0</v>
      </c>
      <c r="M2848">
        <v>1</v>
      </c>
    </row>
    <row r="2849" spans="1:13" x14ac:dyDescent="0.25">
      <c r="A2849" t="s">
        <v>2099</v>
      </c>
      <c r="B2849" t="s">
        <v>35</v>
      </c>
      <c r="C2849" t="s">
        <v>14</v>
      </c>
      <c r="D2849" t="s">
        <v>15</v>
      </c>
      <c r="E2849">
        <v>500</v>
      </c>
      <c r="F2849" t="s">
        <v>21</v>
      </c>
      <c r="G2849">
        <v>791</v>
      </c>
      <c r="H2849" s="1">
        <v>44879</v>
      </c>
      <c r="I2849">
        <v>2022</v>
      </c>
      <c r="J2849">
        <v>11</v>
      </c>
      <c r="K2849" t="s">
        <v>36</v>
      </c>
      <c r="L2849" t="s">
        <v>21</v>
      </c>
      <c r="M2849">
        <v>1</v>
      </c>
    </row>
    <row r="2850" spans="1:13" x14ac:dyDescent="0.25">
      <c r="A2850" t="s">
        <v>2100</v>
      </c>
      <c r="B2850" t="s">
        <v>207</v>
      </c>
      <c r="C2850" t="s">
        <v>14</v>
      </c>
      <c r="D2850" t="s">
        <v>81</v>
      </c>
      <c r="E2850">
        <v>300</v>
      </c>
      <c r="F2850">
        <v>0.2</v>
      </c>
      <c r="G2850">
        <v>200</v>
      </c>
      <c r="H2850" s="1">
        <v>44879</v>
      </c>
      <c r="I2850">
        <v>2022</v>
      </c>
      <c r="J2850">
        <v>11</v>
      </c>
      <c r="K2850" t="s">
        <v>36</v>
      </c>
      <c r="L2850">
        <v>0</v>
      </c>
      <c r="M2850">
        <v>1</v>
      </c>
    </row>
    <row r="2851" spans="1:13" x14ac:dyDescent="0.25">
      <c r="A2851" t="s">
        <v>2101</v>
      </c>
      <c r="B2851" t="s">
        <v>91</v>
      </c>
      <c r="C2851" t="s">
        <v>14</v>
      </c>
      <c r="D2851" t="s">
        <v>46</v>
      </c>
      <c r="E2851">
        <v>170</v>
      </c>
      <c r="F2851">
        <v>0.85</v>
      </c>
      <c r="G2851">
        <v>405</v>
      </c>
      <c r="H2851" s="1">
        <v>44879</v>
      </c>
      <c r="I2851">
        <v>2022</v>
      </c>
      <c r="J2851">
        <v>11</v>
      </c>
      <c r="K2851" t="s">
        <v>36</v>
      </c>
      <c r="L2851">
        <v>0</v>
      </c>
      <c r="M2851">
        <v>1</v>
      </c>
    </row>
    <row r="2852" spans="1:13" x14ac:dyDescent="0.25">
      <c r="A2852" t="s">
        <v>1040</v>
      </c>
      <c r="B2852" t="s">
        <v>99</v>
      </c>
      <c r="C2852" t="s">
        <v>356</v>
      </c>
      <c r="D2852" t="s">
        <v>81</v>
      </c>
      <c r="E2852">
        <v>143</v>
      </c>
      <c r="F2852">
        <v>0.15</v>
      </c>
      <c r="G2852">
        <v>90</v>
      </c>
      <c r="H2852" s="1">
        <v>44879</v>
      </c>
      <c r="I2852">
        <v>2022</v>
      </c>
      <c r="J2852">
        <v>11</v>
      </c>
      <c r="K2852" t="s">
        <v>30</v>
      </c>
      <c r="L2852">
        <v>0</v>
      </c>
      <c r="M2852">
        <v>1</v>
      </c>
    </row>
    <row r="2853" spans="1:13" x14ac:dyDescent="0.25">
      <c r="A2853" t="s">
        <v>2102</v>
      </c>
      <c r="B2853" t="s">
        <v>89</v>
      </c>
      <c r="C2853" t="s">
        <v>14</v>
      </c>
      <c r="D2853" t="s">
        <v>55</v>
      </c>
      <c r="E2853">
        <v>124</v>
      </c>
      <c r="F2853">
        <v>0.13</v>
      </c>
      <c r="G2853">
        <v>240</v>
      </c>
      <c r="H2853" s="1">
        <v>44879</v>
      </c>
      <c r="I2853">
        <v>2022</v>
      </c>
      <c r="J2853">
        <v>11</v>
      </c>
      <c r="K2853" t="s">
        <v>36</v>
      </c>
      <c r="L2853">
        <v>0</v>
      </c>
      <c r="M2853">
        <v>1</v>
      </c>
    </row>
    <row r="2854" spans="1:13" x14ac:dyDescent="0.25">
      <c r="A2854" t="s">
        <v>1543</v>
      </c>
      <c r="B2854" t="s">
        <v>35</v>
      </c>
      <c r="C2854" t="s">
        <v>14</v>
      </c>
      <c r="D2854" t="s">
        <v>15</v>
      </c>
      <c r="E2854">
        <v>90</v>
      </c>
      <c r="F2854" t="s">
        <v>21</v>
      </c>
      <c r="G2854">
        <v>347</v>
      </c>
      <c r="H2854" s="1">
        <v>44879</v>
      </c>
      <c r="I2854">
        <v>2022</v>
      </c>
      <c r="J2854">
        <v>11</v>
      </c>
      <c r="K2854" t="s">
        <v>36</v>
      </c>
      <c r="L2854" t="s">
        <v>21</v>
      </c>
      <c r="M2854">
        <v>1</v>
      </c>
    </row>
    <row r="2855" spans="1:13" x14ac:dyDescent="0.25">
      <c r="A2855" t="s">
        <v>1550</v>
      </c>
      <c r="B2855" t="s">
        <v>35</v>
      </c>
      <c r="C2855" t="s">
        <v>14</v>
      </c>
      <c r="D2855" t="s">
        <v>15</v>
      </c>
      <c r="E2855">
        <v>59</v>
      </c>
      <c r="F2855">
        <v>0.22</v>
      </c>
      <c r="G2855">
        <v>409</v>
      </c>
      <c r="H2855" s="1">
        <v>44879</v>
      </c>
      <c r="I2855">
        <v>2022</v>
      </c>
      <c r="J2855">
        <v>11</v>
      </c>
      <c r="K2855" t="s">
        <v>36</v>
      </c>
      <c r="L2855">
        <v>0</v>
      </c>
      <c r="M2855">
        <v>1</v>
      </c>
    </row>
    <row r="2856" spans="1:13" x14ac:dyDescent="0.25">
      <c r="A2856" t="s">
        <v>2103</v>
      </c>
      <c r="B2856" t="s">
        <v>54</v>
      </c>
      <c r="C2856" t="s">
        <v>14</v>
      </c>
      <c r="D2856" t="s">
        <v>15</v>
      </c>
      <c r="E2856">
        <v>51</v>
      </c>
      <c r="F2856" t="s">
        <v>21</v>
      </c>
      <c r="G2856">
        <v>212</v>
      </c>
      <c r="H2856" s="1">
        <v>44879</v>
      </c>
      <c r="I2856">
        <v>2022</v>
      </c>
      <c r="J2856">
        <v>11</v>
      </c>
      <c r="K2856" t="s">
        <v>36</v>
      </c>
      <c r="L2856" t="s">
        <v>21</v>
      </c>
      <c r="M2856">
        <v>1</v>
      </c>
    </row>
    <row r="2857" spans="1:13" x14ac:dyDescent="0.25">
      <c r="A2857" t="s">
        <v>2104</v>
      </c>
      <c r="B2857" t="s">
        <v>32</v>
      </c>
      <c r="C2857" t="s">
        <v>14</v>
      </c>
      <c r="D2857" t="s">
        <v>22</v>
      </c>
      <c r="E2857">
        <v>40</v>
      </c>
      <c r="F2857">
        <v>0.08</v>
      </c>
      <c r="G2857">
        <v>100</v>
      </c>
      <c r="H2857" s="1">
        <v>44879</v>
      </c>
      <c r="I2857">
        <v>2022</v>
      </c>
      <c r="J2857">
        <v>11</v>
      </c>
      <c r="K2857" t="s">
        <v>36</v>
      </c>
      <c r="L2857">
        <v>0</v>
      </c>
      <c r="M2857">
        <v>1</v>
      </c>
    </row>
    <row r="2858" spans="1:13" x14ac:dyDescent="0.25">
      <c r="A2858" t="s">
        <v>2105</v>
      </c>
      <c r="B2858" t="s">
        <v>52</v>
      </c>
      <c r="C2858" t="s">
        <v>143</v>
      </c>
      <c r="D2858" t="s">
        <v>49</v>
      </c>
      <c r="E2858">
        <v>30</v>
      </c>
      <c r="F2858" t="s">
        <v>21</v>
      </c>
      <c r="G2858">
        <v>6</v>
      </c>
      <c r="H2858" s="1">
        <v>44879</v>
      </c>
      <c r="I2858">
        <v>2022</v>
      </c>
      <c r="J2858">
        <v>11</v>
      </c>
      <c r="K2858" t="s">
        <v>16</v>
      </c>
      <c r="L2858" t="s">
        <v>21</v>
      </c>
      <c r="M2858">
        <v>1</v>
      </c>
    </row>
    <row r="2859" spans="1:13" x14ac:dyDescent="0.25">
      <c r="A2859" t="s">
        <v>1754</v>
      </c>
      <c r="B2859" t="s">
        <v>66</v>
      </c>
      <c r="C2859" t="s">
        <v>143</v>
      </c>
      <c r="D2859" t="s">
        <v>22</v>
      </c>
      <c r="E2859">
        <v>20</v>
      </c>
      <c r="F2859" t="s">
        <v>21</v>
      </c>
      <c r="G2859">
        <v>12</v>
      </c>
      <c r="H2859" s="1">
        <v>44879</v>
      </c>
      <c r="I2859">
        <v>2022</v>
      </c>
      <c r="J2859">
        <v>11</v>
      </c>
      <c r="K2859" t="s">
        <v>30</v>
      </c>
      <c r="L2859" t="s">
        <v>21</v>
      </c>
      <c r="M2859">
        <v>1</v>
      </c>
    </row>
    <row r="2860" spans="1:13" x14ac:dyDescent="0.25">
      <c r="A2860" t="s">
        <v>94</v>
      </c>
      <c r="B2860" t="s">
        <v>95</v>
      </c>
      <c r="C2860" t="s">
        <v>25</v>
      </c>
      <c r="D2860" t="s">
        <v>22</v>
      </c>
      <c r="E2860" t="s">
        <v>21</v>
      </c>
      <c r="F2860" t="s">
        <v>21</v>
      </c>
      <c r="G2860" t="s">
        <v>21</v>
      </c>
      <c r="H2860" s="1">
        <v>44879</v>
      </c>
      <c r="I2860">
        <v>2022</v>
      </c>
      <c r="J2860">
        <v>11</v>
      </c>
      <c r="K2860" t="s">
        <v>22</v>
      </c>
      <c r="L2860" t="s">
        <v>21</v>
      </c>
      <c r="M2860">
        <v>0</v>
      </c>
    </row>
    <row r="2861" spans="1:13" x14ac:dyDescent="0.25">
      <c r="A2861" t="s">
        <v>2106</v>
      </c>
      <c r="B2861" t="s">
        <v>35</v>
      </c>
      <c r="C2861" t="s">
        <v>14</v>
      </c>
      <c r="D2861" t="s">
        <v>15</v>
      </c>
      <c r="E2861" t="s">
        <v>21</v>
      </c>
      <c r="F2861">
        <v>0.56999999999999995</v>
      </c>
      <c r="G2861">
        <v>624</v>
      </c>
      <c r="H2861" s="1">
        <v>44879</v>
      </c>
      <c r="I2861">
        <v>2022</v>
      </c>
      <c r="J2861">
        <v>11</v>
      </c>
      <c r="K2861" t="s">
        <v>36</v>
      </c>
      <c r="L2861">
        <v>0</v>
      </c>
      <c r="M2861">
        <v>1</v>
      </c>
    </row>
    <row r="2862" spans="1:13" x14ac:dyDescent="0.25">
      <c r="A2862" t="s">
        <v>1044</v>
      </c>
      <c r="B2862" t="s">
        <v>91</v>
      </c>
      <c r="C2862" t="s">
        <v>14</v>
      </c>
      <c r="D2862" t="s">
        <v>55</v>
      </c>
      <c r="E2862">
        <v>100</v>
      </c>
      <c r="F2862">
        <v>0.3</v>
      </c>
      <c r="G2862">
        <v>597</v>
      </c>
      <c r="H2862" s="1">
        <v>44876</v>
      </c>
      <c r="I2862">
        <v>2022</v>
      </c>
      <c r="J2862">
        <v>11</v>
      </c>
      <c r="K2862" t="s">
        <v>36</v>
      </c>
      <c r="L2862">
        <v>0</v>
      </c>
      <c r="M2862">
        <v>1</v>
      </c>
    </row>
    <row r="2863" spans="1:13" x14ac:dyDescent="0.25">
      <c r="A2863" t="s">
        <v>449</v>
      </c>
      <c r="B2863" t="s">
        <v>117</v>
      </c>
      <c r="C2863" t="s">
        <v>83</v>
      </c>
      <c r="D2863" t="s">
        <v>55</v>
      </c>
      <c r="E2863">
        <v>60</v>
      </c>
      <c r="F2863">
        <v>0.08</v>
      </c>
      <c r="G2863">
        <v>593</v>
      </c>
      <c r="H2863" s="1">
        <v>44876</v>
      </c>
      <c r="I2863">
        <v>2022</v>
      </c>
      <c r="J2863">
        <v>11</v>
      </c>
      <c r="K2863" t="s">
        <v>36</v>
      </c>
      <c r="L2863">
        <v>0</v>
      </c>
      <c r="M2863">
        <v>1</v>
      </c>
    </row>
    <row r="2864" spans="1:13" x14ac:dyDescent="0.25">
      <c r="A2864" t="s">
        <v>2107</v>
      </c>
      <c r="B2864" t="s">
        <v>77</v>
      </c>
      <c r="C2864" t="s">
        <v>812</v>
      </c>
      <c r="D2864" t="s">
        <v>49</v>
      </c>
      <c r="E2864" t="s">
        <v>21</v>
      </c>
      <c r="F2864" t="s">
        <v>21</v>
      </c>
      <c r="G2864">
        <v>2</v>
      </c>
      <c r="H2864" s="1">
        <v>44876</v>
      </c>
      <c r="I2864">
        <v>2022</v>
      </c>
      <c r="J2864">
        <v>11</v>
      </c>
      <c r="K2864" t="s">
        <v>16</v>
      </c>
      <c r="L2864" t="s">
        <v>21</v>
      </c>
      <c r="M2864">
        <v>0</v>
      </c>
    </row>
    <row r="2865" spans="1:13" x14ac:dyDescent="0.25">
      <c r="A2865" t="s">
        <v>2108</v>
      </c>
      <c r="B2865" t="s">
        <v>54</v>
      </c>
      <c r="C2865" t="s">
        <v>14</v>
      </c>
      <c r="D2865" t="s">
        <v>20</v>
      </c>
      <c r="E2865" t="s">
        <v>21</v>
      </c>
      <c r="F2865" t="s">
        <v>21</v>
      </c>
      <c r="G2865" t="s">
        <v>21</v>
      </c>
      <c r="H2865" s="1">
        <v>44876</v>
      </c>
      <c r="I2865">
        <v>2022</v>
      </c>
      <c r="J2865">
        <v>11</v>
      </c>
      <c r="K2865" t="s">
        <v>22</v>
      </c>
      <c r="L2865" t="s">
        <v>21</v>
      </c>
      <c r="M2865">
        <v>0</v>
      </c>
    </row>
    <row r="2866" spans="1:13" x14ac:dyDescent="0.25">
      <c r="A2866" t="s">
        <v>2109</v>
      </c>
      <c r="B2866" t="s">
        <v>91</v>
      </c>
      <c r="C2866" t="s">
        <v>14</v>
      </c>
      <c r="D2866" t="s">
        <v>15</v>
      </c>
      <c r="E2866" t="s">
        <v>21</v>
      </c>
      <c r="F2866">
        <v>7.0000000000000007E-2</v>
      </c>
      <c r="G2866">
        <v>355</v>
      </c>
      <c r="H2866" s="1">
        <v>44876</v>
      </c>
      <c r="I2866">
        <v>2022</v>
      </c>
      <c r="J2866">
        <v>11</v>
      </c>
      <c r="K2866" t="s">
        <v>36</v>
      </c>
      <c r="L2866">
        <v>0</v>
      </c>
      <c r="M2866">
        <v>1</v>
      </c>
    </row>
    <row r="2867" spans="1:13" x14ac:dyDescent="0.25">
      <c r="A2867" t="s">
        <v>1612</v>
      </c>
      <c r="B2867" t="s">
        <v>66</v>
      </c>
      <c r="C2867" t="s">
        <v>25</v>
      </c>
      <c r="D2867" t="s">
        <v>15</v>
      </c>
      <c r="E2867">
        <v>1300</v>
      </c>
      <c r="F2867">
        <v>0.12</v>
      </c>
      <c r="G2867">
        <v>1300</v>
      </c>
      <c r="H2867" s="1">
        <v>44875</v>
      </c>
      <c r="I2867">
        <v>2022</v>
      </c>
      <c r="J2867">
        <v>11</v>
      </c>
      <c r="K2867" t="s">
        <v>26</v>
      </c>
      <c r="L2867">
        <v>0</v>
      </c>
      <c r="M2867">
        <v>1</v>
      </c>
    </row>
    <row r="2868" spans="1:13" x14ac:dyDescent="0.25">
      <c r="A2868" t="s">
        <v>2110</v>
      </c>
      <c r="B2868" t="s">
        <v>18</v>
      </c>
      <c r="C2868" t="s">
        <v>14</v>
      </c>
      <c r="D2868" t="s">
        <v>22</v>
      </c>
      <c r="E2868">
        <v>400</v>
      </c>
      <c r="F2868">
        <v>0.3</v>
      </c>
      <c r="G2868">
        <v>1500</v>
      </c>
      <c r="H2868" s="1">
        <v>44875</v>
      </c>
      <c r="I2868">
        <v>2022</v>
      </c>
      <c r="J2868">
        <v>11</v>
      </c>
      <c r="K2868" t="s">
        <v>26</v>
      </c>
      <c r="L2868">
        <v>0</v>
      </c>
      <c r="M2868">
        <v>1</v>
      </c>
    </row>
    <row r="2869" spans="1:13" x14ac:dyDescent="0.25">
      <c r="A2869" t="s">
        <v>1243</v>
      </c>
      <c r="B2869" t="s">
        <v>77</v>
      </c>
      <c r="C2869" t="s">
        <v>14</v>
      </c>
      <c r="D2869" t="s">
        <v>15</v>
      </c>
      <c r="E2869">
        <v>100</v>
      </c>
      <c r="F2869">
        <v>0.06</v>
      </c>
      <c r="G2869">
        <v>665</v>
      </c>
      <c r="H2869" s="1">
        <v>44875</v>
      </c>
      <c r="I2869">
        <v>2022</v>
      </c>
      <c r="J2869">
        <v>11</v>
      </c>
      <c r="K2869" t="s">
        <v>36</v>
      </c>
      <c r="L2869">
        <v>0</v>
      </c>
      <c r="M2869">
        <v>1</v>
      </c>
    </row>
    <row r="2870" spans="1:13" x14ac:dyDescent="0.25">
      <c r="A2870" t="s">
        <v>2111</v>
      </c>
      <c r="B2870" t="s">
        <v>38</v>
      </c>
      <c r="C2870" t="s">
        <v>14</v>
      </c>
      <c r="D2870" t="s">
        <v>55</v>
      </c>
      <c r="E2870">
        <v>65</v>
      </c>
      <c r="F2870">
        <v>0.27</v>
      </c>
      <c r="G2870">
        <v>119</v>
      </c>
      <c r="H2870" s="1">
        <v>44875</v>
      </c>
      <c r="I2870">
        <v>2022</v>
      </c>
      <c r="J2870">
        <v>11</v>
      </c>
      <c r="K2870" t="s">
        <v>36</v>
      </c>
      <c r="L2870">
        <v>0</v>
      </c>
      <c r="M2870">
        <v>1</v>
      </c>
    </row>
    <row r="2871" spans="1:13" x14ac:dyDescent="0.25">
      <c r="A2871" t="s">
        <v>168</v>
      </c>
      <c r="B2871" t="s">
        <v>52</v>
      </c>
      <c r="C2871" t="s">
        <v>14</v>
      </c>
      <c r="D2871" t="s">
        <v>15</v>
      </c>
      <c r="E2871">
        <v>60</v>
      </c>
      <c r="F2871" t="s">
        <v>21</v>
      </c>
      <c r="G2871">
        <v>549</v>
      </c>
      <c r="H2871" s="1">
        <v>44875</v>
      </c>
      <c r="I2871">
        <v>2022</v>
      </c>
      <c r="J2871">
        <v>11</v>
      </c>
      <c r="K2871" t="s">
        <v>36</v>
      </c>
      <c r="L2871" t="s">
        <v>21</v>
      </c>
      <c r="M2871">
        <v>1</v>
      </c>
    </row>
    <row r="2872" spans="1:13" x14ac:dyDescent="0.25">
      <c r="A2872" t="s">
        <v>1906</v>
      </c>
      <c r="B2872" t="s">
        <v>13</v>
      </c>
      <c r="C2872" t="s">
        <v>14</v>
      </c>
      <c r="D2872" t="s">
        <v>15</v>
      </c>
      <c r="E2872">
        <v>45</v>
      </c>
      <c r="F2872">
        <v>0.1</v>
      </c>
      <c r="G2872">
        <v>326</v>
      </c>
      <c r="H2872" s="1">
        <v>44875</v>
      </c>
      <c r="I2872">
        <v>2022</v>
      </c>
      <c r="J2872">
        <v>11</v>
      </c>
      <c r="K2872" t="s">
        <v>36</v>
      </c>
      <c r="L2872">
        <v>0</v>
      </c>
      <c r="M2872">
        <v>1</v>
      </c>
    </row>
    <row r="2873" spans="1:13" x14ac:dyDescent="0.25">
      <c r="A2873" t="s">
        <v>2112</v>
      </c>
      <c r="B2873" t="s">
        <v>54</v>
      </c>
      <c r="C2873" t="s">
        <v>14</v>
      </c>
      <c r="D2873" t="s">
        <v>22</v>
      </c>
      <c r="E2873">
        <v>40</v>
      </c>
      <c r="F2873" t="s">
        <v>21</v>
      </c>
      <c r="G2873">
        <v>18</v>
      </c>
      <c r="H2873" s="1">
        <v>44875</v>
      </c>
      <c r="I2873">
        <v>2022</v>
      </c>
      <c r="J2873">
        <v>11</v>
      </c>
      <c r="K2873" t="s">
        <v>30</v>
      </c>
      <c r="L2873" t="s">
        <v>21</v>
      </c>
      <c r="M2873">
        <v>1</v>
      </c>
    </row>
    <row r="2874" spans="1:13" x14ac:dyDescent="0.25">
      <c r="A2874" t="s">
        <v>2113</v>
      </c>
      <c r="B2874" t="s">
        <v>52</v>
      </c>
      <c r="C2874" t="s">
        <v>14</v>
      </c>
      <c r="D2874" t="s">
        <v>68</v>
      </c>
      <c r="E2874">
        <v>20</v>
      </c>
      <c r="F2874">
        <v>0.48</v>
      </c>
      <c r="G2874">
        <v>11</v>
      </c>
      <c r="H2874" s="1">
        <v>44875</v>
      </c>
      <c r="I2874">
        <v>2022</v>
      </c>
      <c r="J2874">
        <v>11</v>
      </c>
      <c r="K2874" t="s">
        <v>30</v>
      </c>
      <c r="L2874">
        <v>0</v>
      </c>
      <c r="M2874">
        <v>1</v>
      </c>
    </row>
    <row r="2875" spans="1:13" x14ac:dyDescent="0.25">
      <c r="A2875" t="s">
        <v>2114</v>
      </c>
      <c r="B2875" t="s">
        <v>28</v>
      </c>
      <c r="C2875" t="s">
        <v>14</v>
      </c>
      <c r="D2875" t="s">
        <v>22</v>
      </c>
      <c r="E2875" t="s">
        <v>21</v>
      </c>
      <c r="F2875">
        <v>0.25</v>
      </c>
      <c r="G2875" t="s">
        <v>21</v>
      </c>
      <c r="H2875" s="1">
        <v>44875</v>
      </c>
      <c r="I2875">
        <v>2022</v>
      </c>
      <c r="J2875">
        <v>11</v>
      </c>
      <c r="K2875" t="s">
        <v>22</v>
      </c>
      <c r="L2875">
        <v>0</v>
      </c>
      <c r="M2875">
        <v>1</v>
      </c>
    </row>
    <row r="2876" spans="1:13" x14ac:dyDescent="0.25">
      <c r="A2876" t="s">
        <v>1548</v>
      </c>
      <c r="B2876" t="s">
        <v>106</v>
      </c>
      <c r="C2876" t="s">
        <v>14</v>
      </c>
      <c r="D2876" t="s">
        <v>33</v>
      </c>
      <c r="E2876" t="s">
        <v>21</v>
      </c>
      <c r="F2876" t="s">
        <v>21</v>
      </c>
      <c r="G2876">
        <v>81</v>
      </c>
      <c r="H2876" s="1">
        <v>44875</v>
      </c>
      <c r="I2876">
        <v>2022</v>
      </c>
      <c r="J2876">
        <v>11</v>
      </c>
      <c r="K2876" t="s">
        <v>30</v>
      </c>
      <c r="L2876" t="s">
        <v>21</v>
      </c>
      <c r="M2876">
        <v>0</v>
      </c>
    </row>
    <row r="2877" spans="1:13" x14ac:dyDescent="0.25">
      <c r="A2877" t="s">
        <v>2115</v>
      </c>
      <c r="B2877" t="s">
        <v>117</v>
      </c>
      <c r="C2877" t="s">
        <v>74</v>
      </c>
      <c r="D2877" t="s">
        <v>46</v>
      </c>
      <c r="E2877" t="s">
        <v>21</v>
      </c>
      <c r="F2877">
        <v>0.1</v>
      </c>
      <c r="G2877">
        <v>200</v>
      </c>
      <c r="H2877" s="1">
        <v>44875</v>
      </c>
      <c r="I2877">
        <v>2022</v>
      </c>
      <c r="J2877">
        <v>11</v>
      </c>
      <c r="K2877" t="s">
        <v>36</v>
      </c>
      <c r="L2877">
        <v>0</v>
      </c>
      <c r="M2877">
        <v>1</v>
      </c>
    </row>
    <row r="2878" spans="1:13" x14ac:dyDescent="0.25">
      <c r="A2878" t="s">
        <v>2116</v>
      </c>
      <c r="B2878" t="s">
        <v>95</v>
      </c>
      <c r="C2878" t="s">
        <v>42</v>
      </c>
      <c r="D2878" t="s">
        <v>49</v>
      </c>
      <c r="E2878" t="s">
        <v>21</v>
      </c>
      <c r="F2878" t="s">
        <v>21</v>
      </c>
      <c r="G2878">
        <v>13</v>
      </c>
      <c r="H2878" s="1">
        <v>44875</v>
      </c>
      <c r="I2878">
        <v>2022</v>
      </c>
      <c r="J2878">
        <v>11</v>
      </c>
      <c r="K2878" t="s">
        <v>30</v>
      </c>
      <c r="L2878" t="s">
        <v>21</v>
      </c>
      <c r="M2878">
        <v>0</v>
      </c>
    </row>
    <row r="2879" spans="1:13" x14ac:dyDescent="0.25">
      <c r="A2879" t="s">
        <v>2117</v>
      </c>
      <c r="B2879" t="s">
        <v>40</v>
      </c>
      <c r="C2879" t="s">
        <v>14</v>
      </c>
      <c r="D2879" t="s">
        <v>22</v>
      </c>
      <c r="E2879" t="s">
        <v>21</v>
      </c>
      <c r="F2879">
        <v>1</v>
      </c>
      <c r="G2879" t="s">
        <v>21</v>
      </c>
      <c r="H2879" s="1">
        <v>44875</v>
      </c>
      <c r="I2879">
        <v>2022</v>
      </c>
      <c r="J2879">
        <v>11</v>
      </c>
      <c r="K2879" t="s">
        <v>22</v>
      </c>
      <c r="L2879">
        <v>1</v>
      </c>
      <c r="M2879">
        <v>1</v>
      </c>
    </row>
    <row r="2880" spans="1:13" x14ac:dyDescent="0.25">
      <c r="A2880" t="s">
        <v>2118</v>
      </c>
      <c r="B2880" t="s">
        <v>13</v>
      </c>
      <c r="C2880" t="s">
        <v>14</v>
      </c>
      <c r="D2880" t="s">
        <v>46</v>
      </c>
      <c r="E2880" t="s">
        <v>21</v>
      </c>
      <c r="F2880" t="s">
        <v>21</v>
      </c>
      <c r="G2880">
        <v>277</v>
      </c>
      <c r="H2880" s="1">
        <v>44875</v>
      </c>
      <c r="I2880">
        <v>2022</v>
      </c>
      <c r="J2880">
        <v>11</v>
      </c>
      <c r="K2880" t="s">
        <v>36</v>
      </c>
      <c r="L2880" t="s">
        <v>21</v>
      </c>
      <c r="M2880">
        <v>0</v>
      </c>
    </row>
    <row r="2881" spans="1:13" x14ac:dyDescent="0.25">
      <c r="A2881" t="s">
        <v>131</v>
      </c>
      <c r="B2881" t="s">
        <v>18</v>
      </c>
      <c r="C2881" t="s">
        <v>14</v>
      </c>
      <c r="D2881" t="s">
        <v>15</v>
      </c>
      <c r="E2881">
        <v>11000</v>
      </c>
      <c r="F2881">
        <v>0.13</v>
      </c>
      <c r="G2881">
        <v>26000</v>
      </c>
      <c r="H2881" s="1">
        <v>44874</v>
      </c>
      <c r="I2881">
        <v>2022</v>
      </c>
      <c r="J2881">
        <v>11</v>
      </c>
      <c r="K2881" t="s">
        <v>26</v>
      </c>
      <c r="L2881">
        <v>0</v>
      </c>
      <c r="M2881">
        <v>1</v>
      </c>
    </row>
    <row r="2882" spans="1:13" x14ac:dyDescent="0.25">
      <c r="A2882" t="s">
        <v>494</v>
      </c>
      <c r="B2882" t="s">
        <v>91</v>
      </c>
      <c r="C2882" t="s">
        <v>14</v>
      </c>
      <c r="D2882" t="s">
        <v>15</v>
      </c>
      <c r="E2882">
        <v>862</v>
      </c>
      <c r="F2882">
        <v>0.13</v>
      </c>
      <c r="G2882">
        <v>320</v>
      </c>
      <c r="H2882" s="1">
        <v>44874</v>
      </c>
      <c r="I2882">
        <v>2022</v>
      </c>
      <c r="J2882">
        <v>11</v>
      </c>
      <c r="K2882" t="s">
        <v>36</v>
      </c>
      <c r="L2882">
        <v>0</v>
      </c>
      <c r="M2882">
        <v>1</v>
      </c>
    </row>
    <row r="2883" spans="1:13" x14ac:dyDescent="0.25">
      <c r="A2883" t="s">
        <v>1012</v>
      </c>
      <c r="B2883" t="s">
        <v>91</v>
      </c>
      <c r="C2883" t="s">
        <v>14</v>
      </c>
      <c r="D2883" t="s">
        <v>46</v>
      </c>
      <c r="E2883">
        <v>300</v>
      </c>
      <c r="F2883">
        <v>0.4</v>
      </c>
      <c r="G2883">
        <v>310</v>
      </c>
      <c r="H2883" s="1">
        <v>44874</v>
      </c>
      <c r="I2883">
        <v>2022</v>
      </c>
      <c r="J2883">
        <v>11</v>
      </c>
      <c r="K2883" t="s">
        <v>36</v>
      </c>
      <c r="L2883">
        <v>0</v>
      </c>
      <c r="M2883">
        <v>1</v>
      </c>
    </row>
    <row r="2884" spans="1:13" x14ac:dyDescent="0.25">
      <c r="A2884" t="s">
        <v>1386</v>
      </c>
      <c r="B2884" t="s">
        <v>73</v>
      </c>
      <c r="C2884" t="s">
        <v>14</v>
      </c>
      <c r="D2884" t="s">
        <v>81</v>
      </c>
      <c r="E2884">
        <v>144</v>
      </c>
      <c r="F2884">
        <v>0.22</v>
      </c>
      <c r="G2884">
        <v>686</v>
      </c>
      <c r="H2884" s="1">
        <v>44874</v>
      </c>
      <c r="I2884">
        <v>2022</v>
      </c>
      <c r="J2884">
        <v>11</v>
      </c>
      <c r="K2884" t="s">
        <v>36</v>
      </c>
      <c r="L2884">
        <v>0</v>
      </c>
      <c r="M2884">
        <v>1</v>
      </c>
    </row>
    <row r="2885" spans="1:13" x14ac:dyDescent="0.25">
      <c r="A2885" t="s">
        <v>2119</v>
      </c>
      <c r="B2885" t="s">
        <v>77</v>
      </c>
      <c r="C2885" t="s">
        <v>14</v>
      </c>
      <c r="D2885" t="s">
        <v>15</v>
      </c>
      <c r="E2885">
        <v>137</v>
      </c>
      <c r="F2885">
        <v>0.2</v>
      </c>
      <c r="G2885">
        <v>527</v>
      </c>
      <c r="H2885" s="1">
        <v>44874</v>
      </c>
      <c r="I2885">
        <v>2022</v>
      </c>
      <c r="J2885">
        <v>11</v>
      </c>
      <c r="K2885" t="s">
        <v>36</v>
      </c>
      <c r="L2885">
        <v>0</v>
      </c>
      <c r="M2885">
        <v>1</v>
      </c>
    </row>
    <row r="2886" spans="1:13" x14ac:dyDescent="0.25">
      <c r="A2886" t="s">
        <v>2120</v>
      </c>
      <c r="B2886" t="s">
        <v>54</v>
      </c>
      <c r="C2886" t="s">
        <v>14</v>
      </c>
      <c r="D2886" t="s">
        <v>20</v>
      </c>
      <c r="E2886">
        <v>130</v>
      </c>
      <c r="F2886">
        <v>0.15</v>
      </c>
      <c r="G2886">
        <v>6</v>
      </c>
      <c r="H2886" s="1">
        <v>44874</v>
      </c>
      <c r="I2886">
        <v>2022</v>
      </c>
      <c r="J2886">
        <v>11</v>
      </c>
      <c r="K2886" t="s">
        <v>16</v>
      </c>
      <c r="L2886">
        <v>0</v>
      </c>
      <c r="M2886">
        <v>1</v>
      </c>
    </row>
    <row r="2887" spans="1:13" x14ac:dyDescent="0.25">
      <c r="A2887" t="s">
        <v>1310</v>
      </c>
      <c r="B2887" t="s">
        <v>18</v>
      </c>
      <c r="C2887" t="s">
        <v>14</v>
      </c>
      <c r="D2887" t="s">
        <v>22</v>
      </c>
      <c r="E2887">
        <v>80</v>
      </c>
      <c r="F2887" t="s">
        <v>21</v>
      </c>
      <c r="G2887">
        <v>165</v>
      </c>
      <c r="H2887" s="1">
        <v>44874</v>
      </c>
      <c r="I2887">
        <v>2022</v>
      </c>
      <c r="J2887">
        <v>11</v>
      </c>
      <c r="K2887" t="s">
        <v>36</v>
      </c>
      <c r="L2887" t="s">
        <v>21</v>
      </c>
      <c r="M2887">
        <v>1</v>
      </c>
    </row>
    <row r="2888" spans="1:13" x14ac:dyDescent="0.25">
      <c r="A2888" t="s">
        <v>2121</v>
      </c>
      <c r="B2888" t="s">
        <v>35</v>
      </c>
      <c r="C2888" t="s">
        <v>48</v>
      </c>
      <c r="D2888" t="s">
        <v>68</v>
      </c>
      <c r="E2888">
        <v>36</v>
      </c>
      <c r="F2888">
        <v>0.1</v>
      </c>
      <c r="G2888">
        <v>20</v>
      </c>
      <c r="H2888" s="1">
        <v>44874</v>
      </c>
      <c r="I2888">
        <v>2022</v>
      </c>
      <c r="J2888">
        <v>11</v>
      </c>
      <c r="K2888" t="s">
        <v>30</v>
      </c>
      <c r="L2888">
        <v>0</v>
      </c>
      <c r="M2888">
        <v>1</v>
      </c>
    </row>
    <row r="2889" spans="1:13" x14ac:dyDescent="0.25">
      <c r="A2889" t="s">
        <v>1440</v>
      </c>
      <c r="B2889" t="s">
        <v>18</v>
      </c>
      <c r="C2889" t="s">
        <v>14</v>
      </c>
      <c r="D2889" t="s">
        <v>20</v>
      </c>
      <c r="E2889">
        <v>35</v>
      </c>
      <c r="F2889">
        <v>7.0000000000000007E-2</v>
      </c>
      <c r="G2889">
        <v>244</v>
      </c>
      <c r="H2889" s="1">
        <v>44874</v>
      </c>
      <c r="I2889">
        <v>2022</v>
      </c>
      <c r="J2889">
        <v>11</v>
      </c>
      <c r="K2889" t="s">
        <v>36</v>
      </c>
      <c r="L2889">
        <v>0</v>
      </c>
      <c r="M2889">
        <v>1</v>
      </c>
    </row>
    <row r="2890" spans="1:13" x14ac:dyDescent="0.25">
      <c r="A2890" t="s">
        <v>2122</v>
      </c>
      <c r="B2890" t="s">
        <v>77</v>
      </c>
      <c r="C2890" t="s">
        <v>48</v>
      </c>
      <c r="D2890" t="s">
        <v>46</v>
      </c>
      <c r="E2890">
        <v>25</v>
      </c>
      <c r="F2890" t="s">
        <v>21</v>
      </c>
      <c r="G2890">
        <v>475</v>
      </c>
      <c r="H2890" s="1">
        <v>44874</v>
      </c>
      <c r="I2890">
        <v>2022</v>
      </c>
      <c r="J2890">
        <v>11</v>
      </c>
      <c r="K2890" t="s">
        <v>36</v>
      </c>
      <c r="L2890" t="s">
        <v>21</v>
      </c>
      <c r="M2890">
        <v>1</v>
      </c>
    </row>
    <row r="2891" spans="1:13" x14ac:dyDescent="0.25">
      <c r="A2891" t="s">
        <v>1797</v>
      </c>
      <c r="B2891" t="s">
        <v>54</v>
      </c>
      <c r="C2891" t="s">
        <v>29</v>
      </c>
      <c r="D2891" t="s">
        <v>46</v>
      </c>
      <c r="E2891">
        <v>25</v>
      </c>
      <c r="F2891">
        <v>0.15</v>
      </c>
      <c r="G2891">
        <v>69</v>
      </c>
      <c r="H2891" s="1">
        <v>44874</v>
      </c>
      <c r="I2891">
        <v>2022</v>
      </c>
      <c r="J2891">
        <v>11</v>
      </c>
      <c r="K2891" t="s">
        <v>30</v>
      </c>
      <c r="L2891">
        <v>0</v>
      </c>
      <c r="M2891">
        <v>1</v>
      </c>
    </row>
    <row r="2892" spans="1:13" x14ac:dyDescent="0.25">
      <c r="A2892" t="s">
        <v>2123</v>
      </c>
      <c r="B2892" t="s">
        <v>54</v>
      </c>
      <c r="C2892" t="s">
        <v>14</v>
      </c>
      <c r="D2892" t="s">
        <v>20</v>
      </c>
      <c r="E2892" t="s">
        <v>21</v>
      </c>
      <c r="F2892" t="s">
        <v>21</v>
      </c>
      <c r="G2892">
        <v>72</v>
      </c>
      <c r="H2892" s="1">
        <v>44874</v>
      </c>
      <c r="I2892">
        <v>2022</v>
      </c>
      <c r="J2892">
        <v>11</v>
      </c>
      <c r="K2892" t="s">
        <v>30</v>
      </c>
      <c r="L2892" t="s">
        <v>21</v>
      </c>
      <c r="M2892">
        <v>0</v>
      </c>
    </row>
    <row r="2893" spans="1:13" x14ac:dyDescent="0.25">
      <c r="A2893" t="s">
        <v>2124</v>
      </c>
      <c r="B2893" t="s">
        <v>38</v>
      </c>
      <c r="C2893" t="s">
        <v>184</v>
      </c>
      <c r="D2893" t="s">
        <v>81</v>
      </c>
      <c r="E2893" t="s">
        <v>21</v>
      </c>
      <c r="F2893">
        <v>0.12</v>
      </c>
      <c r="G2893">
        <v>78</v>
      </c>
      <c r="H2893" s="1">
        <v>44874</v>
      </c>
      <c r="I2893">
        <v>2022</v>
      </c>
      <c r="J2893">
        <v>11</v>
      </c>
      <c r="K2893" t="s">
        <v>30</v>
      </c>
      <c r="L2893">
        <v>0</v>
      </c>
      <c r="M2893">
        <v>1</v>
      </c>
    </row>
    <row r="2894" spans="1:13" x14ac:dyDescent="0.25">
      <c r="A2894" t="s">
        <v>598</v>
      </c>
      <c r="B2894" t="s">
        <v>106</v>
      </c>
      <c r="C2894" t="s">
        <v>14</v>
      </c>
      <c r="D2894" t="s">
        <v>15</v>
      </c>
      <c r="E2894" t="s">
        <v>21</v>
      </c>
      <c r="F2894" t="s">
        <v>21</v>
      </c>
      <c r="G2894">
        <v>458</v>
      </c>
      <c r="H2894" s="1">
        <v>44874</v>
      </c>
      <c r="I2894">
        <v>2022</v>
      </c>
      <c r="J2894">
        <v>11</v>
      </c>
      <c r="K2894" t="s">
        <v>36</v>
      </c>
      <c r="L2894" t="s">
        <v>21</v>
      </c>
      <c r="M2894">
        <v>0</v>
      </c>
    </row>
    <row r="2895" spans="1:13" x14ac:dyDescent="0.25">
      <c r="A2895" t="s">
        <v>2125</v>
      </c>
      <c r="B2895" t="s">
        <v>35</v>
      </c>
      <c r="C2895" t="s">
        <v>14</v>
      </c>
      <c r="D2895" t="s">
        <v>33</v>
      </c>
      <c r="E2895" t="s">
        <v>21</v>
      </c>
      <c r="F2895">
        <v>1</v>
      </c>
      <c r="G2895">
        <v>81</v>
      </c>
      <c r="H2895" s="1">
        <v>44874</v>
      </c>
      <c r="I2895">
        <v>2022</v>
      </c>
      <c r="J2895">
        <v>11</v>
      </c>
      <c r="K2895" t="s">
        <v>30</v>
      </c>
      <c r="L2895">
        <v>1</v>
      </c>
      <c r="M2895">
        <v>1</v>
      </c>
    </row>
    <row r="2896" spans="1:13" x14ac:dyDescent="0.25">
      <c r="A2896" t="s">
        <v>1846</v>
      </c>
      <c r="B2896" t="s">
        <v>13</v>
      </c>
      <c r="C2896" t="s">
        <v>14</v>
      </c>
      <c r="D2896" t="s">
        <v>15</v>
      </c>
      <c r="E2896" t="s">
        <v>21</v>
      </c>
      <c r="F2896">
        <v>0.1</v>
      </c>
      <c r="G2896">
        <v>44</v>
      </c>
      <c r="H2896" s="1">
        <v>44874</v>
      </c>
      <c r="I2896">
        <v>2022</v>
      </c>
      <c r="J2896">
        <v>11</v>
      </c>
      <c r="K2896" t="s">
        <v>30</v>
      </c>
      <c r="L2896">
        <v>0</v>
      </c>
      <c r="M2896">
        <v>1</v>
      </c>
    </row>
    <row r="2897" spans="1:13" x14ac:dyDescent="0.25">
      <c r="A2897" t="s">
        <v>223</v>
      </c>
      <c r="B2897" t="s">
        <v>32</v>
      </c>
      <c r="C2897" t="s">
        <v>161</v>
      </c>
      <c r="D2897" t="s">
        <v>15</v>
      </c>
      <c r="E2897" t="s">
        <v>21</v>
      </c>
      <c r="F2897" t="s">
        <v>21</v>
      </c>
      <c r="G2897">
        <v>2100</v>
      </c>
      <c r="H2897" s="1">
        <v>44874</v>
      </c>
      <c r="I2897">
        <v>2022</v>
      </c>
      <c r="J2897">
        <v>11</v>
      </c>
      <c r="K2897" t="s">
        <v>26</v>
      </c>
      <c r="L2897" t="s">
        <v>21</v>
      </c>
      <c r="M2897">
        <v>0</v>
      </c>
    </row>
    <row r="2898" spans="1:13" x14ac:dyDescent="0.25">
      <c r="A2898" t="s">
        <v>2126</v>
      </c>
      <c r="B2898" t="s">
        <v>13</v>
      </c>
      <c r="C2898" t="s">
        <v>14</v>
      </c>
      <c r="D2898" t="s">
        <v>15</v>
      </c>
      <c r="E2898">
        <v>200</v>
      </c>
      <c r="F2898" t="s">
        <v>21</v>
      </c>
      <c r="G2898">
        <v>476</v>
      </c>
      <c r="H2898" s="1">
        <v>44873</v>
      </c>
      <c r="I2898">
        <v>2022</v>
      </c>
      <c r="J2898">
        <v>11</v>
      </c>
      <c r="K2898" t="s">
        <v>36</v>
      </c>
      <c r="L2898" t="s">
        <v>21</v>
      </c>
      <c r="M2898">
        <v>1</v>
      </c>
    </row>
    <row r="2899" spans="1:13" x14ac:dyDescent="0.25">
      <c r="A2899" t="s">
        <v>2127</v>
      </c>
      <c r="B2899" t="s">
        <v>35</v>
      </c>
      <c r="C2899" t="s">
        <v>14</v>
      </c>
      <c r="D2899" t="s">
        <v>33</v>
      </c>
      <c r="E2899">
        <v>65</v>
      </c>
      <c r="F2899">
        <v>0.5</v>
      </c>
      <c r="G2899">
        <v>257</v>
      </c>
      <c r="H2899" s="1">
        <v>44873</v>
      </c>
      <c r="I2899">
        <v>2022</v>
      </c>
      <c r="J2899">
        <v>11</v>
      </c>
      <c r="K2899" t="s">
        <v>36</v>
      </c>
      <c r="L2899">
        <v>0</v>
      </c>
      <c r="M2899">
        <v>1</v>
      </c>
    </row>
    <row r="2900" spans="1:13" x14ac:dyDescent="0.25">
      <c r="A2900" t="s">
        <v>388</v>
      </c>
      <c r="B2900" t="s">
        <v>490</v>
      </c>
      <c r="C2900" t="s">
        <v>14</v>
      </c>
      <c r="D2900" t="s">
        <v>15</v>
      </c>
      <c r="E2900" t="s">
        <v>21</v>
      </c>
      <c r="F2900">
        <v>0.16</v>
      </c>
      <c r="G2900">
        <v>300</v>
      </c>
      <c r="H2900" s="1">
        <v>44873</v>
      </c>
      <c r="I2900">
        <v>2022</v>
      </c>
      <c r="J2900">
        <v>11</v>
      </c>
      <c r="K2900" t="s">
        <v>36</v>
      </c>
      <c r="L2900">
        <v>0</v>
      </c>
      <c r="M2900">
        <v>1</v>
      </c>
    </row>
    <row r="2901" spans="1:13" x14ac:dyDescent="0.25">
      <c r="A2901" t="s">
        <v>2128</v>
      </c>
      <c r="B2901" t="s">
        <v>66</v>
      </c>
      <c r="C2901" t="s">
        <v>2129</v>
      </c>
      <c r="D2901" t="s">
        <v>33</v>
      </c>
      <c r="E2901" t="s">
        <v>21</v>
      </c>
      <c r="F2901" t="s">
        <v>21</v>
      </c>
      <c r="G2901">
        <v>6</v>
      </c>
      <c r="H2901" s="1">
        <v>44873</v>
      </c>
      <c r="I2901">
        <v>2022</v>
      </c>
      <c r="J2901">
        <v>11</v>
      </c>
      <c r="K2901" t="s">
        <v>16</v>
      </c>
      <c r="L2901" t="s">
        <v>21</v>
      </c>
      <c r="M2901">
        <v>0</v>
      </c>
    </row>
    <row r="2902" spans="1:13" x14ac:dyDescent="0.25">
      <c r="A2902" t="s">
        <v>2130</v>
      </c>
      <c r="B2902" t="s">
        <v>35</v>
      </c>
      <c r="C2902" t="s">
        <v>14</v>
      </c>
      <c r="D2902" t="s">
        <v>15</v>
      </c>
      <c r="E2902" t="s">
        <v>21</v>
      </c>
      <c r="F2902">
        <v>0.1</v>
      </c>
      <c r="G2902">
        <v>731</v>
      </c>
      <c r="H2902" s="1">
        <v>44873</v>
      </c>
      <c r="I2902">
        <v>2022</v>
      </c>
      <c r="J2902">
        <v>11</v>
      </c>
      <c r="K2902" t="s">
        <v>36</v>
      </c>
      <c r="L2902">
        <v>0</v>
      </c>
      <c r="M2902">
        <v>1</v>
      </c>
    </row>
    <row r="2903" spans="1:13" x14ac:dyDescent="0.25">
      <c r="A2903" t="s">
        <v>2131</v>
      </c>
      <c r="B2903" t="s">
        <v>13</v>
      </c>
      <c r="C2903" t="s">
        <v>14</v>
      </c>
      <c r="D2903" t="s">
        <v>20</v>
      </c>
      <c r="E2903" t="s">
        <v>21</v>
      </c>
      <c r="F2903">
        <v>0.11</v>
      </c>
      <c r="G2903" t="s">
        <v>21</v>
      </c>
      <c r="H2903" s="1">
        <v>44873</v>
      </c>
      <c r="I2903">
        <v>2022</v>
      </c>
      <c r="J2903">
        <v>11</v>
      </c>
      <c r="K2903" t="s">
        <v>22</v>
      </c>
      <c r="L2903">
        <v>0</v>
      </c>
      <c r="M2903">
        <v>1</v>
      </c>
    </row>
    <row r="2904" spans="1:13" x14ac:dyDescent="0.25">
      <c r="A2904" t="s">
        <v>98</v>
      </c>
      <c r="B2904" t="s">
        <v>99</v>
      </c>
      <c r="C2904" t="s">
        <v>14</v>
      </c>
      <c r="D2904" t="s">
        <v>15</v>
      </c>
      <c r="E2904">
        <v>1000</v>
      </c>
      <c r="F2904">
        <v>0.01</v>
      </c>
      <c r="G2904">
        <v>65</v>
      </c>
      <c r="H2904" s="1">
        <v>44872</v>
      </c>
      <c r="I2904">
        <v>2022</v>
      </c>
      <c r="J2904">
        <v>11</v>
      </c>
      <c r="K2904" t="s">
        <v>30</v>
      </c>
      <c r="L2904">
        <v>0</v>
      </c>
      <c r="M2904">
        <v>1</v>
      </c>
    </row>
    <row r="2905" spans="1:13" x14ac:dyDescent="0.25">
      <c r="A2905" t="s">
        <v>713</v>
      </c>
      <c r="B2905" t="s">
        <v>106</v>
      </c>
      <c r="C2905" t="s">
        <v>48</v>
      </c>
      <c r="D2905" t="s">
        <v>347</v>
      </c>
      <c r="E2905">
        <v>350</v>
      </c>
      <c r="F2905">
        <v>0.1</v>
      </c>
      <c r="G2905">
        <v>838</v>
      </c>
      <c r="H2905" s="1">
        <v>44872</v>
      </c>
      <c r="I2905">
        <v>2022</v>
      </c>
      <c r="J2905">
        <v>11</v>
      </c>
      <c r="K2905" t="s">
        <v>36</v>
      </c>
      <c r="L2905">
        <v>0</v>
      </c>
      <c r="M2905">
        <v>1</v>
      </c>
    </row>
    <row r="2906" spans="1:13" x14ac:dyDescent="0.25">
      <c r="A2906" t="s">
        <v>221</v>
      </c>
      <c r="B2906" t="s">
        <v>89</v>
      </c>
      <c r="C2906" t="s">
        <v>14</v>
      </c>
      <c r="D2906" t="s">
        <v>20</v>
      </c>
      <c r="E2906">
        <v>350</v>
      </c>
      <c r="F2906">
        <v>0.05</v>
      </c>
      <c r="G2906">
        <v>85</v>
      </c>
      <c r="H2906" s="1">
        <v>44872</v>
      </c>
      <c r="I2906">
        <v>2022</v>
      </c>
      <c r="J2906">
        <v>11</v>
      </c>
      <c r="K2906" t="s">
        <v>30</v>
      </c>
      <c r="L2906">
        <v>0</v>
      </c>
      <c r="M2906">
        <v>1</v>
      </c>
    </row>
    <row r="2907" spans="1:13" x14ac:dyDescent="0.25">
      <c r="A2907" t="s">
        <v>2132</v>
      </c>
      <c r="B2907" t="s">
        <v>77</v>
      </c>
      <c r="C2907" t="s">
        <v>230</v>
      </c>
      <c r="D2907" t="s">
        <v>81</v>
      </c>
      <c r="E2907">
        <v>190</v>
      </c>
      <c r="F2907">
        <v>0.12</v>
      </c>
      <c r="G2907">
        <v>280</v>
      </c>
      <c r="H2907" s="1">
        <v>44872</v>
      </c>
      <c r="I2907">
        <v>2022</v>
      </c>
      <c r="J2907">
        <v>11</v>
      </c>
      <c r="K2907" t="s">
        <v>36</v>
      </c>
      <c r="L2907">
        <v>0</v>
      </c>
      <c r="M2907">
        <v>1</v>
      </c>
    </row>
    <row r="2908" spans="1:13" x14ac:dyDescent="0.25">
      <c r="A2908" t="s">
        <v>1312</v>
      </c>
      <c r="B2908" t="s">
        <v>28</v>
      </c>
      <c r="C2908" t="s">
        <v>14</v>
      </c>
      <c r="D2908" t="s">
        <v>22</v>
      </c>
      <c r="E2908" t="s">
        <v>21</v>
      </c>
      <c r="F2908">
        <v>0.15</v>
      </c>
      <c r="G2908">
        <v>137</v>
      </c>
      <c r="H2908" s="1">
        <v>44872</v>
      </c>
      <c r="I2908">
        <v>2022</v>
      </c>
      <c r="J2908">
        <v>11</v>
      </c>
      <c r="K2908" t="s">
        <v>36</v>
      </c>
      <c r="L2908">
        <v>0</v>
      </c>
      <c r="M2908">
        <v>1</v>
      </c>
    </row>
    <row r="2909" spans="1:13" x14ac:dyDescent="0.25">
      <c r="A2909" t="s">
        <v>2133</v>
      </c>
      <c r="B2909" t="s">
        <v>38</v>
      </c>
      <c r="C2909" t="s">
        <v>14</v>
      </c>
      <c r="D2909" t="s">
        <v>43</v>
      </c>
      <c r="E2909" t="s">
        <v>21</v>
      </c>
      <c r="F2909">
        <v>0.25</v>
      </c>
      <c r="G2909">
        <v>223</v>
      </c>
      <c r="H2909" s="1">
        <v>44872</v>
      </c>
      <c r="I2909">
        <v>2022</v>
      </c>
      <c r="J2909">
        <v>11</v>
      </c>
      <c r="K2909" t="s">
        <v>36</v>
      </c>
      <c r="L2909">
        <v>0</v>
      </c>
      <c r="M2909">
        <v>1</v>
      </c>
    </row>
    <row r="2910" spans="1:13" x14ac:dyDescent="0.25">
      <c r="A2910" t="s">
        <v>2134</v>
      </c>
      <c r="B2910" t="s">
        <v>28</v>
      </c>
      <c r="C2910" t="s">
        <v>14</v>
      </c>
      <c r="D2910" t="s">
        <v>15</v>
      </c>
      <c r="E2910">
        <v>110</v>
      </c>
      <c r="F2910">
        <v>0.05</v>
      </c>
      <c r="G2910">
        <v>30</v>
      </c>
      <c r="H2910" s="1">
        <v>44871</v>
      </c>
      <c r="I2910">
        <v>2022</v>
      </c>
      <c r="J2910">
        <v>11</v>
      </c>
      <c r="K2910" t="s">
        <v>30</v>
      </c>
      <c r="L2910">
        <v>0</v>
      </c>
      <c r="M2910">
        <v>1</v>
      </c>
    </row>
    <row r="2911" spans="1:13" x14ac:dyDescent="0.25">
      <c r="A2911" t="s">
        <v>1444</v>
      </c>
      <c r="B2911" t="s">
        <v>106</v>
      </c>
      <c r="C2911" t="s">
        <v>870</v>
      </c>
      <c r="D2911" t="s">
        <v>55</v>
      </c>
      <c r="E2911">
        <v>25</v>
      </c>
      <c r="F2911" t="s">
        <v>21</v>
      </c>
      <c r="G2911">
        <v>148</v>
      </c>
      <c r="H2911" s="1">
        <v>44871</v>
      </c>
      <c r="I2911">
        <v>2022</v>
      </c>
      <c r="J2911">
        <v>11</v>
      </c>
      <c r="K2911" t="s">
        <v>36</v>
      </c>
      <c r="L2911" t="s">
        <v>21</v>
      </c>
      <c r="M2911">
        <v>1</v>
      </c>
    </row>
    <row r="2912" spans="1:13" x14ac:dyDescent="0.25">
      <c r="A2912" t="s">
        <v>2135</v>
      </c>
      <c r="B2912" t="s">
        <v>106</v>
      </c>
      <c r="C2912" t="s">
        <v>48</v>
      </c>
      <c r="D2912" t="s">
        <v>22</v>
      </c>
      <c r="E2912" t="s">
        <v>21</v>
      </c>
      <c r="F2912" t="s">
        <v>21</v>
      </c>
      <c r="G2912">
        <v>14</v>
      </c>
      <c r="H2912" s="1">
        <v>44871</v>
      </c>
      <c r="I2912">
        <v>2022</v>
      </c>
      <c r="J2912">
        <v>11</v>
      </c>
      <c r="K2912" t="s">
        <v>30</v>
      </c>
      <c r="L2912" t="s">
        <v>21</v>
      </c>
      <c r="M2912">
        <v>0</v>
      </c>
    </row>
    <row r="2913" spans="1:13" x14ac:dyDescent="0.25">
      <c r="A2913" t="s">
        <v>1649</v>
      </c>
      <c r="B2913" t="s">
        <v>18</v>
      </c>
      <c r="C2913" t="s">
        <v>14</v>
      </c>
      <c r="D2913" t="s">
        <v>15</v>
      </c>
      <c r="E2913">
        <v>3700</v>
      </c>
      <c r="F2913">
        <v>0.5</v>
      </c>
      <c r="G2913">
        <v>12900</v>
      </c>
      <c r="H2913" s="1">
        <v>44869</v>
      </c>
      <c r="I2913">
        <v>2022</v>
      </c>
      <c r="J2913">
        <v>11</v>
      </c>
      <c r="K2913" t="s">
        <v>26</v>
      </c>
      <c r="L2913">
        <v>0</v>
      </c>
      <c r="M2913">
        <v>1</v>
      </c>
    </row>
    <row r="2914" spans="1:13" x14ac:dyDescent="0.25">
      <c r="A2914" t="s">
        <v>1005</v>
      </c>
      <c r="B2914" t="s">
        <v>24</v>
      </c>
      <c r="C2914" t="s">
        <v>48</v>
      </c>
      <c r="D2914" t="s">
        <v>22</v>
      </c>
      <c r="E2914">
        <v>350</v>
      </c>
      <c r="F2914" t="s">
        <v>21</v>
      </c>
      <c r="G2914">
        <v>1500</v>
      </c>
      <c r="H2914" s="1">
        <v>44869</v>
      </c>
      <c r="I2914">
        <v>2022</v>
      </c>
      <c r="J2914">
        <v>11</v>
      </c>
      <c r="K2914" t="s">
        <v>26</v>
      </c>
      <c r="L2914" t="s">
        <v>21</v>
      </c>
      <c r="M2914">
        <v>1</v>
      </c>
    </row>
    <row r="2915" spans="1:13" x14ac:dyDescent="0.25">
      <c r="A2915" t="s">
        <v>2136</v>
      </c>
      <c r="B2915" t="s">
        <v>13</v>
      </c>
      <c r="C2915" t="s">
        <v>83</v>
      </c>
      <c r="D2915" t="s">
        <v>20</v>
      </c>
      <c r="E2915">
        <v>200</v>
      </c>
      <c r="F2915">
        <v>1</v>
      </c>
      <c r="G2915">
        <v>5</v>
      </c>
      <c r="H2915" s="1">
        <v>44869</v>
      </c>
      <c r="I2915">
        <v>2022</v>
      </c>
      <c r="J2915">
        <v>11</v>
      </c>
      <c r="K2915" t="s">
        <v>16</v>
      </c>
      <c r="L2915">
        <v>1</v>
      </c>
      <c r="M2915">
        <v>1</v>
      </c>
    </row>
    <row r="2916" spans="1:13" x14ac:dyDescent="0.25">
      <c r="A2916" t="s">
        <v>2137</v>
      </c>
      <c r="B2916" t="s">
        <v>77</v>
      </c>
      <c r="C2916" t="s">
        <v>25</v>
      </c>
      <c r="D2916" t="s">
        <v>22</v>
      </c>
      <c r="E2916">
        <v>70</v>
      </c>
      <c r="F2916">
        <v>0.08</v>
      </c>
      <c r="G2916">
        <v>180</v>
      </c>
      <c r="H2916" s="1">
        <v>44869</v>
      </c>
      <c r="I2916">
        <v>2022</v>
      </c>
      <c r="J2916">
        <v>11</v>
      </c>
      <c r="K2916" t="s">
        <v>36</v>
      </c>
      <c r="L2916">
        <v>0</v>
      </c>
      <c r="M2916">
        <v>1</v>
      </c>
    </row>
    <row r="2917" spans="1:13" x14ac:dyDescent="0.25">
      <c r="A2917" t="s">
        <v>2138</v>
      </c>
      <c r="B2917" t="s">
        <v>52</v>
      </c>
      <c r="C2917" t="s">
        <v>14</v>
      </c>
      <c r="D2917" t="s">
        <v>22</v>
      </c>
      <c r="E2917">
        <v>59</v>
      </c>
      <c r="F2917">
        <v>0.22</v>
      </c>
      <c r="G2917">
        <v>60</v>
      </c>
      <c r="H2917" s="1">
        <v>44869</v>
      </c>
      <c r="I2917">
        <v>2022</v>
      </c>
      <c r="J2917">
        <v>11</v>
      </c>
      <c r="K2917" t="s">
        <v>30</v>
      </c>
      <c r="L2917">
        <v>0</v>
      </c>
      <c r="M2917">
        <v>1</v>
      </c>
    </row>
    <row r="2918" spans="1:13" x14ac:dyDescent="0.25">
      <c r="A2918" t="s">
        <v>2139</v>
      </c>
      <c r="B2918" t="s">
        <v>24</v>
      </c>
      <c r="C2918" t="s">
        <v>14</v>
      </c>
      <c r="D2918" t="s">
        <v>68</v>
      </c>
      <c r="E2918" t="s">
        <v>21</v>
      </c>
      <c r="F2918">
        <v>0.14000000000000001</v>
      </c>
      <c r="G2918">
        <v>380</v>
      </c>
      <c r="H2918" s="1">
        <v>44869</v>
      </c>
      <c r="I2918">
        <v>2022</v>
      </c>
      <c r="J2918">
        <v>11</v>
      </c>
      <c r="K2918" t="s">
        <v>36</v>
      </c>
      <c r="L2918">
        <v>0</v>
      </c>
      <c r="M2918">
        <v>1</v>
      </c>
    </row>
    <row r="2919" spans="1:13" x14ac:dyDescent="0.25">
      <c r="A2919" t="s">
        <v>2140</v>
      </c>
      <c r="B2919" t="s">
        <v>52</v>
      </c>
      <c r="C2919" t="s">
        <v>14</v>
      </c>
      <c r="D2919" t="s">
        <v>46</v>
      </c>
      <c r="E2919" t="s">
        <v>21</v>
      </c>
      <c r="F2919">
        <v>0.1</v>
      </c>
      <c r="G2919">
        <v>260</v>
      </c>
      <c r="H2919" s="1">
        <v>44869</v>
      </c>
      <c r="I2919">
        <v>2022</v>
      </c>
      <c r="J2919">
        <v>11</v>
      </c>
      <c r="K2919" t="s">
        <v>36</v>
      </c>
      <c r="L2919">
        <v>0</v>
      </c>
      <c r="M2919">
        <v>1</v>
      </c>
    </row>
    <row r="2920" spans="1:13" x14ac:dyDescent="0.25">
      <c r="A2920" t="s">
        <v>517</v>
      </c>
      <c r="B2920" t="s">
        <v>77</v>
      </c>
      <c r="C2920" t="s">
        <v>14</v>
      </c>
      <c r="D2920" t="s">
        <v>347</v>
      </c>
      <c r="E2920">
        <v>1000</v>
      </c>
      <c r="F2920">
        <v>0.14000000000000001</v>
      </c>
      <c r="G2920">
        <v>2300</v>
      </c>
      <c r="H2920" s="1">
        <v>44868</v>
      </c>
      <c r="I2920">
        <v>2022</v>
      </c>
      <c r="J2920">
        <v>11</v>
      </c>
      <c r="K2920" t="s">
        <v>26</v>
      </c>
      <c r="L2920">
        <v>0</v>
      </c>
      <c r="M2920">
        <v>1</v>
      </c>
    </row>
    <row r="2921" spans="1:13" x14ac:dyDescent="0.25">
      <c r="A2921" t="s">
        <v>651</v>
      </c>
      <c r="B2921" t="s">
        <v>66</v>
      </c>
      <c r="C2921" t="s">
        <v>14</v>
      </c>
      <c r="D2921" t="s">
        <v>15</v>
      </c>
      <c r="E2921">
        <v>700</v>
      </c>
      <c r="F2921">
        <v>0.13</v>
      </c>
      <c r="G2921">
        <v>4900</v>
      </c>
      <c r="H2921" s="1">
        <v>44868</v>
      </c>
      <c r="I2921">
        <v>2022</v>
      </c>
      <c r="J2921">
        <v>11</v>
      </c>
      <c r="K2921" t="s">
        <v>26</v>
      </c>
      <c r="L2921">
        <v>0</v>
      </c>
      <c r="M2921">
        <v>1</v>
      </c>
    </row>
    <row r="2922" spans="1:13" x14ac:dyDescent="0.25">
      <c r="A2922" t="s">
        <v>1565</v>
      </c>
      <c r="B2922" t="s">
        <v>77</v>
      </c>
      <c r="C2922" t="s">
        <v>14</v>
      </c>
      <c r="D2922" t="s">
        <v>15</v>
      </c>
      <c r="E2922">
        <v>200</v>
      </c>
      <c r="F2922" t="s">
        <v>21</v>
      </c>
      <c r="G2922" t="s">
        <v>21</v>
      </c>
      <c r="H2922" s="1">
        <v>44868</v>
      </c>
      <c r="I2922">
        <v>2022</v>
      </c>
      <c r="J2922">
        <v>11</v>
      </c>
      <c r="K2922" t="s">
        <v>22</v>
      </c>
      <c r="L2922" t="s">
        <v>21</v>
      </c>
      <c r="M2922">
        <v>1</v>
      </c>
    </row>
    <row r="2923" spans="1:13" x14ac:dyDescent="0.25">
      <c r="A2923" t="s">
        <v>86</v>
      </c>
      <c r="B2923" t="s">
        <v>77</v>
      </c>
      <c r="C2923" t="s">
        <v>87</v>
      </c>
      <c r="D2923" t="s">
        <v>46</v>
      </c>
      <c r="E2923">
        <v>150</v>
      </c>
      <c r="F2923">
        <v>0.15</v>
      </c>
      <c r="G2923">
        <v>428</v>
      </c>
      <c r="H2923" s="1">
        <v>44868</v>
      </c>
      <c r="I2923">
        <v>2022</v>
      </c>
      <c r="J2923">
        <v>11</v>
      </c>
      <c r="K2923" t="s">
        <v>36</v>
      </c>
      <c r="L2923">
        <v>0</v>
      </c>
      <c r="M2923">
        <v>1</v>
      </c>
    </row>
    <row r="2924" spans="1:13" x14ac:dyDescent="0.25">
      <c r="A2924" t="s">
        <v>692</v>
      </c>
      <c r="B2924" t="s">
        <v>95</v>
      </c>
      <c r="C2924" t="s">
        <v>83</v>
      </c>
      <c r="D2924" t="s">
        <v>15</v>
      </c>
      <c r="E2924">
        <v>100</v>
      </c>
      <c r="F2924" t="s">
        <v>21</v>
      </c>
      <c r="G2924">
        <v>8300</v>
      </c>
      <c r="H2924" s="1">
        <v>44868</v>
      </c>
      <c r="I2924">
        <v>2022</v>
      </c>
      <c r="J2924">
        <v>11</v>
      </c>
      <c r="K2924" t="s">
        <v>26</v>
      </c>
      <c r="L2924" t="s">
        <v>21</v>
      </c>
      <c r="M2924">
        <v>1</v>
      </c>
    </row>
    <row r="2925" spans="1:13" x14ac:dyDescent="0.25">
      <c r="A2925" t="s">
        <v>2141</v>
      </c>
      <c r="B2925" t="s">
        <v>117</v>
      </c>
      <c r="C2925" t="s">
        <v>14</v>
      </c>
      <c r="D2925" t="s">
        <v>111</v>
      </c>
      <c r="E2925">
        <v>60</v>
      </c>
      <c r="F2925">
        <v>0.2</v>
      </c>
      <c r="G2925">
        <v>154</v>
      </c>
      <c r="H2925" s="1">
        <v>44868</v>
      </c>
      <c r="I2925">
        <v>2022</v>
      </c>
      <c r="J2925">
        <v>11</v>
      </c>
      <c r="K2925" t="s">
        <v>36</v>
      </c>
      <c r="L2925">
        <v>0</v>
      </c>
      <c r="M2925">
        <v>1</v>
      </c>
    </row>
    <row r="2926" spans="1:13" x14ac:dyDescent="0.25">
      <c r="A2926" t="s">
        <v>866</v>
      </c>
      <c r="B2926" t="s">
        <v>77</v>
      </c>
      <c r="C2926" t="s">
        <v>14</v>
      </c>
      <c r="D2926" t="s">
        <v>15</v>
      </c>
      <c r="E2926" t="s">
        <v>21</v>
      </c>
      <c r="F2926">
        <v>0.01</v>
      </c>
      <c r="G2926">
        <v>1500</v>
      </c>
      <c r="H2926" s="1">
        <v>44868</v>
      </c>
      <c r="I2926">
        <v>2022</v>
      </c>
      <c r="J2926">
        <v>11</v>
      </c>
      <c r="K2926" t="s">
        <v>26</v>
      </c>
      <c r="L2926">
        <v>0</v>
      </c>
      <c r="M2926">
        <v>1</v>
      </c>
    </row>
    <row r="2927" spans="1:13" x14ac:dyDescent="0.25">
      <c r="A2927" t="s">
        <v>1072</v>
      </c>
      <c r="B2927" t="s">
        <v>91</v>
      </c>
      <c r="C2927" t="s">
        <v>14</v>
      </c>
      <c r="D2927" t="s">
        <v>22</v>
      </c>
      <c r="E2927" t="s">
        <v>21</v>
      </c>
      <c r="F2927" t="s">
        <v>21</v>
      </c>
      <c r="G2927">
        <v>1300</v>
      </c>
      <c r="H2927" s="1">
        <v>44868</v>
      </c>
      <c r="I2927">
        <v>2022</v>
      </c>
      <c r="J2927">
        <v>11</v>
      </c>
      <c r="K2927" t="s">
        <v>26</v>
      </c>
      <c r="L2927" t="s">
        <v>21</v>
      </c>
      <c r="M2927">
        <v>0</v>
      </c>
    </row>
    <row r="2928" spans="1:13" x14ac:dyDescent="0.25">
      <c r="A2928" t="s">
        <v>473</v>
      </c>
      <c r="B2928" t="s">
        <v>54</v>
      </c>
      <c r="C2928" t="s">
        <v>14</v>
      </c>
      <c r="D2928" t="s">
        <v>15</v>
      </c>
      <c r="E2928" t="s">
        <v>21</v>
      </c>
      <c r="F2928">
        <v>0.1</v>
      </c>
      <c r="G2928">
        <v>16</v>
      </c>
      <c r="H2928" s="1">
        <v>44868</v>
      </c>
      <c r="I2928">
        <v>2022</v>
      </c>
      <c r="J2928">
        <v>11</v>
      </c>
      <c r="K2928" t="s">
        <v>30</v>
      </c>
      <c r="L2928">
        <v>0</v>
      </c>
      <c r="M2928">
        <v>1</v>
      </c>
    </row>
    <row r="2929" spans="1:13" x14ac:dyDescent="0.25">
      <c r="A2929" t="s">
        <v>2142</v>
      </c>
      <c r="B2929" t="s">
        <v>95</v>
      </c>
      <c r="C2929" t="s">
        <v>14</v>
      </c>
      <c r="D2929" t="s">
        <v>46</v>
      </c>
      <c r="E2929" t="s">
        <v>21</v>
      </c>
      <c r="F2929" t="s">
        <v>21</v>
      </c>
      <c r="G2929">
        <v>150</v>
      </c>
      <c r="H2929" s="1">
        <v>44868</v>
      </c>
      <c r="I2929">
        <v>2022</v>
      </c>
      <c r="J2929">
        <v>11</v>
      </c>
      <c r="K2929" t="s">
        <v>36</v>
      </c>
      <c r="L2929" t="s">
        <v>21</v>
      </c>
      <c r="M2929">
        <v>0</v>
      </c>
    </row>
    <row r="2930" spans="1:13" x14ac:dyDescent="0.25">
      <c r="A2930" t="s">
        <v>2143</v>
      </c>
      <c r="B2930" t="s">
        <v>35</v>
      </c>
      <c r="C2930" t="s">
        <v>14</v>
      </c>
      <c r="D2930" t="s">
        <v>15</v>
      </c>
      <c r="E2930" t="s">
        <v>21</v>
      </c>
      <c r="F2930">
        <v>0.82</v>
      </c>
      <c r="G2930">
        <v>445</v>
      </c>
      <c r="H2930" s="1">
        <v>44868</v>
      </c>
      <c r="I2930">
        <v>2022</v>
      </c>
      <c r="J2930">
        <v>11</v>
      </c>
      <c r="K2930" t="s">
        <v>36</v>
      </c>
      <c r="L2930">
        <v>0</v>
      </c>
      <c r="M2930">
        <v>1</v>
      </c>
    </row>
    <row r="2931" spans="1:13" x14ac:dyDescent="0.25">
      <c r="A2931" t="s">
        <v>2144</v>
      </c>
      <c r="B2931" t="s">
        <v>91</v>
      </c>
      <c r="C2931" t="s">
        <v>14</v>
      </c>
      <c r="D2931" t="s">
        <v>55</v>
      </c>
      <c r="E2931" t="s">
        <v>21</v>
      </c>
      <c r="F2931">
        <v>0.15</v>
      </c>
      <c r="G2931">
        <v>253</v>
      </c>
      <c r="H2931" s="1">
        <v>44868</v>
      </c>
      <c r="I2931">
        <v>2022</v>
      </c>
      <c r="J2931">
        <v>11</v>
      </c>
      <c r="K2931" t="s">
        <v>36</v>
      </c>
      <c r="L2931">
        <v>0</v>
      </c>
      <c r="M2931">
        <v>1</v>
      </c>
    </row>
    <row r="2932" spans="1:13" x14ac:dyDescent="0.25">
      <c r="A2932" t="s">
        <v>2145</v>
      </c>
      <c r="B2932" t="s">
        <v>106</v>
      </c>
      <c r="C2932" t="s">
        <v>14</v>
      </c>
      <c r="D2932" t="s">
        <v>33</v>
      </c>
      <c r="E2932" t="s">
        <v>21</v>
      </c>
      <c r="F2932" t="s">
        <v>21</v>
      </c>
      <c r="G2932">
        <v>50</v>
      </c>
      <c r="H2932" s="1">
        <v>44868</v>
      </c>
      <c r="I2932">
        <v>2022</v>
      </c>
      <c r="J2932">
        <v>11</v>
      </c>
      <c r="K2932" t="s">
        <v>30</v>
      </c>
      <c r="L2932" t="s">
        <v>21</v>
      </c>
      <c r="M2932">
        <v>0</v>
      </c>
    </row>
    <row r="2933" spans="1:13" x14ac:dyDescent="0.25">
      <c r="A2933" t="s">
        <v>90</v>
      </c>
      <c r="B2933" t="s">
        <v>91</v>
      </c>
      <c r="C2933" t="s">
        <v>14</v>
      </c>
      <c r="D2933" t="s">
        <v>15</v>
      </c>
      <c r="E2933">
        <v>550</v>
      </c>
      <c r="F2933">
        <v>0.18</v>
      </c>
      <c r="G2933">
        <v>1900</v>
      </c>
      <c r="H2933" s="1">
        <v>44867</v>
      </c>
      <c r="I2933">
        <v>2022</v>
      </c>
      <c r="J2933">
        <v>11</v>
      </c>
      <c r="K2933" t="s">
        <v>26</v>
      </c>
      <c r="L2933">
        <v>0</v>
      </c>
      <c r="M2933">
        <v>1</v>
      </c>
    </row>
    <row r="2934" spans="1:13" x14ac:dyDescent="0.25">
      <c r="A2934" t="s">
        <v>2146</v>
      </c>
      <c r="B2934" t="s">
        <v>77</v>
      </c>
      <c r="C2934" t="s">
        <v>14</v>
      </c>
      <c r="D2934" t="s">
        <v>194</v>
      </c>
      <c r="E2934">
        <v>156</v>
      </c>
      <c r="F2934">
        <v>0.12</v>
      </c>
      <c r="G2934">
        <v>2300</v>
      </c>
      <c r="H2934" s="1">
        <v>44867</v>
      </c>
      <c r="I2934">
        <v>2022</v>
      </c>
      <c r="J2934">
        <v>11</v>
      </c>
      <c r="K2934" t="s">
        <v>26</v>
      </c>
      <c r="L2934">
        <v>0</v>
      </c>
      <c r="M2934">
        <v>1</v>
      </c>
    </row>
    <row r="2935" spans="1:13" x14ac:dyDescent="0.25">
      <c r="A2935" t="s">
        <v>1173</v>
      </c>
      <c r="B2935" t="s">
        <v>77</v>
      </c>
      <c r="C2935" t="s">
        <v>14</v>
      </c>
      <c r="D2935" t="s">
        <v>347</v>
      </c>
      <c r="E2935">
        <v>142</v>
      </c>
      <c r="F2935">
        <v>0.1</v>
      </c>
      <c r="G2935">
        <v>468</v>
      </c>
      <c r="H2935" s="1">
        <v>44867</v>
      </c>
      <c r="I2935">
        <v>2022</v>
      </c>
      <c r="J2935">
        <v>11</v>
      </c>
      <c r="K2935" t="s">
        <v>36</v>
      </c>
      <c r="L2935">
        <v>0</v>
      </c>
      <c r="M2935">
        <v>1</v>
      </c>
    </row>
    <row r="2936" spans="1:13" x14ac:dyDescent="0.25">
      <c r="A2936" t="s">
        <v>1324</v>
      </c>
      <c r="B2936" t="s">
        <v>52</v>
      </c>
      <c r="C2936" t="s">
        <v>174</v>
      </c>
      <c r="D2936" t="s">
        <v>55</v>
      </c>
      <c r="E2936">
        <v>134</v>
      </c>
      <c r="F2936">
        <v>0.22</v>
      </c>
      <c r="G2936">
        <v>607</v>
      </c>
      <c r="H2936" s="1">
        <v>44867</v>
      </c>
      <c r="I2936">
        <v>2022</v>
      </c>
      <c r="J2936">
        <v>11</v>
      </c>
      <c r="K2936" t="s">
        <v>36</v>
      </c>
      <c r="L2936">
        <v>0</v>
      </c>
      <c r="M2936">
        <v>1</v>
      </c>
    </row>
    <row r="2937" spans="1:13" x14ac:dyDescent="0.25">
      <c r="A2937" t="s">
        <v>2147</v>
      </c>
      <c r="B2937" t="s">
        <v>28</v>
      </c>
      <c r="C2937" t="s">
        <v>29</v>
      </c>
      <c r="D2937" t="s">
        <v>46</v>
      </c>
      <c r="E2937">
        <v>100</v>
      </c>
      <c r="F2937">
        <v>0.1</v>
      </c>
      <c r="G2937">
        <v>92</v>
      </c>
      <c r="H2937" s="1">
        <v>44867</v>
      </c>
      <c r="I2937">
        <v>2022</v>
      </c>
      <c r="J2937">
        <v>11</v>
      </c>
      <c r="K2937" t="s">
        <v>30</v>
      </c>
      <c r="L2937">
        <v>0</v>
      </c>
      <c r="M2937">
        <v>1</v>
      </c>
    </row>
    <row r="2938" spans="1:13" x14ac:dyDescent="0.25">
      <c r="A2938" t="s">
        <v>2148</v>
      </c>
      <c r="B2938" t="s">
        <v>77</v>
      </c>
      <c r="C2938" t="s">
        <v>83</v>
      </c>
      <c r="D2938" t="s">
        <v>22</v>
      </c>
      <c r="E2938">
        <v>100</v>
      </c>
      <c r="F2938">
        <v>0.15</v>
      </c>
      <c r="G2938">
        <v>188</v>
      </c>
      <c r="H2938" s="1">
        <v>44867</v>
      </c>
      <c r="I2938">
        <v>2022</v>
      </c>
      <c r="J2938">
        <v>11</v>
      </c>
      <c r="K2938" t="s">
        <v>36</v>
      </c>
      <c r="L2938">
        <v>0</v>
      </c>
      <c r="M2938">
        <v>1</v>
      </c>
    </row>
    <row r="2939" spans="1:13" x14ac:dyDescent="0.25">
      <c r="A2939" t="s">
        <v>2149</v>
      </c>
      <c r="B2939" t="s">
        <v>95</v>
      </c>
      <c r="C2939" t="s">
        <v>14</v>
      </c>
      <c r="D2939" t="s">
        <v>46</v>
      </c>
      <c r="E2939">
        <v>50</v>
      </c>
      <c r="F2939">
        <v>0.5</v>
      </c>
      <c r="G2939">
        <v>103</v>
      </c>
      <c r="H2939" s="1">
        <v>44867</v>
      </c>
      <c r="I2939">
        <v>2022</v>
      </c>
      <c r="J2939">
        <v>11</v>
      </c>
      <c r="K2939" t="s">
        <v>36</v>
      </c>
      <c r="L2939">
        <v>0</v>
      </c>
      <c r="M2939">
        <v>1</v>
      </c>
    </row>
    <row r="2940" spans="1:13" x14ac:dyDescent="0.25">
      <c r="A2940" t="s">
        <v>2150</v>
      </c>
      <c r="B2940" t="s">
        <v>52</v>
      </c>
      <c r="C2940" t="s">
        <v>14</v>
      </c>
      <c r="D2940" t="s">
        <v>22</v>
      </c>
      <c r="E2940">
        <v>10</v>
      </c>
      <c r="F2940">
        <v>0.13</v>
      </c>
      <c r="G2940" t="s">
        <v>21</v>
      </c>
      <c r="H2940" s="1">
        <v>44867</v>
      </c>
      <c r="I2940">
        <v>2022</v>
      </c>
      <c r="J2940">
        <v>11</v>
      </c>
      <c r="K2940" t="s">
        <v>22</v>
      </c>
      <c r="L2940">
        <v>0</v>
      </c>
      <c r="M2940">
        <v>1</v>
      </c>
    </row>
    <row r="2941" spans="1:13" x14ac:dyDescent="0.25">
      <c r="A2941" t="s">
        <v>2151</v>
      </c>
      <c r="B2941" t="s">
        <v>52</v>
      </c>
      <c r="C2941" t="s">
        <v>1926</v>
      </c>
      <c r="D2941" t="s">
        <v>49</v>
      </c>
      <c r="E2941" t="s">
        <v>21</v>
      </c>
      <c r="F2941">
        <v>0.3</v>
      </c>
      <c r="G2941" t="s">
        <v>21</v>
      </c>
      <c r="H2941" s="1">
        <v>44867</v>
      </c>
      <c r="I2941">
        <v>2022</v>
      </c>
      <c r="J2941">
        <v>11</v>
      </c>
      <c r="K2941" t="s">
        <v>22</v>
      </c>
      <c r="L2941">
        <v>0</v>
      </c>
      <c r="M2941">
        <v>1</v>
      </c>
    </row>
    <row r="2942" spans="1:13" x14ac:dyDescent="0.25">
      <c r="A2942" t="s">
        <v>2152</v>
      </c>
      <c r="B2942" t="s">
        <v>28</v>
      </c>
      <c r="C2942" t="s">
        <v>137</v>
      </c>
      <c r="D2942" t="s">
        <v>20</v>
      </c>
      <c r="E2942" t="s">
        <v>21</v>
      </c>
      <c r="F2942" t="s">
        <v>21</v>
      </c>
      <c r="G2942">
        <v>8</v>
      </c>
      <c r="H2942" s="1">
        <v>44867</v>
      </c>
      <c r="I2942">
        <v>2022</v>
      </c>
      <c r="J2942">
        <v>11</v>
      </c>
      <c r="K2942" t="s">
        <v>16</v>
      </c>
      <c r="L2942" t="s">
        <v>21</v>
      </c>
      <c r="M2942">
        <v>0</v>
      </c>
    </row>
    <row r="2943" spans="1:13" x14ac:dyDescent="0.25">
      <c r="A2943" t="s">
        <v>2153</v>
      </c>
      <c r="B2943" t="s">
        <v>66</v>
      </c>
      <c r="C2943" t="s">
        <v>14</v>
      </c>
      <c r="D2943" t="s">
        <v>22</v>
      </c>
      <c r="E2943">
        <v>259</v>
      </c>
      <c r="F2943" t="s">
        <v>21</v>
      </c>
      <c r="G2943">
        <v>3600</v>
      </c>
      <c r="H2943" s="1">
        <v>44866</v>
      </c>
      <c r="I2943">
        <v>2022</v>
      </c>
      <c r="J2943">
        <v>11</v>
      </c>
      <c r="K2943" t="s">
        <v>26</v>
      </c>
      <c r="L2943" t="s">
        <v>21</v>
      </c>
      <c r="M2943">
        <v>1</v>
      </c>
    </row>
    <row r="2944" spans="1:13" x14ac:dyDescent="0.25">
      <c r="A2944" t="s">
        <v>581</v>
      </c>
      <c r="B2944" t="s">
        <v>73</v>
      </c>
      <c r="C2944" t="s">
        <v>14</v>
      </c>
      <c r="D2944" t="s">
        <v>20</v>
      </c>
      <c r="E2944">
        <v>226</v>
      </c>
      <c r="F2944" t="s">
        <v>21</v>
      </c>
      <c r="G2944" t="s">
        <v>21</v>
      </c>
      <c r="H2944" s="1">
        <v>44866</v>
      </c>
      <c r="I2944">
        <v>2022</v>
      </c>
      <c r="J2944">
        <v>11</v>
      </c>
      <c r="K2944" t="s">
        <v>22</v>
      </c>
      <c r="L2944" t="s">
        <v>21</v>
      </c>
      <c r="M2944">
        <v>1</v>
      </c>
    </row>
    <row r="2945" spans="1:13" x14ac:dyDescent="0.25">
      <c r="A2945" t="s">
        <v>60</v>
      </c>
      <c r="B2945" t="s">
        <v>13</v>
      </c>
      <c r="C2945" t="s">
        <v>14</v>
      </c>
      <c r="D2945" t="s">
        <v>15</v>
      </c>
      <c r="E2945">
        <v>200</v>
      </c>
      <c r="F2945" t="s">
        <v>21</v>
      </c>
      <c r="G2945" t="s">
        <v>21</v>
      </c>
      <c r="H2945" s="1">
        <v>44866</v>
      </c>
      <c r="I2945">
        <v>2022</v>
      </c>
      <c r="J2945">
        <v>11</v>
      </c>
      <c r="K2945" t="s">
        <v>22</v>
      </c>
      <c r="L2945" t="s">
        <v>21</v>
      </c>
      <c r="M2945">
        <v>1</v>
      </c>
    </row>
    <row r="2946" spans="1:13" x14ac:dyDescent="0.25">
      <c r="A2946" t="s">
        <v>1751</v>
      </c>
      <c r="B2946" t="s">
        <v>77</v>
      </c>
      <c r="C2946" t="s">
        <v>14</v>
      </c>
      <c r="D2946" t="s">
        <v>15</v>
      </c>
      <c r="E2946">
        <v>140</v>
      </c>
      <c r="F2946">
        <v>7.0000000000000007E-2</v>
      </c>
      <c r="G2946">
        <v>144</v>
      </c>
      <c r="H2946" s="1">
        <v>44866</v>
      </c>
      <c r="I2946">
        <v>2022</v>
      </c>
      <c r="J2946">
        <v>11</v>
      </c>
      <c r="K2946" t="s">
        <v>36</v>
      </c>
      <c r="L2946">
        <v>0</v>
      </c>
      <c r="M2946">
        <v>1</v>
      </c>
    </row>
    <row r="2947" spans="1:13" x14ac:dyDescent="0.25">
      <c r="A2947" t="s">
        <v>1267</v>
      </c>
      <c r="B2947" t="s">
        <v>45</v>
      </c>
      <c r="C2947" t="s">
        <v>14</v>
      </c>
      <c r="D2947" t="s">
        <v>46</v>
      </c>
      <c r="E2947">
        <v>100</v>
      </c>
      <c r="F2947">
        <v>0.33</v>
      </c>
      <c r="G2947">
        <v>148</v>
      </c>
      <c r="H2947" s="1">
        <v>44866</v>
      </c>
      <c r="I2947">
        <v>2022</v>
      </c>
      <c r="J2947">
        <v>11</v>
      </c>
      <c r="K2947" t="s">
        <v>36</v>
      </c>
      <c r="L2947">
        <v>0</v>
      </c>
      <c r="M2947">
        <v>1</v>
      </c>
    </row>
    <row r="2948" spans="1:13" x14ac:dyDescent="0.25">
      <c r="A2948" t="s">
        <v>745</v>
      </c>
      <c r="B2948" t="s">
        <v>95</v>
      </c>
      <c r="C2948" t="s">
        <v>161</v>
      </c>
      <c r="D2948" t="s">
        <v>22</v>
      </c>
      <c r="E2948">
        <v>70</v>
      </c>
      <c r="F2948">
        <v>0.18</v>
      </c>
      <c r="G2948">
        <v>377</v>
      </c>
      <c r="H2948" s="1">
        <v>44866</v>
      </c>
      <c r="I2948">
        <v>2022</v>
      </c>
      <c r="J2948">
        <v>11</v>
      </c>
      <c r="K2948" t="s">
        <v>36</v>
      </c>
      <c r="L2948">
        <v>0</v>
      </c>
      <c r="M2948">
        <v>1</v>
      </c>
    </row>
    <row r="2949" spans="1:13" x14ac:dyDescent="0.25">
      <c r="A2949" t="s">
        <v>745</v>
      </c>
      <c r="B2949" t="s">
        <v>95</v>
      </c>
      <c r="C2949" t="s">
        <v>137</v>
      </c>
      <c r="D2949" t="s">
        <v>22</v>
      </c>
      <c r="E2949">
        <v>70</v>
      </c>
      <c r="F2949">
        <v>0.18</v>
      </c>
      <c r="G2949">
        <v>477</v>
      </c>
      <c r="H2949" s="1">
        <v>44866</v>
      </c>
      <c r="I2949">
        <v>2022</v>
      </c>
      <c r="J2949">
        <v>11</v>
      </c>
      <c r="K2949" t="s">
        <v>36</v>
      </c>
      <c r="L2949">
        <v>0</v>
      </c>
      <c r="M2949">
        <v>1</v>
      </c>
    </row>
    <row r="2950" spans="1:13" x14ac:dyDescent="0.25">
      <c r="A2950" t="s">
        <v>745</v>
      </c>
      <c r="B2950" t="s">
        <v>95</v>
      </c>
      <c r="C2950" t="s">
        <v>137</v>
      </c>
      <c r="D2950" t="s">
        <v>22</v>
      </c>
      <c r="E2950">
        <v>70</v>
      </c>
      <c r="F2950">
        <v>0.06</v>
      </c>
      <c r="G2950">
        <v>479</v>
      </c>
      <c r="H2950" s="1">
        <v>44866</v>
      </c>
      <c r="I2950">
        <v>2022</v>
      </c>
      <c r="J2950">
        <v>11</v>
      </c>
      <c r="K2950" t="s">
        <v>36</v>
      </c>
      <c r="L2950">
        <v>0</v>
      </c>
      <c r="M2950">
        <v>1</v>
      </c>
    </row>
    <row r="2951" spans="1:13" x14ac:dyDescent="0.25">
      <c r="A2951" t="s">
        <v>340</v>
      </c>
      <c r="B2951" t="s">
        <v>54</v>
      </c>
      <c r="C2951" t="s">
        <v>174</v>
      </c>
      <c r="D2951" t="s">
        <v>46</v>
      </c>
      <c r="E2951">
        <v>50</v>
      </c>
      <c r="F2951">
        <v>0.05</v>
      </c>
      <c r="G2951">
        <v>300</v>
      </c>
      <c r="H2951" s="1">
        <v>44866</v>
      </c>
      <c r="I2951">
        <v>2022</v>
      </c>
      <c r="J2951">
        <v>11</v>
      </c>
      <c r="K2951" t="s">
        <v>36</v>
      </c>
      <c r="L2951">
        <v>0</v>
      </c>
      <c r="M2951">
        <v>1</v>
      </c>
    </row>
    <row r="2952" spans="1:13" x14ac:dyDescent="0.25">
      <c r="A2952" t="s">
        <v>2154</v>
      </c>
      <c r="B2952" t="s">
        <v>54</v>
      </c>
      <c r="C2952" t="s">
        <v>174</v>
      </c>
      <c r="D2952" t="s">
        <v>33</v>
      </c>
      <c r="E2952">
        <v>24</v>
      </c>
      <c r="F2952" t="s">
        <v>21</v>
      </c>
      <c r="G2952">
        <v>56</v>
      </c>
      <c r="H2952" s="1">
        <v>44866</v>
      </c>
      <c r="I2952">
        <v>2022</v>
      </c>
      <c r="J2952">
        <v>11</v>
      </c>
      <c r="K2952" t="s">
        <v>30</v>
      </c>
      <c r="L2952" t="s">
        <v>21</v>
      </c>
      <c r="M2952">
        <v>1</v>
      </c>
    </row>
    <row r="2953" spans="1:13" x14ac:dyDescent="0.25">
      <c r="A2953" t="s">
        <v>2155</v>
      </c>
      <c r="B2953" t="s">
        <v>18</v>
      </c>
      <c r="C2953" t="s">
        <v>230</v>
      </c>
      <c r="D2953" t="s">
        <v>22</v>
      </c>
      <c r="E2953">
        <v>10</v>
      </c>
      <c r="F2953" t="s">
        <v>21</v>
      </c>
      <c r="G2953" t="s">
        <v>21</v>
      </c>
      <c r="H2953" s="1">
        <v>44866</v>
      </c>
      <c r="I2953">
        <v>2022</v>
      </c>
      <c r="J2953">
        <v>11</v>
      </c>
      <c r="K2953" t="s">
        <v>22</v>
      </c>
      <c r="L2953" t="s">
        <v>21</v>
      </c>
      <c r="M2953">
        <v>1</v>
      </c>
    </row>
    <row r="2954" spans="1:13" x14ac:dyDescent="0.25">
      <c r="A2954" t="s">
        <v>1491</v>
      </c>
      <c r="B2954" t="s">
        <v>35</v>
      </c>
      <c r="C2954" t="s">
        <v>14</v>
      </c>
      <c r="D2954" t="s">
        <v>46</v>
      </c>
      <c r="E2954" t="s">
        <v>21</v>
      </c>
      <c r="F2954">
        <v>0.2</v>
      </c>
      <c r="G2954">
        <v>212</v>
      </c>
      <c r="H2954" s="1">
        <v>44866</v>
      </c>
      <c r="I2954">
        <v>2022</v>
      </c>
      <c r="J2954">
        <v>11</v>
      </c>
      <c r="K2954" t="s">
        <v>36</v>
      </c>
      <c r="L2954">
        <v>0</v>
      </c>
      <c r="M2954">
        <v>1</v>
      </c>
    </row>
    <row r="2955" spans="1:13" x14ac:dyDescent="0.25">
      <c r="A2955" t="s">
        <v>2156</v>
      </c>
      <c r="B2955" t="s">
        <v>89</v>
      </c>
      <c r="C2955" t="s">
        <v>14</v>
      </c>
      <c r="D2955" t="s">
        <v>33</v>
      </c>
      <c r="E2955" t="s">
        <v>21</v>
      </c>
      <c r="F2955" t="s">
        <v>21</v>
      </c>
      <c r="G2955">
        <v>28</v>
      </c>
      <c r="H2955" s="1">
        <v>44866</v>
      </c>
      <c r="I2955">
        <v>2022</v>
      </c>
      <c r="J2955">
        <v>11</v>
      </c>
      <c r="K2955" t="s">
        <v>30</v>
      </c>
      <c r="L2955" t="s">
        <v>21</v>
      </c>
      <c r="M2955">
        <v>0</v>
      </c>
    </row>
    <row r="2956" spans="1:13" x14ac:dyDescent="0.25">
      <c r="A2956" t="s">
        <v>2157</v>
      </c>
      <c r="B2956" t="s">
        <v>35</v>
      </c>
      <c r="C2956" t="s">
        <v>161</v>
      </c>
      <c r="D2956" t="s">
        <v>55</v>
      </c>
      <c r="E2956">
        <v>300</v>
      </c>
      <c r="F2956">
        <v>0.1</v>
      </c>
      <c r="G2956">
        <v>568</v>
      </c>
      <c r="H2956" s="1">
        <v>44865</v>
      </c>
      <c r="I2956">
        <v>2022</v>
      </c>
      <c r="J2956">
        <v>10</v>
      </c>
      <c r="K2956" t="s">
        <v>36</v>
      </c>
      <c r="L2956">
        <v>0</v>
      </c>
      <c r="M2956">
        <v>1</v>
      </c>
    </row>
    <row r="2957" spans="1:13" x14ac:dyDescent="0.25">
      <c r="A2957" t="s">
        <v>2158</v>
      </c>
      <c r="B2957" t="s">
        <v>342</v>
      </c>
      <c r="C2957" t="s">
        <v>14</v>
      </c>
      <c r="D2957" t="s">
        <v>55</v>
      </c>
      <c r="E2957">
        <v>60</v>
      </c>
      <c r="F2957" t="s">
        <v>21</v>
      </c>
      <c r="G2957">
        <v>213</v>
      </c>
      <c r="H2957" s="1">
        <v>44865</v>
      </c>
      <c r="I2957">
        <v>2022</v>
      </c>
      <c r="J2957">
        <v>10</v>
      </c>
      <c r="K2957" t="s">
        <v>36</v>
      </c>
      <c r="L2957" t="s">
        <v>21</v>
      </c>
      <c r="M2957">
        <v>1</v>
      </c>
    </row>
    <row r="2958" spans="1:13" x14ac:dyDescent="0.25">
      <c r="A2958" t="s">
        <v>2159</v>
      </c>
      <c r="B2958" t="s">
        <v>77</v>
      </c>
      <c r="C2958" t="s">
        <v>14</v>
      </c>
      <c r="D2958" t="s">
        <v>33</v>
      </c>
      <c r="E2958">
        <v>30</v>
      </c>
      <c r="F2958">
        <v>0.27</v>
      </c>
      <c r="G2958">
        <v>11</v>
      </c>
      <c r="H2958" s="1">
        <v>44865</v>
      </c>
      <c r="I2958">
        <v>2022</v>
      </c>
      <c r="J2958">
        <v>10</v>
      </c>
      <c r="K2958" t="s">
        <v>30</v>
      </c>
      <c r="L2958">
        <v>0</v>
      </c>
      <c r="M2958">
        <v>1</v>
      </c>
    </row>
    <row r="2959" spans="1:13" x14ac:dyDescent="0.25">
      <c r="A2959" t="s">
        <v>1715</v>
      </c>
      <c r="B2959" t="s">
        <v>77</v>
      </c>
      <c r="C2959" t="s">
        <v>14</v>
      </c>
      <c r="D2959" t="s">
        <v>33</v>
      </c>
      <c r="E2959">
        <v>25</v>
      </c>
      <c r="F2959">
        <v>0.2</v>
      </c>
      <c r="G2959">
        <v>85</v>
      </c>
      <c r="H2959" s="1">
        <v>44865</v>
      </c>
      <c r="I2959">
        <v>2022</v>
      </c>
      <c r="J2959">
        <v>10</v>
      </c>
      <c r="K2959" t="s">
        <v>30</v>
      </c>
      <c r="L2959">
        <v>0</v>
      </c>
      <c r="M2959">
        <v>1</v>
      </c>
    </row>
    <row r="2960" spans="1:13" x14ac:dyDescent="0.25">
      <c r="A2960" t="s">
        <v>1333</v>
      </c>
      <c r="B2960" t="s">
        <v>24</v>
      </c>
      <c r="C2960" t="s">
        <v>48</v>
      </c>
      <c r="D2960" t="s">
        <v>68</v>
      </c>
      <c r="E2960">
        <v>23</v>
      </c>
      <c r="F2960" t="s">
        <v>21</v>
      </c>
      <c r="G2960">
        <v>17</v>
      </c>
      <c r="H2960" s="1">
        <v>44865</v>
      </c>
      <c r="I2960">
        <v>2022</v>
      </c>
      <c r="J2960">
        <v>10</v>
      </c>
      <c r="K2960" t="s">
        <v>30</v>
      </c>
      <c r="L2960" t="s">
        <v>21</v>
      </c>
      <c r="M2960">
        <v>1</v>
      </c>
    </row>
    <row r="2961" spans="1:13" x14ac:dyDescent="0.25">
      <c r="A2961" t="s">
        <v>2160</v>
      </c>
      <c r="B2961" t="s">
        <v>106</v>
      </c>
      <c r="C2961" t="s">
        <v>48</v>
      </c>
      <c r="D2961" t="s">
        <v>33</v>
      </c>
      <c r="E2961" t="s">
        <v>21</v>
      </c>
      <c r="F2961">
        <v>0.3</v>
      </c>
      <c r="G2961">
        <v>49</v>
      </c>
      <c r="H2961" s="1">
        <v>44865</v>
      </c>
      <c r="I2961">
        <v>2022</v>
      </c>
      <c r="J2961">
        <v>10</v>
      </c>
      <c r="K2961" t="s">
        <v>30</v>
      </c>
      <c r="L2961">
        <v>0</v>
      </c>
      <c r="M2961">
        <v>1</v>
      </c>
    </row>
    <row r="2962" spans="1:13" x14ac:dyDescent="0.25">
      <c r="A2962" t="s">
        <v>240</v>
      </c>
      <c r="B2962" t="s">
        <v>24</v>
      </c>
      <c r="C2962" t="s">
        <v>14</v>
      </c>
      <c r="D2962" t="s">
        <v>15</v>
      </c>
      <c r="E2962">
        <v>150</v>
      </c>
      <c r="F2962" t="s">
        <v>21</v>
      </c>
      <c r="G2962">
        <v>108</v>
      </c>
      <c r="H2962" s="1">
        <v>44862</v>
      </c>
      <c r="I2962">
        <v>2022</v>
      </c>
      <c r="J2962">
        <v>10</v>
      </c>
      <c r="K2962" t="s">
        <v>36</v>
      </c>
      <c r="L2962" t="s">
        <v>21</v>
      </c>
      <c r="M2962">
        <v>1</v>
      </c>
    </row>
    <row r="2963" spans="1:13" x14ac:dyDescent="0.25">
      <c r="A2963" t="s">
        <v>2161</v>
      </c>
      <c r="B2963" t="s">
        <v>95</v>
      </c>
      <c r="C2963" t="s">
        <v>14</v>
      </c>
      <c r="D2963" t="s">
        <v>33</v>
      </c>
      <c r="E2963">
        <v>100</v>
      </c>
      <c r="F2963">
        <v>1</v>
      </c>
      <c r="G2963">
        <v>35</v>
      </c>
      <c r="H2963" s="1">
        <v>44862</v>
      </c>
      <c r="I2963">
        <v>2022</v>
      </c>
      <c r="J2963">
        <v>10</v>
      </c>
      <c r="K2963" t="s">
        <v>30</v>
      </c>
      <c r="L2963">
        <v>1</v>
      </c>
      <c r="M2963">
        <v>1</v>
      </c>
    </row>
    <row r="2964" spans="1:13" x14ac:dyDescent="0.25">
      <c r="A2964" t="s">
        <v>2162</v>
      </c>
      <c r="B2964" t="s">
        <v>35</v>
      </c>
      <c r="C2964" t="s">
        <v>14</v>
      </c>
      <c r="E2964">
        <v>32</v>
      </c>
      <c r="F2964">
        <v>0.21</v>
      </c>
      <c r="G2964" t="s">
        <v>21</v>
      </c>
      <c r="H2964" s="1">
        <v>44862</v>
      </c>
      <c r="I2964">
        <v>2022</v>
      </c>
      <c r="J2964">
        <v>10</v>
      </c>
      <c r="K2964" t="s">
        <v>22</v>
      </c>
      <c r="L2964">
        <v>0</v>
      </c>
      <c r="M2964">
        <v>1</v>
      </c>
    </row>
    <row r="2965" spans="1:13" x14ac:dyDescent="0.25">
      <c r="A2965" t="s">
        <v>2163</v>
      </c>
      <c r="B2965" t="s">
        <v>95</v>
      </c>
      <c r="C2965" t="s">
        <v>83</v>
      </c>
      <c r="D2965" t="s">
        <v>46</v>
      </c>
      <c r="E2965" t="s">
        <v>21</v>
      </c>
      <c r="F2965">
        <v>0.35</v>
      </c>
      <c r="G2965">
        <v>11</v>
      </c>
      <c r="H2965" s="1">
        <v>44862</v>
      </c>
      <c r="I2965">
        <v>2022</v>
      </c>
      <c r="J2965">
        <v>10</v>
      </c>
      <c r="K2965" t="s">
        <v>30</v>
      </c>
      <c r="L2965">
        <v>0</v>
      </c>
      <c r="M2965">
        <v>1</v>
      </c>
    </row>
    <row r="2966" spans="1:13" x14ac:dyDescent="0.25">
      <c r="A2966" t="s">
        <v>1513</v>
      </c>
      <c r="B2966" t="s">
        <v>533</v>
      </c>
      <c r="C2966" t="s">
        <v>174</v>
      </c>
      <c r="D2966" t="s">
        <v>33</v>
      </c>
      <c r="E2966">
        <v>210</v>
      </c>
      <c r="F2966">
        <v>0.43</v>
      </c>
      <c r="G2966">
        <v>163</v>
      </c>
      <c r="H2966" s="1">
        <v>44861</v>
      </c>
      <c r="I2966">
        <v>2022</v>
      </c>
      <c r="J2966">
        <v>10</v>
      </c>
      <c r="K2966" t="s">
        <v>36</v>
      </c>
      <c r="L2966">
        <v>0</v>
      </c>
      <c r="M2966">
        <v>1</v>
      </c>
    </row>
    <row r="2967" spans="1:13" x14ac:dyDescent="0.25">
      <c r="A2967" t="s">
        <v>2164</v>
      </c>
      <c r="B2967" t="s">
        <v>77</v>
      </c>
      <c r="C2967" t="s">
        <v>14</v>
      </c>
      <c r="D2967" t="s">
        <v>33</v>
      </c>
      <c r="E2967">
        <v>84</v>
      </c>
      <c r="F2967">
        <v>0.17</v>
      </c>
      <c r="G2967">
        <v>277</v>
      </c>
      <c r="H2967" s="1">
        <v>44861</v>
      </c>
      <c r="I2967">
        <v>2022</v>
      </c>
      <c r="J2967">
        <v>10</v>
      </c>
      <c r="K2967" t="s">
        <v>36</v>
      </c>
      <c r="L2967">
        <v>0</v>
      </c>
      <c r="M2967">
        <v>1</v>
      </c>
    </row>
    <row r="2968" spans="1:13" x14ac:dyDescent="0.25">
      <c r="A2968" t="s">
        <v>1871</v>
      </c>
      <c r="B2968" t="s">
        <v>40</v>
      </c>
      <c r="C2968" t="s">
        <v>14</v>
      </c>
      <c r="D2968" t="s">
        <v>43</v>
      </c>
      <c r="E2968">
        <v>13</v>
      </c>
      <c r="F2968" t="s">
        <v>21</v>
      </c>
      <c r="G2968">
        <v>328</v>
      </c>
      <c r="H2968" s="1">
        <v>44861</v>
      </c>
      <c r="I2968">
        <v>2022</v>
      </c>
      <c r="J2968">
        <v>10</v>
      </c>
      <c r="K2968" t="s">
        <v>36</v>
      </c>
      <c r="L2968" t="s">
        <v>21</v>
      </c>
      <c r="M2968">
        <v>1</v>
      </c>
    </row>
    <row r="2969" spans="1:13" x14ac:dyDescent="0.25">
      <c r="A2969" t="s">
        <v>2165</v>
      </c>
      <c r="B2969" t="s">
        <v>32</v>
      </c>
      <c r="C2969" t="s">
        <v>48</v>
      </c>
      <c r="D2969" t="s">
        <v>49</v>
      </c>
      <c r="E2969" t="s">
        <v>21</v>
      </c>
      <c r="F2969">
        <v>1</v>
      </c>
      <c r="G2969" t="s">
        <v>21</v>
      </c>
      <c r="H2969" s="1">
        <v>44861</v>
      </c>
      <c r="I2969">
        <v>2022</v>
      </c>
      <c r="J2969">
        <v>10</v>
      </c>
      <c r="K2969" t="s">
        <v>22</v>
      </c>
      <c r="L2969">
        <v>1</v>
      </c>
      <c r="M2969">
        <v>1</v>
      </c>
    </row>
    <row r="2970" spans="1:13" x14ac:dyDescent="0.25">
      <c r="A2970" t="s">
        <v>2166</v>
      </c>
      <c r="B2970" t="s">
        <v>24</v>
      </c>
      <c r="C2970" t="s">
        <v>14</v>
      </c>
      <c r="E2970" t="s">
        <v>21</v>
      </c>
      <c r="F2970" t="s">
        <v>21</v>
      </c>
      <c r="G2970" t="s">
        <v>21</v>
      </c>
      <c r="H2970" s="1">
        <v>44861</v>
      </c>
      <c r="I2970">
        <v>2022</v>
      </c>
      <c r="J2970">
        <v>10</v>
      </c>
      <c r="K2970" t="s">
        <v>22</v>
      </c>
      <c r="L2970" t="s">
        <v>21</v>
      </c>
      <c r="M2970">
        <v>0</v>
      </c>
    </row>
    <row r="2971" spans="1:13" x14ac:dyDescent="0.25">
      <c r="A2971" t="s">
        <v>1574</v>
      </c>
      <c r="B2971" t="s">
        <v>70</v>
      </c>
      <c r="C2971" t="s">
        <v>14</v>
      </c>
      <c r="D2971" t="s">
        <v>15</v>
      </c>
      <c r="E2971">
        <v>3000</v>
      </c>
      <c r="F2971">
        <v>0.08</v>
      </c>
      <c r="G2971" t="s">
        <v>21</v>
      </c>
      <c r="H2971" s="1">
        <v>44860</v>
      </c>
      <c r="I2971">
        <v>2022</v>
      </c>
      <c r="J2971">
        <v>10</v>
      </c>
      <c r="K2971" t="s">
        <v>22</v>
      </c>
      <c r="L2971">
        <v>0</v>
      </c>
      <c r="M2971">
        <v>1</v>
      </c>
    </row>
    <row r="2972" spans="1:13" x14ac:dyDescent="0.25">
      <c r="A2972" t="s">
        <v>2167</v>
      </c>
      <c r="B2972" t="s">
        <v>207</v>
      </c>
      <c r="C2972" t="s">
        <v>14</v>
      </c>
      <c r="D2972" t="s">
        <v>15</v>
      </c>
      <c r="E2972">
        <v>400</v>
      </c>
      <c r="F2972">
        <v>0.15</v>
      </c>
      <c r="G2972">
        <v>114</v>
      </c>
      <c r="H2972" s="1">
        <v>44860</v>
      </c>
      <c r="I2972">
        <v>2022</v>
      </c>
      <c r="J2972">
        <v>10</v>
      </c>
      <c r="K2972" t="s">
        <v>36</v>
      </c>
      <c r="L2972">
        <v>0</v>
      </c>
      <c r="M2972">
        <v>1</v>
      </c>
    </row>
    <row r="2973" spans="1:13" x14ac:dyDescent="0.25">
      <c r="A2973" t="s">
        <v>268</v>
      </c>
      <c r="B2973" t="s">
        <v>91</v>
      </c>
      <c r="C2973" t="s">
        <v>14</v>
      </c>
      <c r="D2973" t="s">
        <v>15</v>
      </c>
      <c r="E2973">
        <v>300</v>
      </c>
      <c r="F2973">
        <v>0.05</v>
      </c>
      <c r="G2973">
        <v>97</v>
      </c>
      <c r="H2973" s="1">
        <v>44860</v>
      </c>
      <c r="I2973">
        <v>2022</v>
      </c>
      <c r="J2973">
        <v>10</v>
      </c>
      <c r="K2973" t="s">
        <v>30</v>
      </c>
      <c r="L2973">
        <v>0</v>
      </c>
      <c r="M2973">
        <v>1</v>
      </c>
    </row>
    <row r="2974" spans="1:13" x14ac:dyDescent="0.25">
      <c r="A2974" t="s">
        <v>832</v>
      </c>
      <c r="B2974" t="s">
        <v>28</v>
      </c>
      <c r="C2974" t="s">
        <v>14</v>
      </c>
      <c r="D2974" t="s">
        <v>43</v>
      </c>
      <c r="E2974">
        <v>200</v>
      </c>
      <c r="F2974">
        <v>0.17</v>
      </c>
      <c r="G2974">
        <v>750</v>
      </c>
      <c r="H2974" s="1">
        <v>44860</v>
      </c>
      <c r="I2974">
        <v>2022</v>
      </c>
      <c r="J2974">
        <v>10</v>
      </c>
      <c r="K2974" t="s">
        <v>36</v>
      </c>
      <c r="L2974">
        <v>0</v>
      </c>
      <c r="M2974">
        <v>1</v>
      </c>
    </row>
    <row r="2975" spans="1:13" x14ac:dyDescent="0.25">
      <c r="A2975" t="s">
        <v>2153</v>
      </c>
      <c r="B2975" t="s">
        <v>66</v>
      </c>
      <c r="C2975" t="s">
        <v>14</v>
      </c>
      <c r="D2975" t="s">
        <v>22</v>
      </c>
      <c r="E2975">
        <v>173</v>
      </c>
      <c r="F2975" t="s">
        <v>21</v>
      </c>
      <c r="G2975">
        <v>3600</v>
      </c>
      <c r="H2975" s="1">
        <v>44860</v>
      </c>
      <c r="I2975">
        <v>2022</v>
      </c>
      <c r="J2975">
        <v>10</v>
      </c>
      <c r="K2975" t="s">
        <v>26</v>
      </c>
      <c r="L2975" t="s">
        <v>21</v>
      </c>
      <c r="M2975">
        <v>1</v>
      </c>
    </row>
    <row r="2976" spans="1:13" x14ac:dyDescent="0.25">
      <c r="A2976" t="s">
        <v>2168</v>
      </c>
      <c r="B2976" t="s">
        <v>77</v>
      </c>
      <c r="C2976" t="s">
        <v>14</v>
      </c>
      <c r="D2976" t="s">
        <v>68</v>
      </c>
      <c r="E2976">
        <v>94</v>
      </c>
      <c r="F2976">
        <v>0.12</v>
      </c>
      <c r="G2976" t="s">
        <v>21</v>
      </c>
      <c r="H2976" s="1">
        <v>44860</v>
      </c>
      <c r="I2976">
        <v>2022</v>
      </c>
      <c r="J2976">
        <v>10</v>
      </c>
      <c r="K2976" t="s">
        <v>22</v>
      </c>
      <c r="L2976">
        <v>0</v>
      </c>
      <c r="M2976">
        <v>1</v>
      </c>
    </row>
    <row r="2977" spans="1:13" x14ac:dyDescent="0.25">
      <c r="A2977" t="s">
        <v>2169</v>
      </c>
      <c r="B2977" t="s">
        <v>70</v>
      </c>
      <c r="C2977" t="s">
        <v>14</v>
      </c>
      <c r="D2977" t="s">
        <v>111</v>
      </c>
      <c r="E2977" t="s">
        <v>21</v>
      </c>
      <c r="F2977" t="s">
        <v>21</v>
      </c>
      <c r="G2977">
        <v>683</v>
      </c>
      <c r="H2977" s="1">
        <v>44860</v>
      </c>
      <c r="I2977">
        <v>2022</v>
      </c>
      <c r="J2977">
        <v>10</v>
      </c>
      <c r="K2977" t="s">
        <v>36</v>
      </c>
      <c r="L2977" t="s">
        <v>21</v>
      </c>
      <c r="M2977">
        <v>0</v>
      </c>
    </row>
    <row r="2978" spans="1:13" x14ac:dyDescent="0.25">
      <c r="A2978" t="s">
        <v>2170</v>
      </c>
      <c r="B2978" t="s">
        <v>77</v>
      </c>
      <c r="C2978" t="s">
        <v>14</v>
      </c>
      <c r="D2978" t="s">
        <v>55</v>
      </c>
      <c r="E2978">
        <v>150</v>
      </c>
      <c r="F2978">
        <v>0.42</v>
      </c>
      <c r="G2978">
        <v>553</v>
      </c>
      <c r="H2978" s="1">
        <v>44859</v>
      </c>
      <c r="I2978">
        <v>2022</v>
      </c>
      <c r="J2978">
        <v>10</v>
      </c>
      <c r="K2978" t="s">
        <v>36</v>
      </c>
      <c r="L2978">
        <v>0</v>
      </c>
      <c r="M2978">
        <v>1</v>
      </c>
    </row>
    <row r="2979" spans="1:13" x14ac:dyDescent="0.25">
      <c r="A2979" t="s">
        <v>2171</v>
      </c>
      <c r="B2979" t="s">
        <v>77</v>
      </c>
      <c r="C2979" t="s">
        <v>14</v>
      </c>
      <c r="D2979" t="s">
        <v>46</v>
      </c>
      <c r="E2979">
        <v>30</v>
      </c>
      <c r="F2979">
        <v>0.12</v>
      </c>
      <c r="G2979">
        <v>142</v>
      </c>
      <c r="H2979" s="1">
        <v>44859</v>
      </c>
      <c r="I2979">
        <v>2022</v>
      </c>
      <c r="J2979">
        <v>10</v>
      </c>
      <c r="K2979" t="s">
        <v>36</v>
      </c>
      <c r="L2979">
        <v>0</v>
      </c>
      <c r="M2979">
        <v>1</v>
      </c>
    </row>
    <row r="2980" spans="1:13" x14ac:dyDescent="0.25">
      <c r="A2980" t="s">
        <v>2172</v>
      </c>
      <c r="B2980" t="s">
        <v>40</v>
      </c>
      <c r="C2980" t="s">
        <v>29</v>
      </c>
      <c r="D2980" t="s">
        <v>49</v>
      </c>
      <c r="E2980">
        <v>17</v>
      </c>
      <c r="F2980">
        <v>0.5</v>
      </c>
      <c r="G2980">
        <v>15</v>
      </c>
      <c r="H2980" s="1">
        <v>44859</v>
      </c>
      <c r="I2980">
        <v>2022</v>
      </c>
      <c r="J2980">
        <v>10</v>
      </c>
      <c r="K2980" t="s">
        <v>30</v>
      </c>
      <c r="L2980">
        <v>0</v>
      </c>
      <c r="M2980">
        <v>1</v>
      </c>
    </row>
    <row r="2981" spans="1:13" x14ac:dyDescent="0.25">
      <c r="A2981" t="s">
        <v>2173</v>
      </c>
      <c r="B2981" t="s">
        <v>32</v>
      </c>
      <c r="C2981" t="s">
        <v>14</v>
      </c>
      <c r="D2981" t="s">
        <v>55</v>
      </c>
      <c r="E2981" t="s">
        <v>21</v>
      </c>
      <c r="F2981">
        <v>0.35</v>
      </c>
      <c r="G2981" t="s">
        <v>21</v>
      </c>
      <c r="H2981" s="1">
        <v>44859</v>
      </c>
      <c r="I2981">
        <v>2022</v>
      </c>
      <c r="J2981">
        <v>10</v>
      </c>
      <c r="K2981" t="s">
        <v>22</v>
      </c>
      <c r="L2981">
        <v>0</v>
      </c>
      <c r="M2981">
        <v>1</v>
      </c>
    </row>
    <row r="2982" spans="1:13" x14ac:dyDescent="0.25">
      <c r="A2982" t="s">
        <v>1104</v>
      </c>
      <c r="B2982" t="s">
        <v>117</v>
      </c>
      <c r="C2982" t="s">
        <v>14</v>
      </c>
      <c r="D2982" t="s">
        <v>111</v>
      </c>
      <c r="E2982" t="s">
        <v>21</v>
      </c>
      <c r="F2982" t="s">
        <v>21</v>
      </c>
      <c r="G2982">
        <v>1100</v>
      </c>
      <c r="H2982" s="1">
        <v>44859</v>
      </c>
      <c r="I2982">
        <v>2022</v>
      </c>
      <c r="J2982">
        <v>10</v>
      </c>
      <c r="K2982" t="s">
        <v>26</v>
      </c>
      <c r="L2982" t="s">
        <v>21</v>
      </c>
      <c r="M2982">
        <v>0</v>
      </c>
    </row>
    <row r="2983" spans="1:13" x14ac:dyDescent="0.25">
      <c r="A2983" t="s">
        <v>1757</v>
      </c>
      <c r="B2983" t="s">
        <v>35</v>
      </c>
      <c r="C2983" t="s">
        <v>74</v>
      </c>
      <c r="D2983" t="s">
        <v>15</v>
      </c>
      <c r="E2983">
        <v>4000</v>
      </c>
      <c r="F2983">
        <v>0.05</v>
      </c>
      <c r="G2983" t="s">
        <v>21</v>
      </c>
      <c r="H2983" s="1">
        <v>44858</v>
      </c>
      <c r="I2983">
        <v>2022</v>
      </c>
      <c r="J2983">
        <v>10</v>
      </c>
      <c r="K2983" t="s">
        <v>22</v>
      </c>
      <c r="L2983">
        <v>0</v>
      </c>
      <c r="M2983">
        <v>1</v>
      </c>
    </row>
    <row r="2984" spans="1:13" x14ac:dyDescent="0.25">
      <c r="A2984" t="s">
        <v>1645</v>
      </c>
      <c r="B2984" t="s">
        <v>35</v>
      </c>
      <c r="C2984" t="s">
        <v>14</v>
      </c>
      <c r="D2984" t="s">
        <v>46</v>
      </c>
      <c r="E2984">
        <v>400</v>
      </c>
      <c r="F2984">
        <v>0.2</v>
      </c>
      <c r="G2984">
        <v>462</v>
      </c>
      <c r="H2984" s="1">
        <v>44858</v>
      </c>
      <c r="I2984">
        <v>2022</v>
      </c>
      <c r="J2984">
        <v>10</v>
      </c>
      <c r="K2984" t="s">
        <v>36</v>
      </c>
      <c r="L2984">
        <v>0</v>
      </c>
      <c r="M2984">
        <v>1</v>
      </c>
    </row>
    <row r="2985" spans="1:13" x14ac:dyDescent="0.25">
      <c r="A2985" t="s">
        <v>59</v>
      </c>
      <c r="B2985" t="s">
        <v>28</v>
      </c>
      <c r="C2985" t="s">
        <v>14</v>
      </c>
      <c r="D2985" t="s">
        <v>43</v>
      </c>
      <c r="E2985">
        <v>198</v>
      </c>
      <c r="F2985">
        <v>0.14000000000000001</v>
      </c>
      <c r="G2985">
        <v>849</v>
      </c>
      <c r="H2985" s="1">
        <v>44858</v>
      </c>
      <c r="I2985">
        <v>2022</v>
      </c>
      <c r="J2985">
        <v>10</v>
      </c>
      <c r="K2985" t="s">
        <v>36</v>
      </c>
      <c r="L2985">
        <v>0</v>
      </c>
      <c r="M2985">
        <v>1</v>
      </c>
    </row>
    <row r="2986" spans="1:13" x14ac:dyDescent="0.25">
      <c r="A2986" t="s">
        <v>1047</v>
      </c>
      <c r="B2986" t="s">
        <v>91</v>
      </c>
      <c r="C2986" t="s">
        <v>83</v>
      </c>
      <c r="D2986" t="s">
        <v>22</v>
      </c>
      <c r="E2986">
        <v>100</v>
      </c>
      <c r="F2986" t="s">
        <v>21</v>
      </c>
      <c r="G2986">
        <v>214</v>
      </c>
      <c r="H2986" s="1">
        <v>44858</v>
      </c>
      <c r="I2986">
        <v>2022</v>
      </c>
      <c r="J2986">
        <v>10</v>
      </c>
      <c r="K2986" t="s">
        <v>36</v>
      </c>
      <c r="L2986" t="s">
        <v>21</v>
      </c>
      <c r="M2986">
        <v>1</v>
      </c>
    </row>
    <row r="2987" spans="1:13" x14ac:dyDescent="0.25">
      <c r="A2987" t="s">
        <v>1841</v>
      </c>
      <c r="B2987" t="s">
        <v>13</v>
      </c>
      <c r="C2987" t="s">
        <v>230</v>
      </c>
      <c r="D2987" t="s">
        <v>55</v>
      </c>
      <c r="E2987">
        <v>50</v>
      </c>
      <c r="F2987">
        <v>0.04</v>
      </c>
      <c r="G2987">
        <v>336</v>
      </c>
      <c r="H2987" s="1">
        <v>44858</v>
      </c>
      <c r="I2987">
        <v>2022</v>
      </c>
      <c r="J2987">
        <v>10</v>
      </c>
      <c r="K2987" t="s">
        <v>36</v>
      </c>
      <c r="L2987">
        <v>0</v>
      </c>
      <c r="M2987">
        <v>1</v>
      </c>
    </row>
    <row r="2988" spans="1:13" x14ac:dyDescent="0.25">
      <c r="A2988" t="s">
        <v>695</v>
      </c>
      <c r="B2988" t="s">
        <v>35</v>
      </c>
      <c r="C2988" t="s">
        <v>29</v>
      </c>
      <c r="D2988" t="s">
        <v>22</v>
      </c>
      <c r="E2988">
        <v>62</v>
      </c>
      <c r="F2988">
        <v>0.16</v>
      </c>
      <c r="G2988">
        <v>86</v>
      </c>
      <c r="H2988" s="1">
        <v>44857</v>
      </c>
      <c r="I2988">
        <v>2022</v>
      </c>
      <c r="J2988">
        <v>10</v>
      </c>
      <c r="K2988" t="s">
        <v>30</v>
      </c>
      <c r="L2988">
        <v>0</v>
      </c>
      <c r="M2988">
        <v>1</v>
      </c>
    </row>
    <row r="2989" spans="1:13" x14ac:dyDescent="0.25">
      <c r="A2989" t="s">
        <v>2174</v>
      </c>
      <c r="B2989" t="s">
        <v>35</v>
      </c>
      <c r="C2989" t="s">
        <v>29</v>
      </c>
      <c r="D2989" t="s">
        <v>22</v>
      </c>
      <c r="E2989">
        <v>23</v>
      </c>
      <c r="F2989">
        <v>0.38</v>
      </c>
      <c r="G2989">
        <v>36</v>
      </c>
      <c r="H2989" s="1">
        <v>44857</v>
      </c>
      <c r="I2989">
        <v>2022</v>
      </c>
      <c r="J2989">
        <v>10</v>
      </c>
      <c r="K2989" t="s">
        <v>30</v>
      </c>
      <c r="L2989">
        <v>0</v>
      </c>
      <c r="M2989">
        <v>1</v>
      </c>
    </row>
    <row r="2990" spans="1:13" x14ac:dyDescent="0.25">
      <c r="A2990" t="s">
        <v>414</v>
      </c>
      <c r="B2990" t="s">
        <v>99</v>
      </c>
      <c r="C2990" t="s">
        <v>14</v>
      </c>
      <c r="D2990" t="s">
        <v>81</v>
      </c>
      <c r="E2990">
        <v>120</v>
      </c>
      <c r="F2990">
        <v>0.1</v>
      </c>
      <c r="G2990">
        <v>138</v>
      </c>
      <c r="H2990" s="1">
        <v>44855</v>
      </c>
      <c r="I2990">
        <v>2022</v>
      </c>
      <c r="J2990">
        <v>10</v>
      </c>
      <c r="K2990" t="s">
        <v>36</v>
      </c>
      <c r="L2990">
        <v>0</v>
      </c>
      <c r="M2990">
        <v>1</v>
      </c>
    </row>
    <row r="2991" spans="1:13" x14ac:dyDescent="0.25">
      <c r="A2991" t="s">
        <v>377</v>
      </c>
      <c r="B2991" t="s">
        <v>28</v>
      </c>
      <c r="C2991" t="s">
        <v>14</v>
      </c>
      <c r="D2991" t="s">
        <v>15</v>
      </c>
      <c r="E2991">
        <v>100</v>
      </c>
      <c r="F2991">
        <v>0.01</v>
      </c>
      <c r="G2991" t="s">
        <v>21</v>
      </c>
      <c r="H2991" s="1">
        <v>44855</v>
      </c>
      <c r="I2991">
        <v>2022</v>
      </c>
      <c r="J2991">
        <v>10</v>
      </c>
      <c r="K2991" t="s">
        <v>22</v>
      </c>
      <c r="L2991">
        <v>0</v>
      </c>
      <c r="M2991">
        <v>1</v>
      </c>
    </row>
    <row r="2992" spans="1:13" x14ac:dyDescent="0.25">
      <c r="A2992" t="s">
        <v>2175</v>
      </c>
      <c r="B2992" t="s">
        <v>77</v>
      </c>
      <c r="C2992" t="s">
        <v>83</v>
      </c>
      <c r="D2992" t="s">
        <v>22</v>
      </c>
      <c r="E2992">
        <v>43</v>
      </c>
      <c r="F2992">
        <v>0.33</v>
      </c>
      <c r="G2992">
        <v>30</v>
      </c>
      <c r="H2992" s="1">
        <v>44855</v>
      </c>
      <c r="I2992">
        <v>2022</v>
      </c>
      <c r="J2992">
        <v>10</v>
      </c>
      <c r="K2992" t="s">
        <v>30</v>
      </c>
      <c r="L2992">
        <v>0</v>
      </c>
      <c r="M2992">
        <v>1</v>
      </c>
    </row>
    <row r="2993" spans="1:13" x14ac:dyDescent="0.25">
      <c r="A2993" t="s">
        <v>2176</v>
      </c>
      <c r="B2993" t="s">
        <v>35</v>
      </c>
      <c r="C2993" t="s">
        <v>48</v>
      </c>
      <c r="D2993" t="s">
        <v>68</v>
      </c>
      <c r="E2993">
        <v>30</v>
      </c>
      <c r="F2993">
        <v>0.3</v>
      </c>
      <c r="G2993">
        <v>4</v>
      </c>
      <c r="H2993" s="1">
        <v>44855</v>
      </c>
      <c r="I2993">
        <v>2022</v>
      </c>
      <c r="J2993">
        <v>10</v>
      </c>
      <c r="K2993" t="s">
        <v>16</v>
      </c>
      <c r="L2993">
        <v>0</v>
      </c>
      <c r="M2993">
        <v>1</v>
      </c>
    </row>
    <row r="2994" spans="1:13" x14ac:dyDescent="0.25">
      <c r="A2994" t="s">
        <v>2177</v>
      </c>
      <c r="B2994" t="s">
        <v>66</v>
      </c>
      <c r="C2994" t="s">
        <v>14</v>
      </c>
      <c r="D2994" t="s">
        <v>15</v>
      </c>
      <c r="E2994" t="s">
        <v>21</v>
      </c>
      <c r="F2994">
        <v>0.54</v>
      </c>
      <c r="G2994">
        <v>575</v>
      </c>
      <c r="H2994" s="1">
        <v>44855</v>
      </c>
      <c r="I2994">
        <v>2022</v>
      </c>
      <c r="J2994">
        <v>10</v>
      </c>
      <c r="K2994" t="s">
        <v>36</v>
      </c>
      <c r="L2994">
        <v>0</v>
      </c>
      <c r="M2994">
        <v>1</v>
      </c>
    </row>
    <row r="2995" spans="1:13" x14ac:dyDescent="0.25">
      <c r="A2995" t="s">
        <v>2178</v>
      </c>
      <c r="B2995" t="s">
        <v>54</v>
      </c>
      <c r="C2995" t="s">
        <v>230</v>
      </c>
      <c r="D2995" t="s">
        <v>46</v>
      </c>
      <c r="E2995">
        <v>227</v>
      </c>
      <c r="F2995">
        <v>0.12</v>
      </c>
      <c r="G2995">
        <v>127</v>
      </c>
      <c r="H2995" s="1">
        <v>44854</v>
      </c>
      <c r="I2995">
        <v>2022</v>
      </c>
      <c r="J2995">
        <v>10</v>
      </c>
      <c r="K2995" t="s">
        <v>36</v>
      </c>
      <c r="L2995">
        <v>0</v>
      </c>
      <c r="M2995">
        <v>1</v>
      </c>
    </row>
    <row r="2996" spans="1:13" x14ac:dyDescent="0.25">
      <c r="A2996" t="s">
        <v>1074</v>
      </c>
      <c r="B2996" t="s">
        <v>91</v>
      </c>
      <c r="C2996" t="s">
        <v>14</v>
      </c>
      <c r="D2996" t="s">
        <v>46</v>
      </c>
      <c r="E2996">
        <v>64</v>
      </c>
      <c r="F2996">
        <v>0.46</v>
      </c>
      <c r="G2996">
        <v>151</v>
      </c>
      <c r="H2996" s="1">
        <v>44854</v>
      </c>
      <c r="I2996">
        <v>2022</v>
      </c>
      <c r="J2996">
        <v>10</v>
      </c>
      <c r="K2996" t="s">
        <v>36</v>
      </c>
      <c r="L2996">
        <v>0</v>
      </c>
      <c r="M2996">
        <v>1</v>
      </c>
    </row>
    <row r="2997" spans="1:13" x14ac:dyDescent="0.25">
      <c r="A2997" t="s">
        <v>2179</v>
      </c>
      <c r="B2997" t="s">
        <v>114</v>
      </c>
      <c r="C2997" t="s">
        <v>14</v>
      </c>
      <c r="D2997" t="s">
        <v>46</v>
      </c>
      <c r="E2997">
        <v>23</v>
      </c>
      <c r="F2997">
        <v>0.11</v>
      </c>
      <c r="G2997">
        <v>203</v>
      </c>
      <c r="H2997" s="1">
        <v>44854</v>
      </c>
      <c r="I2997">
        <v>2022</v>
      </c>
      <c r="J2997">
        <v>10</v>
      </c>
      <c r="K2997" t="s">
        <v>36</v>
      </c>
      <c r="L2997">
        <v>0</v>
      </c>
      <c r="M2997">
        <v>1</v>
      </c>
    </row>
    <row r="2998" spans="1:13" x14ac:dyDescent="0.25">
      <c r="A2998" t="s">
        <v>2180</v>
      </c>
      <c r="B2998" t="s">
        <v>99</v>
      </c>
      <c r="C2998" t="s">
        <v>14</v>
      </c>
      <c r="D2998" t="s">
        <v>81</v>
      </c>
      <c r="E2998">
        <v>20</v>
      </c>
      <c r="F2998" t="s">
        <v>21</v>
      </c>
      <c r="G2998">
        <v>5</v>
      </c>
      <c r="H2998" s="1">
        <v>44854</v>
      </c>
      <c r="I2998">
        <v>2022</v>
      </c>
      <c r="J2998">
        <v>10</v>
      </c>
      <c r="K2998" t="s">
        <v>16</v>
      </c>
      <c r="L2998" t="s">
        <v>21</v>
      </c>
      <c r="M2998">
        <v>1</v>
      </c>
    </row>
    <row r="2999" spans="1:13" x14ac:dyDescent="0.25">
      <c r="A2999" t="s">
        <v>470</v>
      </c>
      <c r="B2999" t="s">
        <v>66</v>
      </c>
      <c r="C2999" t="s">
        <v>80</v>
      </c>
      <c r="D2999" t="s">
        <v>15</v>
      </c>
      <c r="E2999" t="s">
        <v>21</v>
      </c>
      <c r="F2999" t="s">
        <v>21</v>
      </c>
      <c r="G2999">
        <v>629</v>
      </c>
      <c r="H2999" s="1">
        <v>44854</v>
      </c>
      <c r="I2999">
        <v>2022</v>
      </c>
      <c r="J2999">
        <v>10</v>
      </c>
      <c r="K2999" t="s">
        <v>36</v>
      </c>
      <c r="L2999" t="s">
        <v>21</v>
      </c>
      <c r="M2999">
        <v>0</v>
      </c>
    </row>
    <row r="3000" spans="1:13" x14ac:dyDescent="0.25">
      <c r="A3000" t="s">
        <v>1592</v>
      </c>
      <c r="B3000" t="s">
        <v>91</v>
      </c>
      <c r="C3000" t="s">
        <v>14</v>
      </c>
      <c r="D3000" t="s">
        <v>111</v>
      </c>
      <c r="E3000" t="s">
        <v>21</v>
      </c>
      <c r="F3000">
        <v>0.2</v>
      </c>
      <c r="G3000">
        <v>365</v>
      </c>
      <c r="H3000" s="1">
        <v>44854</v>
      </c>
      <c r="I3000">
        <v>2022</v>
      </c>
      <c r="J3000">
        <v>10</v>
      </c>
      <c r="K3000" t="s">
        <v>36</v>
      </c>
      <c r="L3000">
        <v>0</v>
      </c>
      <c r="M3000">
        <v>1</v>
      </c>
    </row>
    <row r="3001" spans="1:13" x14ac:dyDescent="0.25">
      <c r="A3001" t="s">
        <v>1827</v>
      </c>
      <c r="B3001" t="s">
        <v>13</v>
      </c>
      <c r="C3001" t="s">
        <v>14</v>
      </c>
      <c r="D3001" t="s">
        <v>15</v>
      </c>
      <c r="E3001" t="s">
        <v>21</v>
      </c>
      <c r="F3001">
        <v>0.5</v>
      </c>
      <c r="G3001">
        <v>260</v>
      </c>
      <c r="H3001" s="1">
        <v>44854</v>
      </c>
      <c r="I3001">
        <v>2022</v>
      </c>
      <c r="J3001">
        <v>10</v>
      </c>
      <c r="K3001" t="s">
        <v>36</v>
      </c>
      <c r="L3001">
        <v>0</v>
      </c>
      <c r="M3001">
        <v>1</v>
      </c>
    </row>
    <row r="3002" spans="1:13" x14ac:dyDescent="0.25">
      <c r="A3002" t="s">
        <v>766</v>
      </c>
      <c r="B3002" t="s">
        <v>95</v>
      </c>
      <c r="C3002" t="s">
        <v>14</v>
      </c>
      <c r="D3002" t="s">
        <v>347</v>
      </c>
      <c r="E3002">
        <v>250</v>
      </c>
      <c r="F3002" t="s">
        <v>21</v>
      </c>
      <c r="G3002">
        <v>3400</v>
      </c>
      <c r="H3002" s="1">
        <v>44853</v>
      </c>
      <c r="I3002">
        <v>2022</v>
      </c>
      <c r="J3002">
        <v>10</v>
      </c>
      <c r="K3002" t="s">
        <v>26</v>
      </c>
      <c r="L3002" t="s">
        <v>21</v>
      </c>
      <c r="M3002">
        <v>1</v>
      </c>
    </row>
    <row r="3003" spans="1:13" x14ac:dyDescent="0.25">
      <c r="A3003" t="s">
        <v>2181</v>
      </c>
      <c r="B3003" t="s">
        <v>77</v>
      </c>
      <c r="C3003" t="s">
        <v>14</v>
      </c>
      <c r="D3003" t="s">
        <v>33</v>
      </c>
      <c r="E3003">
        <v>32</v>
      </c>
      <c r="F3003">
        <v>0.3</v>
      </c>
      <c r="G3003">
        <v>177</v>
      </c>
      <c r="H3003" s="1">
        <v>44853</v>
      </c>
      <c r="I3003">
        <v>2022</v>
      </c>
      <c r="J3003">
        <v>10</v>
      </c>
      <c r="K3003" t="s">
        <v>36</v>
      </c>
      <c r="L3003">
        <v>0</v>
      </c>
      <c r="M3003">
        <v>1</v>
      </c>
    </row>
    <row r="3004" spans="1:13" x14ac:dyDescent="0.25">
      <c r="A3004" t="s">
        <v>2182</v>
      </c>
      <c r="B3004" t="s">
        <v>28</v>
      </c>
      <c r="C3004" t="s">
        <v>80</v>
      </c>
      <c r="D3004" t="s">
        <v>33</v>
      </c>
      <c r="E3004">
        <v>20</v>
      </c>
      <c r="F3004">
        <v>0.12</v>
      </c>
      <c r="G3004">
        <v>88</v>
      </c>
      <c r="H3004" s="1">
        <v>44853</v>
      </c>
      <c r="I3004">
        <v>2022</v>
      </c>
      <c r="J3004">
        <v>10</v>
      </c>
      <c r="K3004" t="s">
        <v>30</v>
      </c>
      <c r="L3004">
        <v>0</v>
      </c>
      <c r="M3004">
        <v>1</v>
      </c>
    </row>
    <row r="3005" spans="1:13" x14ac:dyDescent="0.25">
      <c r="A3005" t="s">
        <v>2183</v>
      </c>
      <c r="B3005" t="s">
        <v>91</v>
      </c>
      <c r="C3005" t="s">
        <v>14</v>
      </c>
      <c r="D3005" t="s">
        <v>33</v>
      </c>
      <c r="E3005" t="s">
        <v>21</v>
      </c>
      <c r="F3005" t="s">
        <v>21</v>
      </c>
      <c r="G3005">
        <v>13</v>
      </c>
      <c r="H3005" s="1">
        <v>44853</v>
      </c>
      <c r="I3005">
        <v>2022</v>
      </c>
      <c r="J3005">
        <v>10</v>
      </c>
      <c r="K3005" t="s">
        <v>30</v>
      </c>
      <c r="L3005" t="s">
        <v>21</v>
      </c>
      <c r="M3005">
        <v>0</v>
      </c>
    </row>
    <row r="3006" spans="1:13" x14ac:dyDescent="0.25">
      <c r="A3006" t="s">
        <v>2184</v>
      </c>
      <c r="B3006" t="s">
        <v>38</v>
      </c>
      <c r="C3006" t="s">
        <v>802</v>
      </c>
      <c r="D3006" t="s">
        <v>194</v>
      </c>
      <c r="E3006" t="s">
        <v>21</v>
      </c>
      <c r="F3006" t="s">
        <v>21</v>
      </c>
      <c r="G3006">
        <v>596</v>
      </c>
      <c r="H3006" s="1">
        <v>44853</v>
      </c>
      <c r="I3006">
        <v>2022</v>
      </c>
      <c r="J3006">
        <v>10</v>
      </c>
      <c r="K3006" t="s">
        <v>36</v>
      </c>
      <c r="L3006" t="s">
        <v>21</v>
      </c>
      <c r="M3006">
        <v>0</v>
      </c>
    </row>
    <row r="3007" spans="1:13" x14ac:dyDescent="0.25">
      <c r="A3007" t="s">
        <v>2185</v>
      </c>
      <c r="B3007" t="s">
        <v>91</v>
      </c>
      <c r="C3007" t="s">
        <v>14</v>
      </c>
      <c r="D3007" t="s">
        <v>22</v>
      </c>
      <c r="E3007" t="s">
        <v>21</v>
      </c>
      <c r="F3007" t="s">
        <v>21</v>
      </c>
      <c r="G3007">
        <v>313</v>
      </c>
      <c r="H3007" s="1">
        <v>44853</v>
      </c>
      <c r="I3007">
        <v>2022</v>
      </c>
      <c r="J3007">
        <v>10</v>
      </c>
      <c r="K3007" t="s">
        <v>36</v>
      </c>
      <c r="L3007" t="s">
        <v>21</v>
      </c>
      <c r="M3007">
        <v>0</v>
      </c>
    </row>
    <row r="3008" spans="1:13" x14ac:dyDescent="0.25">
      <c r="A3008" t="s">
        <v>1086</v>
      </c>
      <c r="B3008" t="s">
        <v>24</v>
      </c>
      <c r="C3008" t="s">
        <v>14</v>
      </c>
      <c r="D3008" t="s">
        <v>194</v>
      </c>
      <c r="E3008">
        <v>84</v>
      </c>
      <c r="F3008">
        <v>7.0000000000000007E-2</v>
      </c>
      <c r="G3008">
        <v>1700</v>
      </c>
      <c r="H3008" s="1">
        <v>44852</v>
      </c>
      <c r="I3008">
        <v>2022</v>
      </c>
      <c r="J3008">
        <v>10</v>
      </c>
      <c r="K3008" t="s">
        <v>26</v>
      </c>
      <c r="L3008">
        <v>0</v>
      </c>
      <c r="M3008">
        <v>1</v>
      </c>
    </row>
    <row r="3009" spans="1:13" x14ac:dyDescent="0.25">
      <c r="A3009" t="s">
        <v>1602</v>
      </c>
      <c r="B3009" t="s">
        <v>24</v>
      </c>
      <c r="C3009" t="s">
        <v>14</v>
      </c>
      <c r="D3009" t="s">
        <v>15</v>
      </c>
      <c r="E3009">
        <v>56</v>
      </c>
      <c r="F3009">
        <v>0.21</v>
      </c>
      <c r="G3009">
        <v>71</v>
      </c>
      <c r="H3009" s="1">
        <v>44852</v>
      </c>
      <c r="I3009">
        <v>2022</v>
      </c>
      <c r="J3009">
        <v>10</v>
      </c>
      <c r="K3009" t="s">
        <v>30</v>
      </c>
      <c r="L3009">
        <v>0</v>
      </c>
      <c r="M3009">
        <v>1</v>
      </c>
    </row>
    <row r="3010" spans="1:13" x14ac:dyDescent="0.25">
      <c r="A3010" t="s">
        <v>2186</v>
      </c>
      <c r="B3010" t="s">
        <v>35</v>
      </c>
      <c r="C3010" t="s">
        <v>83</v>
      </c>
      <c r="D3010" t="s">
        <v>33</v>
      </c>
      <c r="E3010">
        <v>50</v>
      </c>
      <c r="F3010" t="s">
        <v>21</v>
      </c>
      <c r="G3010">
        <v>189</v>
      </c>
      <c r="H3010" s="1">
        <v>44851</v>
      </c>
      <c r="I3010">
        <v>2022</v>
      </c>
      <c r="J3010">
        <v>10</v>
      </c>
      <c r="K3010" t="s">
        <v>36</v>
      </c>
      <c r="L3010" t="s">
        <v>21</v>
      </c>
      <c r="M3010">
        <v>1</v>
      </c>
    </row>
    <row r="3011" spans="1:13" x14ac:dyDescent="0.25">
      <c r="A3011" t="s">
        <v>2187</v>
      </c>
      <c r="B3011" t="s">
        <v>54</v>
      </c>
      <c r="C3011" t="s">
        <v>1850</v>
      </c>
      <c r="D3011" t="s">
        <v>22</v>
      </c>
      <c r="E3011">
        <v>50</v>
      </c>
      <c r="F3011">
        <v>0.05</v>
      </c>
      <c r="G3011" t="s">
        <v>21</v>
      </c>
      <c r="H3011" s="1">
        <v>44851</v>
      </c>
      <c r="I3011">
        <v>2022</v>
      </c>
      <c r="J3011">
        <v>10</v>
      </c>
      <c r="K3011" t="s">
        <v>22</v>
      </c>
      <c r="L3011">
        <v>0</v>
      </c>
      <c r="M3011">
        <v>1</v>
      </c>
    </row>
    <row r="3012" spans="1:13" x14ac:dyDescent="0.25">
      <c r="A3012" t="s">
        <v>12</v>
      </c>
      <c r="B3012" t="s">
        <v>13</v>
      </c>
      <c r="C3012" t="s">
        <v>14</v>
      </c>
      <c r="D3012" t="s">
        <v>15</v>
      </c>
      <c r="E3012" t="s">
        <v>21</v>
      </c>
      <c r="F3012" t="s">
        <v>21</v>
      </c>
      <c r="G3012">
        <v>1</v>
      </c>
      <c r="H3012" s="1">
        <v>44851</v>
      </c>
      <c r="I3012">
        <v>2022</v>
      </c>
      <c r="J3012">
        <v>10</v>
      </c>
      <c r="K3012" t="s">
        <v>16</v>
      </c>
      <c r="L3012" t="s">
        <v>21</v>
      </c>
      <c r="M3012">
        <v>0</v>
      </c>
    </row>
    <row r="3013" spans="1:13" x14ac:dyDescent="0.25">
      <c r="A3013" t="s">
        <v>2188</v>
      </c>
      <c r="B3013" t="s">
        <v>52</v>
      </c>
      <c r="C3013" t="s">
        <v>83</v>
      </c>
      <c r="D3013" t="s">
        <v>33</v>
      </c>
      <c r="E3013" t="s">
        <v>21</v>
      </c>
      <c r="F3013">
        <v>1</v>
      </c>
      <c r="G3013">
        <v>42</v>
      </c>
      <c r="H3013" s="1">
        <v>44851</v>
      </c>
      <c r="I3013">
        <v>2022</v>
      </c>
      <c r="J3013">
        <v>10</v>
      </c>
      <c r="K3013" t="s">
        <v>30</v>
      </c>
      <c r="L3013">
        <v>1</v>
      </c>
      <c r="M3013">
        <v>1</v>
      </c>
    </row>
    <row r="3014" spans="1:13" x14ac:dyDescent="0.25">
      <c r="A3014" t="s">
        <v>2189</v>
      </c>
      <c r="B3014" t="s">
        <v>32</v>
      </c>
      <c r="C3014" t="s">
        <v>14</v>
      </c>
      <c r="D3014" t="s">
        <v>22</v>
      </c>
      <c r="E3014">
        <v>24</v>
      </c>
      <c r="F3014">
        <v>0.21</v>
      </c>
      <c r="G3014">
        <v>235</v>
      </c>
      <c r="H3014" s="1">
        <v>44850</v>
      </c>
      <c r="I3014">
        <v>2022</v>
      </c>
      <c r="J3014">
        <v>10</v>
      </c>
      <c r="K3014" t="s">
        <v>36</v>
      </c>
      <c r="L3014">
        <v>0</v>
      </c>
      <c r="M3014">
        <v>1</v>
      </c>
    </row>
    <row r="3015" spans="1:13" x14ac:dyDescent="0.25">
      <c r="A3015" t="s">
        <v>258</v>
      </c>
      <c r="B3015" t="s">
        <v>70</v>
      </c>
      <c r="C3015" t="s">
        <v>657</v>
      </c>
      <c r="D3015" t="s">
        <v>22</v>
      </c>
      <c r="E3015" t="s">
        <v>21</v>
      </c>
      <c r="F3015" t="s">
        <v>21</v>
      </c>
      <c r="G3015" t="s">
        <v>21</v>
      </c>
      <c r="H3015" s="1">
        <v>44850</v>
      </c>
      <c r="I3015">
        <v>2022</v>
      </c>
      <c r="J3015">
        <v>10</v>
      </c>
      <c r="K3015" t="s">
        <v>22</v>
      </c>
      <c r="L3015" t="s">
        <v>21</v>
      </c>
      <c r="M3015">
        <v>0</v>
      </c>
    </row>
    <row r="3016" spans="1:13" x14ac:dyDescent="0.25">
      <c r="A3016" t="s">
        <v>1782</v>
      </c>
      <c r="B3016" t="s">
        <v>91</v>
      </c>
      <c r="C3016" t="s">
        <v>14</v>
      </c>
      <c r="D3016" t="s">
        <v>22</v>
      </c>
      <c r="E3016">
        <v>378</v>
      </c>
      <c r="F3016">
        <v>0.27</v>
      </c>
      <c r="G3016" t="s">
        <v>21</v>
      </c>
      <c r="H3016" s="1">
        <v>44848</v>
      </c>
      <c r="I3016">
        <v>2022</v>
      </c>
      <c r="J3016">
        <v>10</v>
      </c>
      <c r="K3016" t="s">
        <v>22</v>
      </c>
      <c r="L3016">
        <v>0</v>
      </c>
      <c r="M3016">
        <v>1</v>
      </c>
    </row>
    <row r="3017" spans="1:13" x14ac:dyDescent="0.25">
      <c r="A3017" t="s">
        <v>1081</v>
      </c>
      <c r="B3017" t="s">
        <v>95</v>
      </c>
      <c r="C3017" t="s">
        <v>14</v>
      </c>
      <c r="D3017" t="s">
        <v>15</v>
      </c>
      <c r="E3017">
        <v>200</v>
      </c>
      <c r="F3017">
        <v>0.19</v>
      </c>
      <c r="G3017">
        <v>122</v>
      </c>
      <c r="H3017" s="1">
        <v>44848</v>
      </c>
      <c r="I3017">
        <v>2022</v>
      </c>
      <c r="J3017">
        <v>10</v>
      </c>
      <c r="K3017" t="s">
        <v>36</v>
      </c>
      <c r="L3017">
        <v>0</v>
      </c>
      <c r="M3017">
        <v>1</v>
      </c>
    </row>
    <row r="3018" spans="1:13" x14ac:dyDescent="0.25">
      <c r="A3018" t="s">
        <v>1081</v>
      </c>
      <c r="B3018" t="s">
        <v>95</v>
      </c>
      <c r="C3018" t="s">
        <v>14</v>
      </c>
      <c r="D3018" t="s">
        <v>15</v>
      </c>
      <c r="E3018">
        <v>200</v>
      </c>
      <c r="F3018">
        <v>0.19</v>
      </c>
      <c r="G3018">
        <v>122</v>
      </c>
      <c r="H3018" s="1">
        <v>44848</v>
      </c>
      <c r="I3018">
        <v>2022</v>
      </c>
      <c r="J3018">
        <v>10</v>
      </c>
      <c r="K3018" t="s">
        <v>36</v>
      </c>
      <c r="L3018">
        <v>0</v>
      </c>
      <c r="M3018">
        <v>1</v>
      </c>
    </row>
    <row r="3019" spans="1:13" x14ac:dyDescent="0.25">
      <c r="A3019" t="s">
        <v>2190</v>
      </c>
      <c r="B3019" t="s">
        <v>77</v>
      </c>
      <c r="C3019" t="s">
        <v>80</v>
      </c>
      <c r="D3019" t="s">
        <v>22</v>
      </c>
      <c r="E3019" t="s">
        <v>21</v>
      </c>
      <c r="F3019">
        <v>1</v>
      </c>
      <c r="G3019">
        <v>9</v>
      </c>
      <c r="H3019" s="1">
        <v>44848</v>
      </c>
      <c r="I3019">
        <v>2022</v>
      </c>
      <c r="J3019">
        <v>10</v>
      </c>
      <c r="K3019" t="s">
        <v>16</v>
      </c>
      <c r="L3019">
        <v>1</v>
      </c>
      <c r="M3019">
        <v>1</v>
      </c>
    </row>
    <row r="3020" spans="1:13" x14ac:dyDescent="0.25">
      <c r="A3020" t="s">
        <v>2191</v>
      </c>
      <c r="B3020" t="s">
        <v>106</v>
      </c>
      <c r="C3020" t="s">
        <v>48</v>
      </c>
      <c r="D3020" t="s">
        <v>49</v>
      </c>
      <c r="E3020" t="s">
        <v>21</v>
      </c>
      <c r="F3020">
        <v>1</v>
      </c>
      <c r="G3020" t="s">
        <v>21</v>
      </c>
      <c r="H3020" s="1">
        <v>44848</v>
      </c>
      <c r="I3020">
        <v>2022</v>
      </c>
      <c r="J3020">
        <v>10</v>
      </c>
      <c r="K3020" t="s">
        <v>22</v>
      </c>
      <c r="L3020">
        <v>1</v>
      </c>
      <c r="M3020">
        <v>1</v>
      </c>
    </row>
    <row r="3021" spans="1:13" x14ac:dyDescent="0.25">
      <c r="A3021" t="s">
        <v>98</v>
      </c>
      <c r="B3021" t="s">
        <v>99</v>
      </c>
      <c r="C3021" t="s">
        <v>14</v>
      </c>
      <c r="D3021" t="s">
        <v>15</v>
      </c>
      <c r="E3021">
        <v>90</v>
      </c>
      <c r="F3021" t="s">
        <v>21</v>
      </c>
      <c r="G3021">
        <v>65</v>
      </c>
      <c r="H3021" s="1">
        <v>44847</v>
      </c>
      <c r="I3021">
        <v>2022</v>
      </c>
      <c r="J3021">
        <v>10</v>
      </c>
      <c r="K3021" t="s">
        <v>30</v>
      </c>
      <c r="L3021" t="s">
        <v>21</v>
      </c>
      <c r="M3021">
        <v>1</v>
      </c>
    </row>
    <row r="3022" spans="1:13" x14ac:dyDescent="0.25">
      <c r="A3022" t="s">
        <v>2192</v>
      </c>
      <c r="B3022" t="s">
        <v>18</v>
      </c>
      <c r="C3022" t="s">
        <v>14</v>
      </c>
      <c r="D3022" t="s">
        <v>20</v>
      </c>
      <c r="E3022">
        <v>65</v>
      </c>
      <c r="F3022">
        <v>1</v>
      </c>
      <c r="G3022">
        <v>10</v>
      </c>
      <c r="H3022" s="1">
        <v>44847</v>
      </c>
      <c r="I3022">
        <v>2022</v>
      </c>
      <c r="J3022">
        <v>10</v>
      </c>
      <c r="K3022" t="s">
        <v>30</v>
      </c>
      <c r="L3022">
        <v>1</v>
      </c>
      <c r="M3022">
        <v>1</v>
      </c>
    </row>
    <row r="3023" spans="1:13" x14ac:dyDescent="0.25">
      <c r="A3023" t="s">
        <v>2193</v>
      </c>
      <c r="B3023" t="s">
        <v>28</v>
      </c>
      <c r="C3023" t="s">
        <v>14</v>
      </c>
      <c r="D3023" t="s">
        <v>46</v>
      </c>
      <c r="E3023" t="s">
        <v>21</v>
      </c>
      <c r="F3023" t="s">
        <v>21</v>
      </c>
      <c r="G3023">
        <v>61</v>
      </c>
      <c r="H3023" s="1">
        <v>44847</v>
      </c>
      <c r="I3023">
        <v>2022</v>
      </c>
      <c r="J3023">
        <v>10</v>
      </c>
      <c r="K3023" t="s">
        <v>30</v>
      </c>
      <c r="L3023" t="s">
        <v>21</v>
      </c>
      <c r="M3023">
        <v>0</v>
      </c>
    </row>
    <row r="3024" spans="1:13" x14ac:dyDescent="0.25">
      <c r="A3024" t="s">
        <v>823</v>
      </c>
      <c r="B3024" t="s">
        <v>106</v>
      </c>
      <c r="C3024" t="s">
        <v>48</v>
      </c>
      <c r="D3024" t="s">
        <v>81</v>
      </c>
      <c r="E3024">
        <v>2500</v>
      </c>
      <c r="F3024">
        <v>0.05</v>
      </c>
      <c r="G3024">
        <v>5500</v>
      </c>
      <c r="H3024" s="1">
        <v>44846</v>
      </c>
      <c r="I3024">
        <v>2022</v>
      </c>
      <c r="J3024">
        <v>10</v>
      </c>
      <c r="K3024" t="s">
        <v>26</v>
      </c>
      <c r="L3024">
        <v>0</v>
      </c>
      <c r="M3024">
        <v>1</v>
      </c>
    </row>
    <row r="3025" spans="1:13" x14ac:dyDescent="0.25">
      <c r="A3025" t="s">
        <v>2194</v>
      </c>
      <c r="B3025" t="s">
        <v>99</v>
      </c>
      <c r="C3025" t="s">
        <v>14</v>
      </c>
      <c r="D3025" t="s">
        <v>111</v>
      </c>
      <c r="E3025">
        <v>150</v>
      </c>
      <c r="F3025">
        <v>0.1</v>
      </c>
      <c r="G3025">
        <v>426</v>
      </c>
      <c r="H3025" s="1">
        <v>44846</v>
      </c>
      <c r="I3025">
        <v>2022</v>
      </c>
      <c r="J3025">
        <v>10</v>
      </c>
      <c r="K3025" t="s">
        <v>36</v>
      </c>
      <c r="L3025">
        <v>0</v>
      </c>
      <c r="M3025">
        <v>1</v>
      </c>
    </row>
    <row r="3026" spans="1:13" x14ac:dyDescent="0.25">
      <c r="A3026" t="s">
        <v>2195</v>
      </c>
      <c r="B3026" t="s">
        <v>13</v>
      </c>
      <c r="C3026" t="s">
        <v>161</v>
      </c>
      <c r="D3026" t="s">
        <v>15</v>
      </c>
      <c r="E3026">
        <v>150</v>
      </c>
      <c r="F3026" t="s">
        <v>21</v>
      </c>
      <c r="G3026">
        <v>1500</v>
      </c>
      <c r="H3026" s="1">
        <v>44846</v>
      </c>
      <c r="I3026">
        <v>2022</v>
      </c>
      <c r="J3026">
        <v>10</v>
      </c>
      <c r="K3026" t="s">
        <v>26</v>
      </c>
      <c r="L3026" t="s">
        <v>21</v>
      </c>
      <c r="M3026">
        <v>1</v>
      </c>
    </row>
    <row r="3027" spans="1:13" x14ac:dyDescent="0.25">
      <c r="A3027" t="s">
        <v>1335</v>
      </c>
      <c r="B3027" t="s">
        <v>106</v>
      </c>
      <c r="C3027" t="s">
        <v>48</v>
      </c>
      <c r="D3027" t="s">
        <v>68</v>
      </c>
      <c r="E3027">
        <v>130</v>
      </c>
      <c r="F3027">
        <v>0.75</v>
      </c>
      <c r="G3027">
        <v>17</v>
      </c>
      <c r="H3027" s="1">
        <v>44846</v>
      </c>
      <c r="I3027">
        <v>2022</v>
      </c>
      <c r="J3027">
        <v>10</v>
      </c>
      <c r="K3027" t="s">
        <v>30</v>
      </c>
      <c r="L3027">
        <v>0</v>
      </c>
      <c r="M3027">
        <v>1</v>
      </c>
    </row>
    <row r="3028" spans="1:13" x14ac:dyDescent="0.25">
      <c r="A3028" t="s">
        <v>926</v>
      </c>
      <c r="B3028" t="s">
        <v>35</v>
      </c>
      <c r="C3028" t="s">
        <v>14</v>
      </c>
      <c r="D3028" t="s">
        <v>43</v>
      </c>
      <c r="E3028">
        <v>500</v>
      </c>
      <c r="F3028">
        <v>0.1</v>
      </c>
      <c r="G3028">
        <v>657</v>
      </c>
      <c r="H3028" s="1">
        <v>44845</v>
      </c>
      <c r="I3028">
        <v>2022</v>
      </c>
      <c r="J3028">
        <v>10</v>
      </c>
      <c r="K3028" t="s">
        <v>36</v>
      </c>
      <c r="L3028">
        <v>0</v>
      </c>
      <c r="M3028">
        <v>1</v>
      </c>
    </row>
    <row r="3029" spans="1:13" x14ac:dyDescent="0.25">
      <c r="A3029" t="s">
        <v>2196</v>
      </c>
      <c r="B3029" t="s">
        <v>77</v>
      </c>
      <c r="C3029" t="s">
        <v>14</v>
      </c>
      <c r="D3029" t="s">
        <v>46</v>
      </c>
      <c r="E3029">
        <v>200</v>
      </c>
      <c r="F3029" t="s">
        <v>21</v>
      </c>
      <c r="G3029">
        <v>450</v>
      </c>
      <c r="H3029" s="1">
        <v>44845</v>
      </c>
      <c r="I3029">
        <v>2022</v>
      </c>
      <c r="J3029">
        <v>10</v>
      </c>
      <c r="K3029" t="s">
        <v>36</v>
      </c>
      <c r="L3029" t="s">
        <v>21</v>
      </c>
      <c r="M3029">
        <v>1</v>
      </c>
    </row>
    <row r="3030" spans="1:13" x14ac:dyDescent="0.25">
      <c r="A3030" t="s">
        <v>940</v>
      </c>
      <c r="B3030" t="s">
        <v>77</v>
      </c>
      <c r="C3030" t="s">
        <v>14</v>
      </c>
      <c r="D3030" t="s">
        <v>55</v>
      </c>
      <c r="E3030">
        <v>136</v>
      </c>
      <c r="F3030">
        <v>0.11</v>
      </c>
      <c r="G3030">
        <v>1500</v>
      </c>
      <c r="H3030" s="1">
        <v>44845</v>
      </c>
      <c r="I3030">
        <v>2022</v>
      </c>
      <c r="J3030">
        <v>10</v>
      </c>
      <c r="K3030" t="s">
        <v>26</v>
      </c>
      <c r="L3030">
        <v>0</v>
      </c>
      <c r="M3030">
        <v>1</v>
      </c>
    </row>
    <row r="3031" spans="1:13" x14ac:dyDescent="0.25">
      <c r="A3031" t="s">
        <v>2197</v>
      </c>
      <c r="B3031" t="s">
        <v>91</v>
      </c>
      <c r="C3031" t="s">
        <v>14</v>
      </c>
      <c r="D3031" t="s">
        <v>46</v>
      </c>
      <c r="E3031">
        <v>100</v>
      </c>
      <c r="F3031">
        <v>0.3</v>
      </c>
      <c r="G3031">
        <v>217</v>
      </c>
      <c r="H3031" s="1">
        <v>44845</v>
      </c>
      <c r="I3031">
        <v>2022</v>
      </c>
      <c r="J3031">
        <v>10</v>
      </c>
      <c r="K3031" t="s">
        <v>36</v>
      </c>
      <c r="L3031">
        <v>0</v>
      </c>
      <c r="M3031">
        <v>1</v>
      </c>
    </row>
    <row r="3032" spans="1:13" x14ac:dyDescent="0.25">
      <c r="A3032" t="s">
        <v>2198</v>
      </c>
      <c r="B3032" t="s">
        <v>13</v>
      </c>
      <c r="C3032" t="s">
        <v>74</v>
      </c>
      <c r="D3032" t="s">
        <v>68</v>
      </c>
      <c r="E3032">
        <v>80</v>
      </c>
      <c r="F3032" t="s">
        <v>21</v>
      </c>
      <c r="G3032">
        <v>20</v>
      </c>
      <c r="H3032" s="1">
        <v>44845</v>
      </c>
      <c r="I3032">
        <v>2022</v>
      </c>
      <c r="J3032">
        <v>10</v>
      </c>
      <c r="K3032" t="s">
        <v>30</v>
      </c>
      <c r="L3032" t="s">
        <v>21</v>
      </c>
      <c r="M3032">
        <v>1</v>
      </c>
    </row>
    <row r="3033" spans="1:13" x14ac:dyDescent="0.25">
      <c r="A3033" t="s">
        <v>2199</v>
      </c>
      <c r="B3033" t="s">
        <v>106</v>
      </c>
      <c r="C3033" t="s">
        <v>14</v>
      </c>
      <c r="D3033" t="s">
        <v>22</v>
      </c>
      <c r="E3033">
        <v>55</v>
      </c>
      <c r="F3033">
        <v>0.13</v>
      </c>
      <c r="G3033">
        <v>235</v>
      </c>
      <c r="H3033" s="1">
        <v>44845</v>
      </c>
      <c r="I3033">
        <v>2022</v>
      </c>
      <c r="J3033">
        <v>10</v>
      </c>
      <c r="K3033" t="s">
        <v>36</v>
      </c>
      <c r="L3033">
        <v>0</v>
      </c>
      <c r="M3033">
        <v>1</v>
      </c>
    </row>
    <row r="3034" spans="1:13" x14ac:dyDescent="0.25">
      <c r="A3034" t="s">
        <v>2200</v>
      </c>
      <c r="B3034" t="s">
        <v>54</v>
      </c>
      <c r="C3034" t="s">
        <v>87</v>
      </c>
      <c r="D3034" t="s">
        <v>49</v>
      </c>
      <c r="E3034">
        <v>35</v>
      </c>
      <c r="F3034">
        <v>0.35</v>
      </c>
      <c r="G3034">
        <v>2</v>
      </c>
      <c r="H3034" s="1">
        <v>44845</v>
      </c>
      <c r="I3034">
        <v>2022</v>
      </c>
      <c r="J3034">
        <v>10</v>
      </c>
      <c r="K3034" t="s">
        <v>16</v>
      </c>
      <c r="L3034">
        <v>0</v>
      </c>
      <c r="M3034">
        <v>1</v>
      </c>
    </row>
    <row r="3035" spans="1:13" x14ac:dyDescent="0.25">
      <c r="A3035" t="s">
        <v>2201</v>
      </c>
      <c r="B3035" t="s">
        <v>217</v>
      </c>
      <c r="C3035" t="s">
        <v>80</v>
      </c>
      <c r="D3035" t="s">
        <v>68</v>
      </c>
      <c r="E3035" t="s">
        <v>21</v>
      </c>
      <c r="F3035" t="s">
        <v>21</v>
      </c>
      <c r="G3035">
        <v>16</v>
      </c>
      <c r="H3035" s="1">
        <v>44845</v>
      </c>
      <c r="I3035">
        <v>2022</v>
      </c>
      <c r="J3035">
        <v>10</v>
      </c>
      <c r="K3035" t="s">
        <v>30</v>
      </c>
      <c r="L3035" t="s">
        <v>21</v>
      </c>
      <c r="M3035">
        <v>0</v>
      </c>
    </row>
    <row r="3036" spans="1:13" x14ac:dyDescent="0.25">
      <c r="A3036" t="s">
        <v>2202</v>
      </c>
      <c r="B3036" t="s">
        <v>52</v>
      </c>
      <c r="C3036" t="s">
        <v>1208</v>
      </c>
      <c r="D3036" t="s">
        <v>22</v>
      </c>
      <c r="E3036" t="s">
        <v>21</v>
      </c>
      <c r="F3036" t="s">
        <v>21</v>
      </c>
      <c r="G3036" t="s">
        <v>21</v>
      </c>
      <c r="H3036" s="1">
        <v>44845</v>
      </c>
      <c r="I3036">
        <v>2022</v>
      </c>
      <c r="J3036">
        <v>10</v>
      </c>
      <c r="K3036" t="s">
        <v>22</v>
      </c>
      <c r="L3036" t="s">
        <v>21</v>
      </c>
      <c r="M3036">
        <v>0</v>
      </c>
    </row>
    <row r="3037" spans="1:13" x14ac:dyDescent="0.25">
      <c r="A3037" t="s">
        <v>2203</v>
      </c>
      <c r="B3037" t="s">
        <v>40</v>
      </c>
      <c r="C3037" t="s">
        <v>174</v>
      </c>
      <c r="D3037" t="s">
        <v>49</v>
      </c>
      <c r="E3037" t="s">
        <v>21</v>
      </c>
      <c r="F3037" t="s">
        <v>21</v>
      </c>
      <c r="G3037" t="s">
        <v>21</v>
      </c>
      <c r="H3037" s="1">
        <v>44845</v>
      </c>
      <c r="I3037">
        <v>2022</v>
      </c>
      <c r="J3037">
        <v>10</v>
      </c>
      <c r="K3037" t="s">
        <v>22</v>
      </c>
      <c r="L3037" t="s">
        <v>21</v>
      </c>
      <c r="M3037">
        <v>0</v>
      </c>
    </row>
    <row r="3038" spans="1:13" x14ac:dyDescent="0.25">
      <c r="A3038" t="s">
        <v>466</v>
      </c>
      <c r="B3038" t="s">
        <v>95</v>
      </c>
      <c r="C3038" t="s">
        <v>14</v>
      </c>
      <c r="D3038" t="s">
        <v>15</v>
      </c>
      <c r="E3038">
        <v>611</v>
      </c>
      <c r="F3038" t="s">
        <v>21</v>
      </c>
      <c r="G3038">
        <v>367</v>
      </c>
      <c r="H3038" s="1">
        <v>44844</v>
      </c>
      <c r="I3038">
        <v>2022</v>
      </c>
      <c r="J3038">
        <v>10</v>
      </c>
      <c r="K3038" t="s">
        <v>36</v>
      </c>
      <c r="L3038" t="s">
        <v>21</v>
      </c>
      <c r="M3038">
        <v>1</v>
      </c>
    </row>
    <row r="3039" spans="1:13" x14ac:dyDescent="0.25">
      <c r="A3039" t="s">
        <v>1684</v>
      </c>
      <c r="B3039" t="s">
        <v>54</v>
      </c>
      <c r="C3039" t="s">
        <v>14</v>
      </c>
      <c r="D3039" t="s">
        <v>15</v>
      </c>
      <c r="E3039">
        <v>180</v>
      </c>
      <c r="F3039">
        <v>0.11</v>
      </c>
      <c r="G3039">
        <v>1100</v>
      </c>
      <c r="H3039" s="1">
        <v>44844</v>
      </c>
      <c r="I3039">
        <v>2022</v>
      </c>
      <c r="J3039">
        <v>10</v>
      </c>
      <c r="K3039" t="s">
        <v>26</v>
      </c>
      <c r="L3039">
        <v>0</v>
      </c>
      <c r="M3039">
        <v>1</v>
      </c>
    </row>
    <row r="3040" spans="1:13" x14ac:dyDescent="0.25">
      <c r="A3040" t="s">
        <v>2204</v>
      </c>
      <c r="B3040" t="s">
        <v>140</v>
      </c>
      <c r="C3040" t="s">
        <v>14</v>
      </c>
      <c r="D3040" t="s">
        <v>55</v>
      </c>
      <c r="E3040">
        <v>96</v>
      </c>
      <c r="F3040">
        <v>0.96</v>
      </c>
      <c r="G3040">
        <v>103</v>
      </c>
      <c r="H3040" s="1">
        <v>44844</v>
      </c>
      <c r="I3040">
        <v>2022</v>
      </c>
      <c r="J3040">
        <v>10</v>
      </c>
      <c r="K3040" t="s">
        <v>36</v>
      </c>
      <c r="L3040">
        <v>0</v>
      </c>
      <c r="M3040">
        <v>1</v>
      </c>
    </row>
    <row r="3041" spans="1:13" x14ac:dyDescent="0.25">
      <c r="A3041" t="s">
        <v>863</v>
      </c>
      <c r="B3041" t="s">
        <v>35</v>
      </c>
      <c r="C3041" t="s">
        <v>14</v>
      </c>
      <c r="D3041" t="s">
        <v>46</v>
      </c>
      <c r="E3041">
        <v>67</v>
      </c>
      <c r="F3041">
        <v>0.2</v>
      </c>
      <c r="G3041">
        <v>315</v>
      </c>
      <c r="H3041" s="1">
        <v>44844</v>
      </c>
      <c r="I3041">
        <v>2022</v>
      </c>
      <c r="J3041">
        <v>10</v>
      </c>
      <c r="K3041" t="s">
        <v>36</v>
      </c>
      <c r="L3041">
        <v>0</v>
      </c>
      <c r="M3041">
        <v>1</v>
      </c>
    </row>
    <row r="3042" spans="1:13" x14ac:dyDescent="0.25">
      <c r="A3042" t="s">
        <v>2205</v>
      </c>
      <c r="B3042" t="s">
        <v>140</v>
      </c>
      <c r="C3042" t="s">
        <v>14</v>
      </c>
      <c r="D3042" t="s">
        <v>22</v>
      </c>
      <c r="E3042" t="s">
        <v>21</v>
      </c>
      <c r="F3042">
        <v>0.33</v>
      </c>
      <c r="G3042">
        <v>58</v>
      </c>
      <c r="H3042" s="1">
        <v>44844</v>
      </c>
      <c r="I3042">
        <v>2022</v>
      </c>
      <c r="J3042">
        <v>10</v>
      </c>
      <c r="K3042" t="s">
        <v>30</v>
      </c>
      <c r="L3042">
        <v>0</v>
      </c>
      <c r="M3042">
        <v>1</v>
      </c>
    </row>
    <row r="3043" spans="1:13" x14ac:dyDescent="0.25">
      <c r="A3043" t="s">
        <v>2206</v>
      </c>
      <c r="B3043" t="s">
        <v>24</v>
      </c>
      <c r="C3043" t="s">
        <v>14</v>
      </c>
      <c r="D3043" t="s">
        <v>20</v>
      </c>
      <c r="E3043" t="s">
        <v>21</v>
      </c>
      <c r="F3043">
        <v>1</v>
      </c>
      <c r="G3043" t="s">
        <v>21</v>
      </c>
      <c r="H3043" s="1">
        <v>44843</v>
      </c>
      <c r="I3043">
        <v>2022</v>
      </c>
      <c r="J3043">
        <v>10</v>
      </c>
      <c r="K3043" t="s">
        <v>22</v>
      </c>
      <c r="L3043">
        <v>1</v>
      </c>
      <c r="M3043">
        <v>1</v>
      </c>
    </row>
    <row r="3044" spans="1:13" x14ac:dyDescent="0.25">
      <c r="A3044" t="s">
        <v>2207</v>
      </c>
      <c r="B3044" t="s">
        <v>35</v>
      </c>
      <c r="C3044" t="s">
        <v>14</v>
      </c>
      <c r="D3044" t="s">
        <v>15</v>
      </c>
      <c r="E3044">
        <v>120</v>
      </c>
      <c r="F3044">
        <v>0.04</v>
      </c>
      <c r="G3044">
        <v>585</v>
      </c>
      <c r="H3044" s="1">
        <v>44841</v>
      </c>
      <c r="I3044">
        <v>2022</v>
      </c>
      <c r="J3044">
        <v>10</v>
      </c>
      <c r="K3044" t="s">
        <v>36</v>
      </c>
      <c r="L3044">
        <v>0</v>
      </c>
      <c r="M3044">
        <v>1</v>
      </c>
    </row>
    <row r="3045" spans="1:13" x14ac:dyDescent="0.25">
      <c r="A3045" t="s">
        <v>2208</v>
      </c>
      <c r="B3045" t="s">
        <v>38</v>
      </c>
      <c r="C3045" t="s">
        <v>14</v>
      </c>
      <c r="D3045" t="s">
        <v>55</v>
      </c>
      <c r="E3045">
        <v>85</v>
      </c>
      <c r="F3045" t="s">
        <v>21</v>
      </c>
      <c r="G3045">
        <v>30</v>
      </c>
      <c r="H3045" s="1">
        <v>44841</v>
      </c>
      <c r="I3045">
        <v>2022</v>
      </c>
      <c r="J3045">
        <v>10</v>
      </c>
      <c r="K3045" t="s">
        <v>30</v>
      </c>
      <c r="L3045" t="s">
        <v>21</v>
      </c>
      <c r="M3045">
        <v>1</v>
      </c>
    </row>
    <row r="3046" spans="1:13" x14ac:dyDescent="0.25">
      <c r="A3046" t="s">
        <v>226</v>
      </c>
      <c r="B3046" t="s">
        <v>52</v>
      </c>
      <c r="C3046" t="s">
        <v>64</v>
      </c>
      <c r="D3046" t="s">
        <v>22</v>
      </c>
      <c r="E3046">
        <v>2000</v>
      </c>
      <c r="F3046">
        <v>0.3</v>
      </c>
      <c r="G3046">
        <v>156</v>
      </c>
      <c r="H3046" s="1">
        <v>44840</v>
      </c>
      <c r="I3046">
        <v>2022</v>
      </c>
      <c r="J3046">
        <v>10</v>
      </c>
      <c r="K3046" t="s">
        <v>36</v>
      </c>
      <c r="L3046">
        <v>0</v>
      </c>
      <c r="M3046">
        <v>1</v>
      </c>
    </row>
    <row r="3047" spans="1:13" x14ac:dyDescent="0.25">
      <c r="A3047" t="s">
        <v>272</v>
      </c>
      <c r="B3047" t="s">
        <v>207</v>
      </c>
      <c r="C3047" t="s">
        <v>14</v>
      </c>
      <c r="D3047" t="s">
        <v>15</v>
      </c>
      <c r="E3047">
        <v>500</v>
      </c>
      <c r="F3047">
        <v>0.12</v>
      </c>
      <c r="G3047">
        <v>1900</v>
      </c>
      <c r="H3047" s="1">
        <v>44840</v>
      </c>
      <c r="I3047">
        <v>2022</v>
      </c>
      <c r="J3047">
        <v>10</v>
      </c>
      <c r="K3047" t="s">
        <v>26</v>
      </c>
      <c r="L3047">
        <v>0</v>
      </c>
      <c r="M3047">
        <v>1</v>
      </c>
    </row>
    <row r="3048" spans="1:13" x14ac:dyDescent="0.25">
      <c r="A3048" t="s">
        <v>1061</v>
      </c>
      <c r="B3048" t="s">
        <v>91</v>
      </c>
      <c r="C3048" t="s">
        <v>14</v>
      </c>
      <c r="D3048" t="s">
        <v>46</v>
      </c>
      <c r="E3048">
        <v>110</v>
      </c>
      <c r="F3048" t="s">
        <v>21</v>
      </c>
      <c r="G3048">
        <v>347</v>
      </c>
      <c r="H3048" s="1">
        <v>44840</v>
      </c>
      <c r="I3048">
        <v>2022</v>
      </c>
      <c r="J3048">
        <v>10</v>
      </c>
      <c r="K3048" t="s">
        <v>36</v>
      </c>
      <c r="L3048" t="s">
        <v>21</v>
      </c>
      <c r="M3048">
        <v>1</v>
      </c>
    </row>
    <row r="3049" spans="1:13" x14ac:dyDescent="0.25">
      <c r="A3049" t="s">
        <v>846</v>
      </c>
      <c r="B3049" t="s">
        <v>106</v>
      </c>
      <c r="C3049" t="s">
        <v>14</v>
      </c>
      <c r="D3049" t="s">
        <v>20</v>
      </c>
      <c r="E3049">
        <v>51</v>
      </c>
      <c r="F3049">
        <v>0.05</v>
      </c>
      <c r="G3049" t="s">
        <v>21</v>
      </c>
      <c r="H3049" s="1">
        <v>44840</v>
      </c>
      <c r="I3049">
        <v>2022</v>
      </c>
      <c r="J3049">
        <v>10</v>
      </c>
      <c r="K3049" t="s">
        <v>22</v>
      </c>
      <c r="L3049">
        <v>0</v>
      </c>
      <c r="M3049">
        <v>1</v>
      </c>
    </row>
    <row r="3050" spans="1:13" x14ac:dyDescent="0.25">
      <c r="A3050" t="s">
        <v>1758</v>
      </c>
      <c r="B3050" t="s">
        <v>95</v>
      </c>
      <c r="C3050" t="s">
        <v>14</v>
      </c>
      <c r="D3050" t="s">
        <v>347</v>
      </c>
      <c r="E3050">
        <v>50</v>
      </c>
      <c r="F3050">
        <v>0.06</v>
      </c>
      <c r="G3050">
        <v>1900</v>
      </c>
      <c r="H3050" s="1">
        <v>44840</v>
      </c>
      <c r="I3050">
        <v>2022</v>
      </c>
      <c r="J3050">
        <v>10</v>
      </c>
      <c r="K3050" t="s">
        <v>26</v>
      </c>
      <c r="L3050">
        <v>0</v>
      </c>
      <c r="M3050">
        <v>1</v>
      </c>
    </row>
    <row r="3051" spans="1:13" x14ac:dyDescent="0.25">
      <c r="A3051" t="s">
        <v>2209</v>
      </c>
      <c r="B3051" t="s">
        <v>77</v>
      </c>
      <c r="C3051" t="s">
        <v>64</v>
      </c>
      <c r="D3051" t="s">
        <v>22</v>
      </c>
      <c r="E3051" t="s">
        <v>21</v>
      </c>
      <c r="F3051" t="s">
        <v>21</v>
      </c>
      <c r="G3051">
        <v>645</v>
      </c>
      <c r="H3051" s="1">
        <v>44840</v>
      </c>
      <c r="I3051">
        <v>2022</v>
      </c>
      <c r="J3051">
        <v>10</v>
      </c>
      <c r="K3051" t="s">
        <v>36</v>
      </c>
      <c r="L3051" t="s">
        <v>21</v>
      </c>
      <c r="M3051">
        <v>0</v>
      </c>
    </row>
    <row r="3052" spans="1:13" x14ac:dyDescent="0.25">
      <c r="A3052" t="s">
        <v>2210</v>
      </c>
      <c r="B3052" t="s">
        <v>77</v>
      </c>
      <c r="C3052" t="s">
        <v>256</v>
      </c>
      <c r="D3052" t="s">
        <v>33</v>
      </c>
      <c r="E3052" t="s">
        <v>21</v>
      </c>
      <c r="F3052" t="s">
        <v>21</v>
      </c>
      <c r="G3052">
        <v>29</v>
      </c>
      <c r="H3052" s="1">
        <v>44840</v>
      </c>
      <c r="I3052">
        <v>2022</v>
      </c>
      <c r="J3052">
        <v>10</v>
      </c>
      <c r="K3052" t="s">
        <v>30</v>
      </c>
      <c r="L3052" t="s">
        <v>21</v>
      </c>
      <c r="M3052">
        <v>0</v>
      </c>
    </row>
    <row r="3053" spans="1:13" x14ac:dyDescent="0.25">
      <c r="A3053" t="s">
        <v>2211</v>
      </c>
      <c r="B3053" t="s">
        <v>77</v>
      </c>
      <c r="C3053" t="s">
        <v>14</v>
      </c>
      <c r="D3053" t="s">
        <v>33</v>
      </c>
      <c r="E3053" t="s">
        <v>21</v>
      </c>
      <c r="F3053">
        <v>0.4</v>
      </c>
      <c r="G3053">
        <v>58</v>
      </c>
      <c r="H3053" s="1">
        <v>44840</v>
      </c>
      <c r="I3053">
        <v>2022</v>
      </c>
      <c r="J3053">
        <v>10</v>
      </c>
      <c r="K3053" t="s">
        <v>30</v>
      </c>
      <c r="L3053">
        <v>0</v>
      </c>
      <c r="M3053">
        <v>1</v>
      </c>
    </row>
    <row r="3054" spans="1:13" x14ac:dyDescent="0.25">
      <c r="A3054" t="s">
        <v>223</v>
      </c>
      <c r="B3054" t="s">
        <v>32</v>
      </c>
      <c r="C3054" t="s">
        <v>161</v>
      </c>
      <c r="D3054" t="s">
        <v>15</v>
      </c>
      <c r="E3054" t="s">
        <v>21</v>
      </c>
      <c r="F3054" t="s">
        <v>21</v>
      </c>
      <c r="G3054">
        <v>2100</v>
      </c>
      <c r="H3054" s="1">
        <v>44840</v>
      </c>
      <c r="I3054">
        <v>2022</v>
      </c>
      <c r="J3054">
        <v>10</v>
      </c>
      <c r="K3054" t="s">
        <v>26</v>
      </c>
      <c r="L3054" t="s">
        <v>21</v>
      </c>
      <c r="M3054">
        <v>0</v>
      </c>
    </row>
    <row r="3055" spans="1:13" x14ac:dyDescent="0.25">
      <c r="A3055" t="s">
        <v>2212</v>
      </c>
      <c r="B3055" t="s">
        <v>45</v>
      </c>
      <c r="C3055" t="s">
        <v>14</v>
      </c>
      <c r="D3055" t="s">
        <v>46</v>
      </c>
      <c r="E3055">
        <v>50</v>
      </c>
      <c r="F3055">
        <v>0.25</v>
      </c>
      <c r="G3055">
        <v>29</v>
      </c>
      <c r="H3055" s="1">
        <v>44839</v>
      </c>
      <c r="I3055">
        <v>2022</v>
      </c>
      <c r="J3055">
        <v>10</v>
      </c>
      <c r="K3055" t="s">
        <v>30</v>
      </c>
      <c r="L3055">
        <v>0</v>
      </c>
      <c r="M3055">
        <v>1</v>
      </c>
    </row>
    <row r="3056" spans="1:13" x14ac:dyDescent="0.25">
      <c r="A3056" t="s">
        <v>2213</v>
      </c>
      <c r="B3056" t="s">
        <v>35</v>
      </c>
      <c r="C3056" t="s">
        <v>14</v>
      </c>
      <c r="D3056" t="s">
        <v>33</v>
      </c>
      <c r="E3056" t="s">
        <v>21</v>
      </c>
      <c r="F3056">
        <v>0.5</v>
      </c>
      <c r="G3056">
        <v>73</v>
      </c>
      <c r="H3056" s="1">
        <v>44839</v>
      </c>
      <c r="I3056">
        <v>2022</v>
      </c>
      <c r="J3056">
        <v>10</v>
      </c>
      <c r="K3056" t="s">
        <v>30</v>
      </c>
      <c r="L3056">
        <v>0</v>
      </c>
      <c r="M3056">
        <v>1</v>
      </c>
    </row>
    <row r="3057" spans="1:13" x14ac:dyDescent="0.25">
      <c r="A3057" t="s">
        <v>1824</v>
      </c>
      <c r="B3057" t="s">
        <v>89</v>
      </c>
      <c r="C3057" t="s">
        <v>14</v>
      </c>
      <c r="D3057" t="s">
        <v>15</v>
      </c>
      <c r="E3057">
        <v>200</v>
      </c>
      <c r="F3057">
        <v>0.09</v>
      </c>
      <c r="G3057">
        <v>253</v>
      </c>
      <c r="H3057" s="1">
        <v>44838</v>
      </c>
      <c r="I3057">
        <v>2022</v>
      </c>
      <c r="J3057">
        <v>10</v>
      </c>
      <c r="K3057" t="s">
        <v>36</v>
      </c>
      <c r="L3057">
        <v>0</v>
      </c>
      <c r="M3057">
        <v>1</v>
      </c>
    </row>
    <row r="3058" spans="1:13" x14ac:dyDescent="0.25">
      <c r="A3058" t="s">
        <v>1493</v>
      </c>
      <c r="B3058" t="s">
        <v>66</v>
      </c>
      <c r="C3058" t="s">
        <v>42</v>
      </c>
      <c r="D3058" t="s">
        <v>33</v>
      </c>
      <c r="E3058">
        <v>65</v>
      </c>
      <c r="F3058">
        <v>0.16</v>
      </c>
      <c r="G3058">
        <v>105</v>
      </c>
      <c r="H3058" s="1">
        <v>44838</v>
      </c>
      <c r="I3058">
        <v>2022</v>
      </c>
      <c r="J3058">
        <v>10</v>
      </c>
      <c r="K3058" t="s">
        <v>36</v>
      </c>
      <c r="L3058">
        <v>0</v>
      </c>
      <c r="M3058">
        <v>1</v>
      </c>
    </row>
    <row r="3059" spans="1:13" x14ac:dyDescent="0.25">
      <c r="A3059" t="s">
        <v>799</v>
      </c>
      <c r="B3059" t="s">
        <v>91</v>
      </c>
      <c r="C3059" t="s">
        <v>14</v>
      </c>
      <c r="D3059" t="s">
        <v>33</v>
      </c>
      <c r="E3059">
        <v>40</v>
      </c>
      <c r="F3059">
        <v>0.13</v>
      </c>
      <c r="G3059">
        <v>35</v>
      </c>
      <c r="H3059" s="1">
        <v>44838</v>
      </c>
      <c r="I3059">
        <v>2022</v>
      </c>
      <c r="J3059">
        <v>10</v>
      </c>
      <c r="K3059" t="s">
        <v>30</v>
      </c>
      <c r="L3059">
        <v>0</v>
      </c>
      <c r="M3059">
        <v>1</v>
      </c>
    </row>
    <row r="3060" spans="1:13" x14ac:dyDescent="0.25">
      <c r="A3060" t="s">
        <v>2214</v>
      </c>
      <c r="B3060" t="s">
        <v>38</v>
      </c>
      <c r="C3060" t="s">
        <v>14</v>
      </c>
      <c r="D3060" t="s">
        <v>55</v>
      </c>
      <c r="E3060" t="s">
        <v>21</v>
      </c>
      <c r="F3060">
        <v>0.05</v>
      </c>
      <c r="G3060" t="s">
        <v>21</v>
      </c>
      <c r="H3060" s="1">
        <v>44838</v>
      </c>
      <c r="I3060">
        <v>2022</v>
      </c>
      <c r="J3060">
        <v>10</v>
      </c>
      <c r="K3060" t="s">
        <v>22</v>
      </c>
      <c r="L3060">
        <v>0</v>
      </c>
      <c r="M3060">
        <v>1</v>
      </c>
    </row>
    <row r="3061" spans="1:13" x14ac:dyDescent="0.25">
      <c r="A3061" t="s">
        <v>946</v>
      </c>
      <c r="B3061" t="s">
        <v>77</v>
      </c>
      <c r="C3061" t="s">
        <v>25</v>
      </c>
      <c r="D3061" t="s">
        <v>55</v>
      </c>
      <c r="E3061" t="s">
        <v>21</v>
      </c>
      <c r="F3061">
        <v>0.05</v>
      </c>
      <c r="G3061">
        <v>534</v>
      </c>
      <c r="H3061" s="1">
        <v>44838</v>
      </c>
      <c r="I3061">
        <v>2022</v>
      </c>
      <c r="J3061">
        <v>10</v>
      </c>
      <c r="K3061" t="s">
        <v>36</v>
      </c>
      <c r="L3061">
        <v>0</v>
      </c>
      <c r="M3061">
        <v>1</v>
      </c>
    </row>
    <row r="3062" spans="1:13" x14ac:dyDescent="0.25">
      <c r="A3062" t="s">
        <v>2215</v>
      </c>
      <c r="B3062" t="s">
        <v>54</v>
      </c>
      <c r="C3062" t="s">
        <v>14</v>
      </c>
      <c r="D3062" t="s">
        <v>46</v>
      </c>
      <c r="E3062" t="s">
        <v>21</v>
      </c>
      <c r="F3062">
        <v>0.15</v>
      </c>
      <c r="G3062">
        <v>360</v>
      </c>
      <c r="H3062" s="1">
        <v>44837</v>
      </c>
      <c r="I3062">
        <v>2022</v>
      </c>
      <c r="J3062">
        <v>10</v>
      </c>
      <c r="K3062" t="s">
        <v>36</v>
      </c>
      <c r="L3062">
        <v>0</v>
      </c>
      <c r="M3062">
        <v>1</v>
      </c>
    </row>
    <row r="3063" spans="1:13" x14ac:dyDescent="0.25">
      <c r="A3063" t="s">
        <v>2216</v>
      </c>
      <c r="B3063" t="s">
        <v>207</v>
      </c>
      <c r="C3063" t="s">
        <v>14</v>
      </c>
      <c r="D3063" t="s">
        <v>46</v>
      </c>
      <c r="E3063" t="s">
        <v>21</v>
      </c>
      <c r="F3063" t="s">
        <v>21</v>
      </c>
      <c r="G3063">
        <v>298</v>
      </c>
      <c r="H3063" s="1">
        <v>44837</v>
      </c>
      <c r="I3063">
        <v>2022</v>
      </c>
      <c r="J3063">
        <v>10</v>
      </c>
      <c r="K3063" t="s">
        <v>36</v>
      </c>
      <c r="L3063" t="s">
        <v>21</v>
      </c>
      <c r="M3063">
        <v>0</v>
      </c>
    </row>
    <row r="3064" spans="1:13" x14ac:dyDescent="0.25">
      <c r="A3064" t="s">
        <v>2217</v>
      </c>
      <c r="B3064" t="s">
        <v>52</v>
      </c>
      <c r="C3064" t="s">
        <v>48</v>
      </c>
      <c r="D3064" t="s">
        <v>20</v>
      </c>
      <c r="E3064">
        <v>60</v>
      </c>
      <c r="F3064">
        <v>0.4</v>
      </c>
      <c r="G3064" t="s">
        <v>21</v>
      </c>
      <c r="H3064" s="1">
        <v>44836</v>
      </c>
      <c r="I3064">
        <v>2022</v>
      </c>
      <c r="J3064">
        <v>10</v>
      </c>
      <c r="K3064" t="s">
        <v>22</v>
      </c>
      <c r="L3064">
        <v>0</v>
      </c>
      <c r="M3064">
        <v>1</v>
      </c>
    </row>
    <row r="3065" spans="1:13" x14ac:dyDescent="0.25">
      <c r="A3065" t="s">
        <v>2218</v>
      </c>
      <c r="B3065" t="s">
        <v>66</v>
      </c>
      <c r="C3065" t="s">
        <v>14</v>
      </c>
      <c r="D3065" t="s">
        <v>20</v>
      </c>
      <c r="E3065">
        <v>78</v>
      </c>
      <c r="F3065">
        <v>0.1</v>
      </c>
      <c r="G3065">
        <v>8</v>
      </c>
      <c r="H3065" s="1">
        <v>44834</v>
      </c>
      <c r="I3065">
        <v>2022</v>
      </c>
      <c r="J3065">
        <v>9</v>
      </c>
      <c r="K3065" t="s">
        <v>16</v>
      </c>
      <c r="L3065">
        <v>0</v>
      </c>
      <c r="M3065">
        <v>1</v>
      </c>
    </row>
    <row r="3066" spans="1:13" x14ac:dyDescent="0.25">
      <c r="A3066" t="s">
        <v>2219</v>
      </c>
      <c r="B3066" t="s">
        <v>66</v>
      </c>
      <c r="C3066" t="s">
        <v>2220</v>
      </c>
      <c r="D3066" t="s">
        <v>111</v>
      </c>
      <c r="E3066" t="s">
        <v>21</v>
      </c>
      <c r="F3066">
        <v>0.1</v>
      </c>
      <c r="G3066">
        <v>607</v>
      </c>
      <c r="H3066" s="1">
        <v>44834</v>
      </c>
      <c r="I3066">
        <v>2022</v>
      </c>
      <c r="J3066">
        <v>9</v>
      </c>
      <c r="K3066" t="s">
        <v>36</v>
      </c>
      <c r="L3066">
        <v>0</v>
      </c>
      <c r="M3066">
        <v>1</v>
      </c>
    </row>
    <row r="3067" spans="1:13" x14ac:dyDescent="0.25">
      <c r="A3067" t="s">
        <v>2221</v>
      </c>
      <c r="B3067" t="s">
        <v>95</v>
      </c>
      <c r="C3067" t="s">
        <v>14</v>
      </c>
      <c r="D3067" t="s">
        <v>22</v>
      </c>
      <c r="E3067" t="s">
        <v>21</v>
      </c>
      <c r="F3067">
        <v>1</v>
      </c>
      <c r="G3067" t="s">
        <v>21</v>
      </c>
      <c r="H3067" s="1">
        <v>44834</v>
      </c>
      <c r="I3067">
        <v>2022</v>
      </c>
      <c r="J3067">
        <v>9</v>
      </c>
      <c r="K3067" t="s">
        <v>22</v>
      </c>
      <c r="L3067">
        <v>1</v>
      </c>
      <c r="M3067">
        <v>1</v>
      </c>
    </row>
    <row r="3068" spans="1:13" x14ac:dyDescent="0.25">
      <c r="A3068" t="s">
        <v>2222</v>
      </c>
      <c r="B3068" t="s">
        <v>35</v>
      </c>
      <c r="C3068" t="s">
        <v>14</v>
      </c>
      <c r="D3068" t="s">
        <v>55</v>
      </c>
      <c r="E3068" t="s">
        <v>21</v>
      </c>
      <c r="F3068" t="s">
        <v>21</v>
      </c>
      <c r="G3068">
        <v>255</v>
      </c>
      <c r="H3068" s="1">
        <v>44834</v>
      </c>
      <c r="I3068">
        <v>2022</v>
      </c>
      <c r="J3068">
        <v>9</v>
      </c>
      <c r="K3068" t="s">
        <v>36</v>
      </c>
      <c r="L3068" t="s">
        <v>21</v>
      </c>
      <c r="M3068">
        <v>0</v>
      </c>
    </row>
    <row r="3069" spans="1:13" x14ac:dyDescent="0.25">
      <c r="A3069" t="s">
        <v>2223</v>
      </c>
      <c r="B3069" t="s">
        <v>24</v>
      </c>
      <c r="C3069" t="s">
        <v>83</v>
      </c>
      <c r="D3069" t="s">
        <v>15</v>
      </c>
      <c r="E3069">
        <v>125</v>
      </c>
      <c r="F3069" t="s">
        <v>21</v>
      </c>
      <c r="G3069">
        <v>237</v>
      </c>
      <c r="H3069" s="1">
        <v>44833</v>
      </c>
      <c r="I3069">
        <v>2022</v>
      </c>
      <c r="J3069">
        <v>9</v>
      </c>
      <c r="K3069" t="s">
        <v>36</v>
      </c>
      <c r="L3069" t="s">
        <v>21</v>
      </c>
      <c r="M3069">
        <v>1</v>
      </c>
    </row>
    <row r="3070" spans="1:13" x14ac:dyDescent="0.25">
      <c r="A3070" t="s">
        <v>1432</v>
      </c>
      <c r="B3070" t="s">
        <v>140</v>
      </c>
      <c r="C3070" t="s">
        <v>14</v>
      </c>
      <c r="D3070" t="s">
        <v>55</v>
      </c>
      <c r="E3070">
        <v>40</v>
      </c>
      <c r="F3070">
        <v>0.2</v>
      </c>
      <c r="G3070">
        <v>173</v>
      </c>
      <c r="H3070" s="1">
        <v>44833</v>
      </c>
      <c r="I3070">
        <v>2022</v>
      </c>
      <c r="J3070">
        <v>9</v>
      </c>
      <c r="K3070" t="s">
        <v>36</v>
      </c>
      <c r="L3070">
        <v>0</v>
      </c>
      <c r="M3070">
        <v>1</v>
      </c>
    </row>
    <row r="3071" spans="1:13" x14ac:dyDescent="0.25">
      <c r="A3071" t="s">
        <v>1009</v>
      </c>
      <c r="B3071" t="s">
        <v>77</v>
      </c>
      <c r="C3071" t="s">
        <v>83</v>
      </c>
      <c r="D3071" t="s">
        <v>22</v>
      </c>
      <c r="E3071" t="s">
        <v>21</v>
      </c>
      <c r="F3071">
        <v>0.1</v>
      </c>
      <c r="G3071">
        <v>385</v>
      </c>
      <c r="H3071" s="1">
        <v>44833</v>
      </c>
      <c r="I3071">
        <v>2022</v>
      </c>
      <c r="J3071">
        <v>9</v>
      </c>
      <c r="K3071" t="s">
        <v>36</v>
      </c>
      <c r="L3071">
        <v>0</v>
      </c>
      <c r="M3071">
        <v>1</v>
      </c>
    </row>
    <row r="3072" spans="1:13" x14ac:dyDescent="0.25">
      <c r="A3072" t="s">
        <v>2224</v>
      </c>
      <c r="B3072" t="s">
        <v>40</v>
      </c>
      <c r="C3072" t="s">
        <v>83</v>
      </c>
      <c r="D3072" t="s">
        <v>55</v>
      </c>
      <c r="E3072" t="s">
        <v>21</v>
      </c>
      <c r="F3072" t="s">
        <v>21</v>
      </c>
      <c r="G3072">
        <v>107</v>
      </c>
      <c r="H3072" s="1">
        <v>44833</v>
      </c>
      <c r="I3072">
        <v>2022</v>
      </c>
      <c r="J3072">
        <v>9</v>
      </c>
      <c r="K3072" t="s">
        <v>36</v>
      </c>
      <c r="L3072" t="s">
        <v>21</v>
      </c>
      <c r="M3072">
        <v>0</v>
      </c>
    </row>
    <row r="3073" spans="1:13" x14ac:dyDescent="0.25">
      <c r="A3073" t="s">
        <v>902</v>
      </c>
      <c r="B3073" t="s">
        <v>99</v>
      </c>
      <c r="C3073" t="s">
        <v>14</v>
      </c>
      <c r="D3073" t="s">
        <v>15</v>
      </c>
      <c r="E3073">
        <v>671</v>
      </c>
      <c r="F3073">
        <v>0.09</v>
      </c>
      <c r="G3073">
        <v>536</v>
      </c>
      <c r="H3073" s="1">
        <v>44832</v>
      </c>
      <c r="I3073">
        <v>2022</v>
      </c>
      <c r="J3073">
        <v>9</v>
      </c>
      <c r="K3073" t="s">
        <v>36</v>
      </c>
      <c r="L3073">
        <v>0</v>
      </c>
      <c r="M3073">
        <v>1</v>
      </c>
    </row>
    <row r="3074" spans="1:13" x14ac:dyDescent="0.25">
      <c r="A3074" t="s">
        <v>2225</v>
      </c>
      <c r="B3074" t="s">
        <v>89</v>
      </c>
      <c r="C3074" t="s">
        <v>14</v>
      </c>
      <c r="D3074" t="s">
        <v>55</v>
      </c>
      <c r="E3074" t="s">
        <v>21</v>
      </c>
      <c r="F3074" t="s">
        <v>21</v>
      </c>
      <c r="G3074">
        <v>203</v>
      </c>
      <c r="H3074" s="1">
        <v>44832</v>
      </c>
      <c r="I3074">
        <v>2022</v>
      </c>
      <c r="J3074">
        <v>9</v>
      </c>
      <c r="K3074" t="s">
        <v>36</v>
      </c>
      <c r="L3074" t="s">
        <v>21</v>
      </c>
      <c r="M3074">
        <v>0</v>
      </c>
    </row>
    <row r="3075" spans="1:13" x14ac:dyDescent="0.25">
      <c r="A3075" t="s">
        <v>2177</v>
      </c>
      <c r="B3075" t="s">
        <v>66</v>
      </c>
      <c r="C3075" t="s">
        <v>14</v>
      </c>
      <c r="D3075" t="s">
        <v>15</v>
      </c>
      <c r="E3075" t="s">
        <v>21</v>
      </c>
      <c r="F3075">
        <v>0.1</v>
      </c>
      <c r="G3075">
        <v>575</v>
      </c>
      <c r="H3075" s="1">
        <v>44832</v>
      </c>
      <c r="I3075">
        <v>2022</v>
      </c>
      <c r="J3075">
        <v>9</v>
      </c>
      <c r="K3075" t="s">
        <v>36</v>
      </c>
      <c r="L3075">
        <v>0</v>
      </c>
      <c r="M3075">
        <v>1</v>
      </c>
    </row>
    <row r="3076" spans="1:13" x14ac:dyDescent="0.25">
      <c r="A3076" t="s">
        <v>1174</v>
      </c>
      <c r="B3076" t="s">
        <v>91</v>
      </c>
      <c r="C3076" t="s">
        <v>14</v>
      </c>
      <c r="D3076" t="s">
        <v>33</v>
      </c>
      <c r="E3076">
        <v>40</v>
      </c>
      <c r="F3076">
        <v>0.12</v>
      </c>
      <c r="G3076">
        <v>180</v>
      </c>
      <c r="H3076" s="1">
        <v>44831</v>
      </c>
      <c r="I3076">
        <v>2022</v>
      </c>
      <c r="J3076">
        <v>9</v>
      </c>
      <c r="K3076" t="s">
        <v>36</v>
      </c>
      <c r="L3076">
        <v>0</v>
      </c>
      <c r="M3076">
        <v>1</v>
      </c>
    </row>
    <row r="3077" spans="1:13" x14ac:dyDescent="0.25">
      <c r="A3077" t="s">
        <v>1922</v>
      </c>
      <c r="B3077" t="s">
        <v>38</v>
      </c>
      <c r="C3077" t="s">
        <v>80</v>
      </c>
      <c r="D3077" t="s">
        <v>22</v>
      </c>
      <c r="E3077" t="s">
        <v>21</v>
      </c>
      <c r="F3077" t="s">
        <v>21</v>
      </c>
      <c r="G3077">
        <v>692</v>
      </c>
      <c r="H3077" s="1">
        <v>44831</v>
      </c>
      <c r="I3077">
        <v>2022</v>
      </c>
      <c r="J3077">
        <v>9</v>
      </c>
      <c r="K3077" t="s">
        <v>36</v>
      </c>
      <c r="L3077" t="s">
        <v>21</v>
      </c>
      <c r="M3077">
        <v>0</v>
      </c>
    </row>
    <row r="3078" spans="1:13" x14ac:dyDescent="0.25">
      <c r="A3078" t="s">
        <v>884</v>
      </c>
      <c r="B3078" t="s">
        <v>95</v>
      </c>
      <c r="C3078" t="s">
        <v>14</v>
      </c>
      <c r="D3078" t="s">
        <v>22</v>
      </c>
      <c r="E3078" t="s">
        <v>21</v>
      </c>
      <c r="F3078" t="s">
        <v>21</v>
      </c>
      <c r="G3078">
        <v>2900</v>
      </c>
      <c r="H3078" s="1">
        <v>44828</v>
      </c>
      <c r="I3078">
        <v>2022</v>
      </c>
      <c r="J3078">
        <v>9</v>
      </c>
      <c r="K3078" t="s">
        <v>26</v>
      </c>
      <c r="L3078" t="s">
        <v>21</v>
      </c>
      <c r="M3078">
        <v>0</v>
      </c>
    </row>
    <row r="3079" spans="1:13" x14ac:dyDescent="0.25">
      <c r="A3079" t="s">
        <v>2226</v>
      </c>
      <c r="B3079" t="s">
        <v>77</v>
      </c>
      <c r="C3079" t="s">
        <v>1362</v>
      </c>
      <c r="D3079" t="s">
        <v>111</v>
      </c>
      <c r="E3079">
        <v>180</v>
      </c>
      <c r="F3079" t="s">
        <v>21</v>
      </c>
      <c r="G3079">
        <v>706</v>
      </c>
      <c r="H3079" s="1">
        <v>44827</v>
      </c>
      <c r="I3079">
        <v>2022</v>
      </c>
      <c r="J3079">
        <v>9</v>
      </c>
      <c r="K3079" t="s">
        <v>36</v>
      </c>
      <c r="L3079" t="s">
        <v>21</v>
      </c>
      <c r="M3079">
        <v>1</v>
      </c>
    </row>
    <row r="3080" spans="1:13" x14ac:dyDescent="0.25">
      <c r="A3080" t="s">
        <v>1452</v>
      </c>
      <c r="B3080" t="s">
        <v>77</v>
      </c>
      <c r="C3080" t="s">
        <v>83</v>
      </c>
      <c r="D3080" t="s">
        <v>33</v>
      </c>
      <c r="E3080">
        <v>70</v>
      </c>
      <c r="F3080">
        <v>0.15</v>
      </c>
      <c r="G3080">
        <v>150</v>
      </c>
      <c r="H3080" s="1">
        <v>44827</v>
      </c>
      <c r="I3080">
        <v>2022</v>
      </c>
      <c r="J3080">
        <v>9</v>
      </c>
      <c r="K3080" t="s">
        <v>36</v>
      </c>
      <c r="L3080">
        <v>0</v>
      </c>
      <c r="M3080">
        <v>1</v>
      </c>
    </row>
    <row r="3081" spans="1:13" x14ac:dyDescent="0.25">
      <c r="A3081" t="s">
        <v>2227</v>
      </c>
      <c r="B3081" t="s">
        <v>95</v>
      </c>
      <c r="C3081" t="s">
        <v>14</v>
      </c>
      <c r="D3081" t="s">
        <v>46</v>
      </c>
      <c r="E3081">
        <v>26</v>
      </c>
      <c r="F3081">
        <v>0.04</v>
      </c>
      <c r="G3081">
        <v>166</v>
      </c>
      <c r="H3081" s="1">
        <v>44827</v>
      </c>
      <c r="I3081">
        <v>2022</v>
      </c>
      <c r="J3081">
        <v>9</v>
      </c>
      <c r="K3081" t="s">
        <v>36</v>
      </c>
      <c r="L3081">
        <v>0</v>
      </c>
      <c r="M3081">
        <v>1</v>
      </c>
    </row>
    <row r="3082" spans="1:13" x14ac:dyDescent="0.25">
      <c r="A3082" t="s">
        <v>2228</v>
      </c>
      <c r="B3082" t="s">
        <v>28</v>
      </c>
      <c r="C3082" t="s">
        <v>174</v>
      </c>
      <c r="D3082" t="s">
        <v>55</v>
      </c>
      <c r="E3082">
        <v>24</v>
      </c>
      <c r="F3082">
        <v>0.05</v>
      </c>
      <c r="G3082">
        <v>474</v>
      </c>
      <c r="H3082" s="1">
        <v>44827</v>
      </c>
      <c r="I3082">
        <v>2022</v>
      </c>
      <c r="J3082">
        <v>9</v>
      </c>
      <c r="K3082" t="s">
        <v>36</v>
      </c>
      <c r="L3082">
        <v>0</v>
      </c>
      <c r="M3082">
        <v>1</v>
      </c>
    </row>
    <row r="3083" spans="1:13" x14ac:dyDescent="0.25">
      <c r="A3083" t="s">
        <v>2229</v>
      </c>
      <c r="B3083" t="s">
        <v>13</v>
      </c>
      <c r="C3083" t="s">
        <v>14</v>
      </c>
      <c r="D3083" t="s">
        <v>49</v>
      </c>
      <c r="E3083" t="s">
        <v>21</v>
      </c>
      <c r="F3083">
        <v>1</v>
      </c>
      <c r="G3083">
        <v>6</v>
      </c>
      <c r="H3083" s="1">
        <v>44827</v>
      </c>
      <c r="I3083">
        <v>2022</v>
      </c>
      <c r="J3083">
        <v>9</v>
      </c>
      <c r="K3083" t="s">
        <v>16</v>
      </c>
      <c r="L3083">
        <v>1</v>
      </c>
      <c r="M3083">
        <v>1</v>
      </c>
    </row>
    <row r="3084" spans="1:13" x14ac:dyDescent="0.25">
      <c r="A3084" t="s">
        <v>2230</v>
      </c>
      <c r="B3084" t="s">
        <v>52</v>
      </c>
      <c r="C3084" t="s">
        <v>14</v>
      </c>
      <c r="D3084" t="s">
        <v>81</v>
      </c>
      <c r="E3084">
        <v>110</v>
      </c>
      <c r="F3084">
        <v>0.33</v>
      </c>
      <c r="G3084">
        <v>1400</v>
      </c>
      <c r="H3084" s="1">
        <v>44826</v>
      </c>
      <c r="I3084">
        <v>2022</v>
      </c>
      <c r="J3084">
        <v>9</v>
      </c>
      <c r="K3084" t="s">
        <v>26</v>
      </c>
      <c r="L3084">
        <v>0</v>
      </c>
      <c r="M3084">
        <v>1</v>
      </c>
    </row>
    <row r="3085" spans="1:13" x14ac:dyDescent="0.25">
      <c r="A3085" t="s">
        <v>2231</v>
      </c>
      <c r="B3085" t="s">
        <v>77</v>
      </c>
      <c r="C3085" t="s">
        <v>161</v>
      </c>
      <c r="D3085" t="s">
        <v>22</v>
      </c>
      <c r="E3085">
        <v>100</v>
      </c>
      <c r="F3085" t="s">
        <v>21</v>
      </c>
      <c r="G3085">
        <v>3700</v>
      </c>
      <c r="H3085" s="1">
        <v>44826</v>
      </c>
      <c r="I3085">
        <v>2022</v>
      </c>
      <c r="J3085">
        <v>9</v>
      </c>
      <c r="K3085" t="s">
        <v>26</v>
      </c>
      <c r="L3085" t="s">
        <v>21</v>
      </c>
      <c r="M3085">
        <v>1</v>
      </c>
    </row>
    <row r="3086" spans="1:13" x14ac:dyDescent="0.25">
      <c r="A3086" t="s">
        <v>2232</v>
      </c>
      <c r="B3086" t="s">
        <v>24</v>
      </c>
      <c r="C3086" t="s">
        <v>80</v>
      </c>
      <c r="D3086" t="s">
        <v>55</v>
      </c>
      <c r="E3086" t="s">
        <v>21</v>
      </c>
      <c r="F3086">
        <v>0.35</v>
      </c>
      <c r="G3086">
        <v>136</v>
      </c>
      <c r="H3086" s="1">
        <v>44826</v>
      </c>
      <c r="I3086">
        <v>2022</v>
      </c>
      <c r="J3086">
        <v>9</v>
      </c>
      <c r="K3086" t="s">
        <v>36</v>
      </c>
      <c r="L3086">
        <v>0</v>
      </c>
      <c r="M3086">
        <v>1</v>
      </c>
    </row>
    <row r="3087" spans="1:13" x14ac:dyDescent="0.25">
      <c r="A3087" t="s">
        <v>2233</v>
      </c>
      <c r="B3087" t="s">
        <v>490</v>
      </c>
      <c r="C3087" t="s">
        <v>14</v>
      </c>
      <c r="D3087" t="s">
        <v>22</v>
      </c>
      <c r="E3087">
        <v>100</v>
      </c>
      <c r="F3087">
        <v>1</v>
      </c>
      <c r="G3087">
        <v>1</v>
      </c>
      <c r="H3087" s="1">
        <v>44825</v>
      </c>
      <c r="I3087">
        <v>2022</v>
      </c>
      <c r="J3087">
        <v>9</v>
      </c>
      <c r="K3087" t="s">
        <v>16</v>
      </c>
      <c r="L3087">
        <v>1</v>
      </c>
      <c r="M3087">
        <v>1</v>
      </c>
    </row>
    <row r="3088" spans="1:13" x14ac:dyDescent="0.25">
      <c r="A3088" t="s">
        <v>2234</v>
      </c>
      <c r="B3088" t="s">
        <v>40</v>
      </c>
      <c r="C3088" t="s">
        <v>14</v>
      </c>
      <c r="D3088" t="s">
        <v>49</v>
      </c>
      <c r="E3088" t="s">
        <v>21</v>
      </c>
      <c r="F3088" t="s">
        <v>21</v>
      </c>
      <c r="G3088">
        <v>5</v>
      </c>
      <c r="H3088" s="1">
        <v>44825</v>
      </c>
      <c r="I3088">
        <v>2022</v>
      </c>
      <c r="J3088">
        <v>9</v>
      </c>
      <c r="K3088" t="s">
        <v>16</v>
      </c>
      <c r="L3088" t="s">
        <v>21</v>
      </c>
      <c r="M3088">
        <v>0</v>
      </c>
    </row>
    <row r="3089" spans="1:13" x14ac:dyDescent="0.25">
      <c r="A3089" t="s">
        <v>1916</v>
      </c>
      <c r="B3089" t="s">
        <v>91</v>
      </c>
      <c r="C3089" t="s">
        <v>14</v>
      </c>
      <c r="D3089" t="s">
        <v>15</v>
      </c>
      <c r="E3089">
        <v>271</v>
      </c>
      <c r="F3089" t="s">
        <v>21</v>
      </c>
      <c r="G3089">
        <v>1600</v>
      </c>
      <c r="H3089" s="1">
        <v>44824</v>
      </c>
      <c r="I3089">
        <v>2022</v>
      </c>
      <c r="J3089">
        <v>9</v>
      </c>
      <c r="K3089" t="s">
        <v>26</v>
      </c>
      <c r="L3089" t="s">
        <v>21</v>
      </c>
      <c r="M3089">
        <v>1</v>
      </c>
    </row>
    <row r="3090" spans="1:13" x14ac:dyDescent="0.25">
      <c r="A3090" t="s">
        <v>2235</v>
      </c>
      <c r="B3090" t="s">
        <v>35</v>
      </c>
      <c r="C3090" t="s">
        <v>14</v>
      </c>
      <c r="D3090" t="s">
        <v>49</v>
      </c>
      <c r="E3090">
        <v>109</v>
      </c>
      <c r="F3090" t="s">
        <v>21</v>
      </c>
      <c r="G3090">
        <v>8</v>
      </c>
      <c r="H3090" s="1">
        <v>44824</v>
      </c>
      <c r="I3090">
        <v>2022</v>
      </c>
      <c r="J3090">
        <v>9</v>
      </c>
      <c r="K3090" t="s">
        <v>16</v>
      </c>
      <c r="L3090" t="s">
        <v>21</v>
      </c>
      <c r="M3090">
        <v>1</v>
      </c>
    </row>
    <row r="3091" spans="1:13" x14ac:dyDescent="0.25">
      <c r="A3091" t="s">
        <v>1747</v>
      </c>
      <c r="B3091" t="s">
        <v>89</v>
      </c>
      <c r="C3091" t="s">
        <v>174</v>
      </c>
      <c r="D3091" t="s">
        <v>46</v>
      </c>
      <c r="E3091">
        <v>78</v>
      </c>
      <c r="F3091">
        <v>0.16</v>
      </c>
      <c r="G3091">
        <v>190</v>
      </c>
      <c r="H3091" s="1">
        <v>44824</v>
      </c>
      <c r="I3091">
        <v>2022</v>
      </c>
      <c r="J3091">
        <v>9</v>
      </c>
      <c r="K3091" t="s">
        <v>36</v>
      </c>
      <c r="L3091">
        <v>0</v>
      </c>
      <c r="M3091">
        <v>1</v>
      </c>
    </row>
    <row r="3092" spans="1:13" x14ac:dyDescent="0.25">
      <c r="A3092">
        <v>99</v>
      </c>
      <c r="B3092" t="s">
        <v>66</v>
      </c>
      <c r="C3092" t="s">
        <v>230</v>
      </c>
      <c r="D3092" t="s">
        <v>20</v>
      </c>
      <c r="E3092">
        <v>75</v>
      </c>
      <c r="F3092">
        <v>0.02</v>
      </c>
      <c r="G3092">
        <v>244</v>
      </c>
      <c r="H3092" s="1">
        <v>44824</v>
      </c>
      <c r="I3092">
        <v>2022</v>
      </c>
      <c r="J3092">
        <v>9</v>
      </c>
      <c r="K3092" t="s">
        <v>36</v>
      </c>
      <c r="L3092">
        <v>0</v>
      </c>
      <c r="M3092">
        <v>1</v>
      </c>
    </row>
    <row r="3093" spans="1:13" x14ac:dyDescent="0.25">
      <c r="A3093" t="s">
        <v>2236</v>
      </c>
      <c r="B3093" t="s">
        <v>66</v>
      </c>
      <c r="C3093" t="s">
        <v>14</v>
      </c>
      <c r="D3093" t="s">
        <v>15</v>
      </c>
      <c r="E3093" t="s">
        <v>21</v>
      </c>
      <c r="F3093">
        <v>0.1</v>
      </c>
      <c r="G3093">
        <v>282</v>
      </c>
      <c r="H3093" s="1">
        <v>44824</v>
      </c>
      <c r="I3093">
        <v>2022</v>
      </c>
      <c r="J3093">
        <v>9</v>
      </c>
      <c r="K3093" t="s">
        <v>36</v>
      </c>
      <c r="L3093">
        <v>0</v>
      </c>
      <c r="M3093">
        <v>1</v>
      </c>
    </row>
    <row r="3094" spans="1:13" x14ac:dyDescent="0.25">
      <c r="A3094" t="s">
        <v>1807</v>
      </c>
      <c r="B3094" t="s">
        <v>24</v>
      </c>
      <c r="C3094" t="s">
        <v>14</v>
      </c>
      <c r="D3094" t="s">
        <v>20</v>
      </c>
      <c r="E3094" t="s">
        <v>21</v>
      </c>
      <c r="F3094">
        <v>0.04</v>
      </c>
      <c r="G3094">
        <v>62</v>
      </c>
      <c r="H3094" s="1">
        <v>44824</v>
      </c>
      <c r="I3094">
        <v>2022</v>
      </c>
      <c r="J3094">
        <v>9</v>
      </c>
      <c r="K3094" t="s">
        <v>30</v>
      </c>
      <c r="L3094">
        <v>0</v>
      </c>
      <c r="M3094">
        <v>1</v>
      </c>
    </row>
    <row r="3095" spans="1:13" x14ac:dyDescent="0.25">
      <c r="A3095" t="s">
        <v>790</v>
      </c>
      <c r="B3095" t="s">
        <v>66</v>
      </c>
      <c r="C3095" t="s">
        <v>48</v>
      </c>
      <c r="D3095" t="s">
        <v>429</v>
      </c>
      <c r="E3095">
        <v>200</v>
      </c>
      <c r="F3095" t="s">
        <v>21</v>
      </c>
      <c r="G3095">
        <v>5000</v>
      </c>
      <c r="H3095" s="1">
        <v>44823</v>
      </c>
      <c r="I3095">
        <v>2022</v>
      </c>
      <c r="J3095">
        <v>9</v>
      </c>
      <c r="K3095" t="s">
        <v>26</v>
      </c>
      <c r="L3095" t="s">
        <v>21</v>
      </c>
      <c r="M3095">
        <v>1</v>
      </c>
    </row>
    <row r="3096" spans="1:13" x14ac:dyDescent="0.25">
      <c r="A3096" t="s">
        <v>2237</v>
      </c>
      <c r="B3096" t="s">
        <v>35</v>
      </c>
      <c r="C3096" t="s">
        <v>14</v>
      </c>
      <c r="D3096" t="s">
        <v>33</v>
      </c>
      <c r="E3096">
        <v>29</v>
      </c>
      <c r="F3096">
        <v>0.43</v>
      </c>
      <c r="G3096">
        <v>75</v>
      </c>
      <c r="H3096" s="1">
        <v>44823</v>
      </c>
      <c r="I3096">
        <v>2022</v>
      </c>
      <c r="J3096">
        <v>9</v>
      </c>
      <c r="K3096" t="s">
        <v>30</v>
      </c>
      <c r="L3096">
        <v>0</v>
      </c>
      <c r="M3096">
        <v>1</v>
      </c>
    </row>
    <row r="3097" spans="1:13" x14ac:dyDescent="0.25">
      <c r="A3097" t="s">
        <v>996</v>
      </c>
      <c r="B3097" t="s">
        <v>54</v>
      </c>
      <c r="C3097" t="s">
        <v>14</v>
      </c>
      <c r="D3097" t="s">
        <v>43</v>
      </c>
      <c r="E3097" t="s">
        <v>21</v>
      </c>
      <c r="F3097">
        <v>0.02</v>
      </c>
      <c r="G3097">
        <v>456</v>
      </c>
      <c r="H3097" s="1">
        <v>44823</v>
      </c>
      <c r="I3097">
        <v>2022</v>
      </c>
      <c r="J3097">
        <v>9</v>
      </c>
      <c r="K3097" t="s">
        <v>36</v>
      </c>
      <c r="L3097">
        <v>0</v>
      </c>
      <c r="M3097">
        <v>1</v>
      </c>
    </row>
    <row r="3098" spans="1:13" x14ac:dyDescent="0.25">
      <c r="A3098" t="s">
        <v>94</v>
      </c>
      <c r="B3098" t="s">
        <v>95</v>
      </c>
      <c r="C3098" t="s">
        <v>25</v>
      </c>
      <c r="D3098" t="s">
        <v>22</v>
      </c>
      <c r="E3098" t="s">
        <v>21</v>
      </c>
      <c r="F3098" t="s">
        <v>21</v>
      </c>
      <c r="G3098" t="s">
        <v>21</v>
      </c>
      <c r="H3098" s="1">
        <v>44822</v>
      </c>
      <c r="I3098">
        <v>2022</v>
      </c>
      <c r="J3098">
        <v>9</v>
      </c>
      <c r="K3098" t="s">
        <v>22</v>
      </c>
      <c r="L3098" t="s">
        <v>21</v>
      </c>
      <c r="M3098">
        <v>0</v>
      </c>
    </row>
    <row r="3099" spans="1:13" x14ac:dyDescent="0.25">
      <c r="A3099" t="s">
        <v>387</v>
      </c>
      <c r="B3099" t="s">
        <v>77</v>
      </c>
      <c r="C3099" t="s">
        <v>48</v>
      </c>
      <c r="D3099" t="s">
        <v>46</v>
      </c>
      <c r="E3099">
        <v>190</v>
      </c>
      <c r="F3099">
        <v>0.2</v>
      </c>
      <c r="G3099">
        <v>140</v>
      </c>
      <c r="H3099" s="1">
        <v>44820</v>
      </c>
      <c r="I3099">
        <v>2022</v>
      </c>
      <c r="J3099">
        <v>9</v>
      </c>
      <c r="K3099" t="s">
        <v>36</v>
      </c>
      <c r="L3099">
        <v>0</v>
      </c>
      <c r="M3099">
        <v>1</v>
      </c>
    </row>
    <row r="3100" spans="1:13" x14ac:dyDescent="0.25">
      <c r="A3100" t="s">
        <v>569</v>
      </c>
      <c r="B3100" t="s">
        <v>77</v>
      </c>
      <c r="C3100" t="s">
        <v>80</v>
      </c>
      <c r="D3100" t="s">
        <v>111</v>
      </c>
      <c r="E3100">
        <v>40</v>
      </c>
      <c r="F3100">
        <v>0.1</v>
      </c>
      <c r="G3100">
        <v>271</v>
      </c>
      <c r="H3100" s="1">
        <v>44820</v>
      </c>
      <c r="I3100">
        <v>2022</v>
      </c>
      <c r="J3100">
        <v>9</v>
      </c>
      <c r="K3100" t="s">
        <v>36</v>
      </c>
      <c r="L3100">
        <v>0</v>
      </c>
      <c r="M3100">
        <v>1</v>
      </c>
    </row>
    <row r="3101" spans="1:13" x14ac:dyDescent="0.25">
      <c r="A3101" t="s">
        <v>2238</v>
      </c>
      <c r="B3101" t="s">
        <v>89</v>
      </c>
      <c r="C3101" t="s">
        <v>14</v>
      </c>
      <c r="D3101" t="s">
        <v>15</v>
      </c>
      <c r="E3101">
        <v>193</v>
      </c>
      <c r="F3101">
        <v>0.11</v>
      </c>
      <c r="G3101">
        <v>42</v>
      </c>
      <c r="H3101" s="1">
        <v>44819</v>
      </c>
      <c r="I3101">
        <v>2022</v>
      </c>
      <c r="J3101">
        <v>9</v>
      </c>
      <c r="K3101" t="s">
        <v>30</v>
      </c>
      <c r="L3101">
        <v>0</v>
      </c>
      <c r="M3101">
        <v>1</v>
      </c>
    </row>
    <row r="3102" spans="1:13" x14ac:dyDescent="0.25">
      <c r="A3102" t="s">
        <v>2239</v>
      </c>
      <c r="B3102" t="s">
        <v>32</v>
      </c>
      <c r="C3102" t="s">
        <v>161</v>
      </c>
      <c r="D3102" t="s">
        <v>15</v>
      </c>
      <c r="E3102">
        <v>70</v>
      </c>
      <c r="F3102">
        <v>0.15</v>
      </c>
      <c r="G3102">
        <v>126</v>
      </c>
      <c r="H3102" s="1">
        <v>44819</v>
      </c>
      <c r="I3102">
        <v>2022</v>
      </c>
      <c r="J3102">
        <v>9</v>
      </c>
      <c r="K3102" t="s">
        <v>36</v>
      </c>
      <c r="L3102">
        <v>0</v>
      </c>
      <c r="M3102">
        <v>1</v>
      </c>
    </row>
    <row r="3103" spans="1:13" x14ac:dyDescent="0.25">
      <c r="A3103" t="s">
        <v>2240</v>
      </c>
      <c r="B3103" t="s">
        <v>40</v>
      </c>
      <c r="C3103" t="s">
        <v>14</v>
      </c>
      <c r="D3103" t="s">
        <v>46</v>
      </c>
      <c r="E3103">
        <v>35</v>
      </c>
      <c r="F3103">
        <v>0.2</v>
      </c>
      <c r="G3103">
        <v>67</v>
      </c>
      <c r="H3103" s="1">
        <v>44819</v>
      </c>
      <c r="I3103">
        <v>2022</v>
      </c>
      <c r="J3103">
        <v>9</v>
      </c>
      <c r="K3103" t="s">
        <v>30</v>
      </c>
      <c r="L3103">
        <v>0</v>
      </c>
      <c r="M3103">
        <v>1</v>
      </c>
    </row>
    <row r="3104" spans="1:13" x14ac:dyDescent="0.25">
      <c r="A3104" t="s">
        <v>677</v>
      </c>
      <c r="B3104" t="s">
        <v>35</v>
      </c>
      <c r="C3104" t="s">
        <v>14</v>
      </c>
      <c r="D3104" t="s">
        <v>33</v>
      </c>
      <c r="E3104" t="s">
        <v>21</v>
      </c>
      <c r="F3104" t="s">
        <v>21</v>
      </c>
      <c r="G3104">
        <v>90</v>
      </c>
      <c r="H3104" s="1">
        <v>44819</v>
      </c>
      <c r="I3104">
        <v>2022</v>
      </c>
      <c r="J3104">
        <v>9</v>
      </c>
      <c r="K3104" t="s">
        <v>30</v>
      </c>
      <c r="L3104" t="s">
        <v>21</v>
      </c>
      <c r="M3104">
        <v>0</v>
      </c>
    </row>
    <row r="3105" spans="1:13" x14ac:dyDescent="0.25">
      <c r="A3105" t="s">
        <v>2241</v>
      </c>
      <c r="B3105" t="s">
        <v>54</v>
      </c>
      <c r="C3105" t="s">
        <v>14</v>
      </c>
      <c r="D3105" t="s">
        <v>22</v>
      </c>
      <c r="E3105" t="s">
        <v>21</v>
      </c>
      <c r="F3105">
        <v>7.0000000000000007E-2</v>
      </c>
      <c r="G3105">
        <v>108</v>
      </c>
      <c r="H3105" s="1">
        <v>44819</v>
      </c>
      <c r="I3105">
        <v>2022</v>
      </c>
      <c r="J3105">
        <v>9</v>
      </c>
      <c r="K3105" t="s">
        <v>36</v>
      </c>
      <c r="L3105">
        <v>0</v>
      </c>
      <c r="M3105">
        <v>1</v>
      </c>
    </row>
    <row r="3106" spans="1:13" x14ac:dyDescent="0.25">
      <c r="A3106" t="s">
        <v>1035</v>
      </c>
      <c r="B3106" t="s">
        <v>13</v>
      </c>
      <c r="C3106" t="s">
        <v>14</v>
      </c>
      <c r="D3106" t="s">
        <v>15</v>
      </c>
      <c r="E3106">
        <v>800</v>
      </c>
      <c r="F3106">
        <v>0.11</v>
      </c>
      <c r="G3106">
        <v>614</v>
      </c>
      <c r="H3106" s="1">
        <v>44818</v>
      </c>
      <c r="I3106">
        <v>2022</v>
      </c>
      <c r="J3106">
        <v>9</v>
      </c>
      <c r="K3106" t="s">
        <v>36</v>
      </c>
      <c r="L3106">
        <v>0</v>
      </c>
      <c r="M3106">
        <v>1</v>
      </c>
    </row>
    <row r="3107" spans="1:13" x14ac:dyDescent="0.25">
      <c r="A3107" t="s">
        <v>986</v>
      </c>
      <c r="B3107" t="s">
        <v>54</v>
      </c>
      <c r="C3107" t="s">
        <v>83</v>
      </c>
      <c r="D3107" t="s">
        <v>33</v>
      </c>
      <c r="E3107">
        <v>59</v>
      </c>
      <c r="F3107">
        <v>0.3</v>
      </c>
      <c r="G3107">
        <v>137</v>
      </c>
      <c r="H3107" s="1">
        <v>44818</v>
      </c>
      <c r="I3107">
        <v>2022</v>
      </c>
      <c r="J3107">
        <v>9</v>
      </c>
      <c r="K3107" t="s">
        <v>36</v>
      </c>
      <c r="L3107">
        <v>0</v>
      </c>
      <c r="M3107">
        <v>1</v>
      </c>
    </row>
    <row r="3108" spans="1:13" x14ac:dyDescent="0.25">
      <c r="A3108" t="s">
        <v>2032</v>
      </c>
      <c r="B3108" t="s">
        <v>13</v>
      </c>
      <c r="C3108" t="s">
        <v>83</v>
      </c>
      <c r="D3108" t="s">
        <v>55</v>
      </c>
      <c r="E3108">
        <v>50</v>
      </c>
      <c r="F3108">
        <v>0.05</v>
      </c>
      <c r="G3108">
        <v>604</v>
      </c>
      <c r="H3108" s="1">
        <v>44818</v>
      </c>
      <c r="I3108">
        <v>2022</v>
      </c>
      <c r="J3108">
        <v>9</v>
      </c>
      <c r="K3108" t="s">
        <v>36</v>
      </c>
      <c r="L3108">
        <v>0</v>
      </c>
      <c r="M3108">
        <v>1</v>
      </c>
    </row>
    <row r="3109" spans="1:13" x14ac:dyDescent="0.25">
      <c r="A3109" t="s">
        <v>2242</v>
      </c>
      <c r="B3109" t="s">
        <v>32</v>
      </c>
      <c r="C3109" t="s">
        <v>14</v>
      </c>
      <c r="D3109" t="s">
        <v>15</v>
      </c>
      <c r="E3109">
        <v>30</v>
      </c>
      <c r="F3109" t="s">
        <v>21</v>
      </c>
      <c r="G3109">
        <v>121900</v>
      </c>
      <c r="H3109" s="1">
        <v>44818</v>
      </c>
      <c r="I3109">
        <v>2022</v>
      </c>
      <c r="J3109">
        <v>9</v>
      </c>
      <c r="K3109" t="s">
        <v>26</v>
      </c>
      <c r="L3109" t="s">
        <v>21</v>
      </c>
      <c r="M3109">
        <v>1</v>
      </c>
    </row>
    <row r="3110" spans="1:13" x14ac:dyDescent="0.25">
      <c r="A3110" t="s">
        <v>2243</v>
      </c>
      <c r="B3110" t="s">
        <v>140</v>
      </c>
      <c r="C3110" t="s">
        <v>2244</v>
      </c>
      <c r="D3110" t="s">
        <v>46</v>
      </c>
      <c r="E3110" t="s">
        <v>21</v>
      </c>
      <c r="F3110">
        <v>0.14000000000000001</v>
      </c>
      <c r="G3110">
        <v>83</v>
      </c>
      <c r="H3110" s="1">
        <v>44818</v>
      </c>
      <c r="I3110">
        <v>2022</v>
      </c>
      <c r="J3110">
        <v>9</v>
      </c>
      <c r="K3110" t="s">
        <v>30</v>
      </c>
      <c r="L3110">
        <v>0</v>
      </c>
      <c r="M3110">
        <v>1</v>
      </c>
    </row>
    <row r="3111" spans="1:13" x14ac:dyDescent="0.25">
      <c r="A3111" t="s">
        <v>2143</v>
      </c>
      <c r="B3111" t="s">
        <v>35</v>
      </c>
      <c r="C3111" t="s">
        <v>14</v>
      </c>
      <c r="D3111" t="s">
        <v>15</v>
      </c>
      <c r="E3111">
        <v>160</v>
      </c>
      <c r="F3111">
        <v>0.75</v>
      </c>
      <c r="G3111">
        <v>445</v>
      </c>
      <c r="H3111" s="1">
        <v>44817</v>
      </c>
      <c r="I3111">
        <v>2022</v>
      </c>
      <c r="J3111">
        <v>9</v>
      </c>
      <c r="K3111" t="s">
        <v>36</v>
      </c>
      <c r="L3111">
        <v>0</v>
      </c>
      <c r="M3111">
        <v>1</v>
      </c>
    </row>
    <row r="3112" spans="1:13" x14ac:dyDescent="0.25">
      <c r="A3112" t="s">
        <v>1006</v>
      </c>
      <c r="B3112" t="s">
        <v>77</v>
      </c>
      <c r="C3112" t="s">
        <v>80</v>
      </c>
      <c r="D3112" t="s">
        <v>55</v>
      </c>
      <c r="E3112">
        <v>100</v>
      </c>
      <c r="F3112">
        <v>0.05</v>
      </c>
      <c r="G3112">
        <v>1800</v>
      </c>
      <c r="H3112" s="1">
        <v>44817</v>
      </c>
      <c r="I3112">
        <v>2022</v>
      </c>
      <c r="J3112">
        <v>9</v>
      </c>
      <c r="K3112" t="s">
        <v>26</v>
      </c>
      <c r="L3112">
        <v>0</v>
      </c>
      <c r="M3112">
        <v>1</v>
      </c>
    </row>
    <row r="3113" spans="1:13" x14ac:dyDescent="0.25">
      <c r="A3113" t="s">
        <v>189</v>
      </c>
      <c r="B3113" t="s">
        <v>54</v>
      </c>
      <c r="C3113" t="s">
        <v>14</v>
      </c>
      <c r="D3113" t="s">
        <v>15</v>
      </c>
      <c r="E3113">
        <v>100</v>
      </c>
      <c r="F3113">
        <v>0.06</v>
      </c>
      <c r="G3113">
        <v>445</v>
      </c>
      <c r="H3113" s="1">
        <v>44817</v>
      </c>
      <c r="I3113">
        <v>2022</v>
      </c>
      <c r="J3113">
        <v>9</v>
      </c>
      <c r="K3113" t="s">
        <v>36</v>
      </c>
      <c r="L3113">
        <v>0</v>
      </c>
      <c r="M3113">
        <v>1</v>
      </c>
    </row>
    <row r="3114" spans="1:13" x14ac:dyDescent="0.25">
      <c r="A3114" t="s">
        <v>2245</v>
      </c>
      <c r="B3114" t="s">
        <v>32</v>
      </c>
      <c r="C3114" t="s">
        <v>14</v>
      </c>
      <c r="D3114" t="s">
        <v>43</v>
      </c>
      <c r="E3114">
        <v>80</v>
      </c>
      <c r="F3114">
        <v>0.17</v>
      </c>
      <c r="G3114">
        <v>413</v>
      </c>
      <c r="H3114" s="1">
        <v>44817</v>
      </c>
      <c r="I3114">
        <v>2022</v>
      </c>
      <c r="J3114">
        <v>9</v>
      </c>
      <c r="K3114" t="s">
        <v>36</v>
      </c>
      <c r="L3114">
        <v>0</v>
      </c>
      <c r="M3114">
        <v>1</v>
      </c>
    </row>
    <row r="3115" spans="1:13" x14ac:dyDescent="0.25">
      <c r="A3115" t="s">
        <v>977</v>
      </c>
      <c r="B3115" t="s">
        <v>54</v>
      </c>
      <c r="C3115" t="s">
        <v>14</v>
      </c>
      <c r="D3115" t="s">
        <v>22</v>
      </c>
      <c r="E3115" t="s">
        <v>21</v>
      </c>
      <c r="F3115">
        <v>0.12</v>
      </c>
      <c r="G3115">
        <v>197</v>
      </c>
      <c r="H3115" s="1">
        <v>44817</v>
      </c>
      <c r="I3115">
        <v>2022</v>
      </c>
      <c r="J3115">
        <v>9</v>
      </c>
      <c r="K3115" t="s">
        <v>36</v>
      </c>
      <c r="L3115">
        <v>0</v>
      </c>
      <c r="M3115">
        <v>1</v>
      </c>
    </row>
    <row r="3116" spans="1:13" x14ac:dyDescent="0.25">
      <c r="A3116" t="s">
        <v>2246</v>
      </c>
      <c r="B3116" t="s">
        <v>91</v>
      </c>
      <c r="C3116" t="s">
        <v>2247</v>
      </c>
      <c r="D3116" t="s">
        <v>68</v>
      </c>
      <c r="E3116" t="s">
        <v>21</v>
      </c>
      <c r="F3116">
        <v>1</v>
      </c>
      <c r="G3116">
        <v>33</v>
      </c>
      <c r="H3116" s="1">
        <v>44817</v>
      </c>
      <c r="I3116">
        <v>2022</v>
      </c>
      <c r="J3116">
        <v>9</v>
      </c>
      <c r="K3116" t="s">
        <v>30</v>
      </c>
      <c r="L3116">
        <v>1</v>
      </c>
      <c r="M3116">
        <v>1</v>
      </c>
    </row>
    <row r="3117" spans="1:13" x14ac:dyDescent="0.25">
      <c r="A3117" t="s">
        <v>2248</v>
      </c>
      <c r="B3117" t="s">
        <v>66</v>
      </c>
      <c r="C3117" t="s">
        <v>230</v>
      </c>
      <c r="D3117" t="s">
        <v>20</v>
      </c>
      <c r="E3117">
        <v>60</v>
      </c>
      <c r="F3117" t="s">
        <v>21</v>
      </c>
      <c r="G3117">
        <v>28</v>
      </c>
      <c r="H3117" s="1">
        <v>44816</v>
      </c>
      <c r="I3117">
        <v>2022</v>
      </c>
      <c r="J3117">
        <v>9</v>
      </c>
      <c r="K3117" t="s">
        <v>30</v>
      </c>
      <c r="L3117" t="s">
        <v>21</v>
      </c>
      <c r="M3117">
        <v>1</v>
      </c>
    </row>
    <row r="3118" spans="1:13" x14ac:dyDescent="0.25">
      <c r="A3118" t="s">
        <v>2249</v>
      </c>
      <c r="B3118" t="s">
        <v>38</v>
      </c>
      <c r="C3118" t="s">
        <v>14</v>
      </c>
      <c r="D3118" t="s">
        <v>55</v>
      </c>
      <c r="E3118">
        <v>25</v>
      </c>
      <c r="F3118" t="s">
        <v>21</v>
      </c>
      <c r="G3118">
        <v>81</v>
      </c>
      <c r="H3118" s="1">
        <v>44816</v>
      </c>
      <c r="I3118">
        <v>2022</v>
      </c>
      <c r="J3118">
        <v>9</v>
      </c>
      <c r="K3118" t="s">
        <v>30</v>
      </c>
      <c r="L3118" t="s">
        <v>21</v>
      </c>
      <c r="M3118">
        <v>1</v>
      </c>
    </row>
    <row r="3119" spans="1:13" x14ac:dyDescent="0.25">
      <c r="A3119" t="s">
        <v>2250</v>
      </c>
      <c r="B3119" t="s">
        <v>40</v>
      </c>
      <c r="C3119" t="s">
        <v>29</v>
      </c>
      <c r="D3119" t="s">
        <v>68</v>
      </c>
      <c r="E3119">
        <v>11</v>
      </c>
      <c r="F3119">
        <v>0.28000000000000003</v>
      </c>
      <c r="G3119">
        <v>17</v>
      </c>
      <c r="H3119" s="1">
        <v>44816</v>
      </c>
      <c r="I3119">
        <v>2022</v>
      </c>
      <c r="J3119">
        <v>9</v>
      </c>
      <c r="K3119" t="s">
        <v>30</v>
      </c>
      <c r="L3119">
        <v>0</v>
      </c>
      <c r="M3119">
        <v>1</v>
      </c>
    </row>
    <row r="3120" spans="1:13" x14ac:dyDescent="0.25">
      <c r="A3120" t="s">
        <v>2251</v>
      </c>
      <c r="B3120" t="s">
        <v>13</v>
      </c>
      <c r="C3120" t="s">
        <v>14</v>
      </c>
      <c r="D3120" t="s">
        <v>33</v>
      </c>
      <c r="E3120" t="s">
        <v>21</v>
      </c>
      <c r="F3120">
        <v>0.23</v>
      </c>
      <c r="G3120">
        <v>91</v>
      </c>
      <c r="H3120" s="1">
        <v>44816</v>
      </c>
      <c r="I3120">
        <v>2022</v>
      </c>
      <c r="J3120">
        <v>9</v>
      </c>
      <c r="K3120" t="s">
        <v>30</v>
      </c>
      <c r="L3120">
        <v>0</v>
      </c>
      <c r="M3120">
        <v>1</v>
      </c>
    </row>
    <row r="3121" spans="1:13" x14ac:dyDescent="0.25">
      <c r="A3121" t="s">
        <v>979</v>
      </c>
      <c r="B3121" t="s">
        <v>24</v>
      </c>
      <c r="C3121" t="s">
        <v>14</v>
      </c>
      <c r="D3121" t="s">
        <v>15</v>
      </c>
      <c r="E3121" t="s">
        <v>21</v>
      </c>
      <c r="F3121">
        <v>0.24</v>
      </c>
      <c r="G3121">
        <v>526</v>
      </c>
      <c r="H3121" s="1">
        <v>44816</v>
      </c>
      <c r="I3121">
        <v>2022</v>
      </c>
      <c r="J3121">
        <v>9</v>
      </c>
      <c r="K3121" t="s">
        <v>36</v>
      </c>
      <c r="L3121">
        <v>0</v>
      </c>
      <c r="M3121">
        <v>1</v>
      </c>
    </row>
    <row r="3122" spans="1:13" x14ac:dyDescent="0.25">
      <c r="A3122" t="s">
        <v>183</v>
      </c>
      <c r="B3122" t="s">
        <v>38</v>
      </c>
      <c r="C3122" t="s">
        <v>14</v>
      </c>
      <c r="D3122" t="s">
        <v>33</v>
      </c>
      <c r="E3122" t="s">
        <v>21</v>
      </c>
      <c r="F3122" t="s">
        <v>21</v>
      </c>
      <c r="G3122">
        <v>84</v>
      </c>
      <c r="H3122" s="1">
        <v>44816</v>
      </c>
      <c r="I3122">
        <v>2022</v>
      </c>
      <c r="J3122">
        <v>9</v>
      </c>
      <c r="K3122" t="s">
        <v>30</v>
      </c>
      <c r="L3122" t="s">
        <v>21</v>
      </c>
      <c r="M3122">
        <v>0</v>
      </c>
    </row>
    <row r="3123" spans="1:13" x14ac:dyDescent="0.25">
      <c r="A3123" t="s">
        <v>2252</v>
      </c>
      <c r="B3123" t="s">
        <v>95</v>
      </c>
      <c r="C3123" t="s">
        <v>174</v>
      </c>
      <c r="D3123" t="s">
        <v>20</v>
      </c>
      <c r="E3123">
        <v>350</v>
      </c>
      <c r="F3123" t="s">
        <v>21</v>
      </c>
      <c r="G3123">
        <v>6</v>
      </c>
      <c r="H3123" s="1">
        <v>44813</v>
      </c>
      <c r="I3123">
        <v>2022</v>
      </c>
      <c r="J3123">
        <v>9</v>
      </c>
      <c r="K3123" t="s">
        <v>16</v>
      </c>
      <c r="L3123" t="s">
        <v>21</v>
      </c>
      <c r="M3123">
        <v>1</v>
      </c>
    </row>
    <row r="3124" spans="1:13" x14ac:dyDescent="0.25">
      <c r="A3124" t="s">
        <v>2253</v>
      </c>
      <c r="B3124" t="s">
        <v>217</v>
      </c>
      <c r="C3124" t="s">
        <v>42</v>
      </c>
      <c r="D3124" t="s">
        <v>46</v>
      </c>
      <c r="E3124">
        <v>58</v>
      </c>
      <c r="F3124" t="s">
        <v>21</v>
      </c>
      <c r="G3124">
        <v>145</v>
      </c>
      <c r="H3124" s="1">
        <v>44813</v>
      </c>
      <c r="I3124">
        <v>2022</v>
      </c>
      <c r="J3124">
        <v>9</v>
      </c>
      <c r="K3124" t="s">
        <v>36</v>
      </c>
      <c r="L3124" t="s">
        <v>21</v>
      </c>
      <c r="M3124">
        <v>1</v>
      </c>
    </row>
    <row r="3125" spans="1:13" x14ac:dyDescent="0.25">
      <c r="A3125" t="s">
        <v>2245</v>
      </c>
      <c r="B3125" t="s">
        <v>32</v>
      </c>
      <c r="C3125" t="s">
        <v>14</v>
      </c>
      <c r="D3125" t="s">
        <v>43</v>
      </c>
      <c r="E3125">
        <v>5</v>
      </c>
      <c r="F3125" t="s">
        <v>21</v>
      </c>
      <c r="G3125">
        <v>413</v>
      </c>
      <c r="H3125" s="1">
        <v>44813</v>
      </c>
      <c r="I3125">
        <v>2022</v>
      </c>
      <c r="J3125">
        <v>9</v>
      </c>
      <c r="K3125" t="s">
        <v>36</v>
      </c>
      <c r="L3125" t="s">
        <v>21</v>
      </c>
      <c r="M3125">
        <v>1</v>
      </c>
    </row>
    <row r="3126" spans="1:13" x14ac:dyDescent="0.25">
      <c r="A3126" t="s">
        <v>2254</v>
      </c>
      <c r="B3126" t="s">
        <v>52</v>
      </c>
      <c r="C3126" t="s">
        <v>1208</v>
      </c>
      <c r="D3126" t="s">
        <v>33</v>
      </c>
      <c r="E3126" t="s">
        <v>21</v>
      </c>
      <c r="F3126">
        <v>0.1</v>
      </c>
      <c r="G3126">
        <v>328</v>
      </c>
      <c r="H3126" s="1">
        <v>44813</v>
      </c>
      <c r="I3126">
        <v>2022</v>
      </c>
      <c r="J3126">
        <v>9</v>
      </c>
      <c r="K3126" t="s">
        <v>36</v>
      </c>
      <c r="L3126">
        <v>0</v>
      </c>
      <c r="M3126">
        <v>1</v>
      </c>
    </row>
    <row r="3127" spans="1:13" x14ac:dyDescent="0.25">
      <c r="A3127" t="s">
        <v>2255</v>
      </c>
      <c r="B3127" t="s">
        <v>77</v>
      </c>
      <c r="C3127" t="s">
        <v>146</v>
      </c>
      <c r="D3127" t="s">
        <v>68</v>
      </c>
      <c r="E3127" t="s">
        <v>21</v>
      </c>
      <c r="F3127" t="s">
        <v>21</v>
      </c>
      <c r="G3127">
        <v>33</v>
      </c>
      <c r="H3127" s="1">
        <v>44813</v>
      </c>
      <c r="I3127">
        <v>2022</v>
      </c>
      <c r="J3127">
        <v>9</v>
      </c>
      <c r="K3127" t="s">
        <v>30</v>
      </c>
      <c r="L3127" t="s">
        <v>21</v>
      </c>
      <c r="M3127">
        <v>0</v>
      </c>
    </row>
    <row r="3128" spans="1:13" x14ac:dyDescent="0.25">
      <c r="A3128" t="s">
        <v>2256</v>
      </c>
      <c r="B3128" t="s">
        <v>77</v>
      </c>
      <c r="C3128" t="s">
        <v>14</v>
      </c>
      <c r="D3128" t="s">
        <v>55</v>
      </c>
      <c r="E3128" t="s">
        <v>21</v>
      </c>
      <c r="F3128">
        <v>1</v>
      </c>
      <c r="G3128">
        <v>125</v>
      </c>
      <c r="H3128" s="1">
        <v>44813</v>
      </c>
      <c r="I3128">
        <v>2022</v>
      </c>
      <c r="J3128">
        <v>9</v>
      </c>
      <c r="K3128" t="s">
        <v>36</v>
      </c>
      <c r="L3128">
        <v>1</v>
      </c>
      <c r="M3128">
        <v>1</v>
      </c>
    </row>
    <row r="3129" spans="1:13" x14ac:dyDescent="0.25">
      <c r="A3129" t="s">
        <v>2257</v>
      </c>
      <c r="B3129" t="s">
        <v>106</v>
      </c>
      <c r="C3129" t="s">
        <v>14</v>
      </c>
      <c r="D3129" t="s">
        <v>20</v>
      </c>
      <c r="E3129" t="s">
        <v>21</v>
      </c>
      <c r="F3129" t="s">
        <v>21</v>
      </c>
      <c r="G3129">
        <v>175</v>
      </c>
      <c r="H3129" s="1">
        <v>44813</v>
      </c>
      <c r="I3129">
        <v>2022</v>
      </c>
      <c r="J3129">
        <v>9</v>
      </c>
      <c r="K3129" t="s">
        <v>36</v>
      </c>
      <c r="L3129" t="s">
        <v>21</v>
      </c>
      <c r="M3129">
        <v>0</v>
      </c>
    </row>
    <row r="3130" spans="1:13" x14ac:dyDescent="0.25">
      <c r="A3130" t="s">
        <v>2258</v>
      </c>
      <c r="B3130" t="s">
        <v>24</v>
      </c>
      <c r="C3130" t="s">
        <v>14</v>
      </c>
      <c r="D3130" t="s">
        <v>22</v>
      </c>
      <c r="E3130" t="s">
        <v>21</v>
      </c>
      <c r="F3130">
        <v>0.15</v>
      </c>
      <c r="G3130">
        <v>45</v>
      </c>
      <c r="H3130" s="1">
        <v>44813</v>
      </c>
      <c r="I3130">
        <v>2022</v>
      </c>
      <c r="J3130">
        <v>9</v>
      </c>
      <c r="K3130" t="s">
        <v>30</v>
      </c>
      <c r="L3130">
        <v>0</v>
      </c>
      <c r="M3130">
        <v>1</v>
      </c>
    </row>
    <row r="3131" spans="1:13" x14ac:dyDescent="0.25">
      <c r="A3131" t="s">
        <v>2259</v>
      </c>
      <c r="B3131" t="s">
        <v>106</v>
      </c>
      <c r="C3131" t="s">
        <v>48</v>
      </c>
      <c r="D3131" t="s">
        <v>46</v>
      </c>
      <c r="E3131" t="s">
        <v>21</v>
      </c>
      <c r="F3131">
        <v>1</v>
      </c>
      <c r="G3131">
        <v>20</v>
      </c>
      <c r="H3131" s="1">
        <v>44813</v>
      </c>
      <c r="I3131">
        <v>2022</v>
      </c>
      <c r="J3131">
        <v>9</v>
      </c>
      <c r="K3131" t="s">
        <v>30</v>
      </c>
      <c r="L3131">
        <v>1</v>
      </c>
      <c r="M3131">
        <v>1</v>
      </c>
    </row>
    <row r="3132" spans="1:13" x14ac:dyDescent="0.25">
      <c r="A3132" t="s">
        <v>942</v>
      </c>
      <c r="B3132" t="s">
        <v>106</v>
      </c>
      <c r="C3132" t="s">
        <v>71</v>
      </c>
      <c r="D3132" t="s">
        <v>55</v>
      </c>
      <c r="E3132">
        <v>200</v>
      </c>
      <c r="F3132" t="s">
        <v>21</v>
      </c>
      <c r="G3132">
        <v>686</v>
      </c>
      <c r="H3132" s="1">
        <v>44812</v>
      </c>
      <c r="I3132">
        <v>2022</v>
      </c>
      <c r="J3132">
        <v>9</v>
      </c>
      <c r="K3132" t="s">
        <v>36</v>
      </c>
      <c r="L3132" t="s">
        <v>21</v>
      </c>
      <c r="M3132">
        <v>1</v>
      </c>
    </row>
    <row r="3133" spans="1:13" x14ac:dyDescent="0.25">
      <c r="A3133" t="s">
        <v>2260</v>
      </c>
      <c r="B3133" t="s">
        <v>24</v>
      </c>
      <c r="C3133" t="s">
        <v>2261</v>
      </c>
      <c r="D3133" t="s">
        <v>22</v>
      </c>
      <c r="E3133">
        <v>55</v>
      </c>
      <c r="F3133">
        <v>0.08</v>
      </c>
      <c r="G3133">
        <v>120</v>
      </c>
      <c r="H3133" s="1">
        <v>44812</v>
      </c>
      <c r="I3133">
        <v>2022</v>
      </c>
      <c r="J3133">
        <v>9</v>
      </c>
      <c r="K3133" t="s">
        <v>36</v>
      </c>
      <c r="L3133">
        <v>0</v>
      </c>
      <c r="M3133">
        <v>1</v>
      </c>
    </row>
    <row r="3134" spans="1:13" x14ac:dyDescent="0.25">
      <c r="A3134" t="s">
        <v>2262</v>
      </c>
      <c r="B3134" t="s">
        <v>35</v>
      </c>
      <c r="C3134" t="s">
        <v>14</v>
      </c>
      <c r="D3134" t="s">
        <v>46</v>
      </c>
      <c r="E3134">
        <v>23</v>
      </c>
      <c r="F3134" t="s">
        <v>21</v>
      </c>
      <c r="G3134">
        <v>120</v>
      </c>
      <c r="H3134" s="1">
        <v>44812</v>
      </c>
      <c r="I3134">
        <v>2022</v>
      </c>
      <c r="J3134">
        <v>9</v>
      </c>
      <c r="K3134" t="s">
        <v>36</v>
      </c>
      <c r="L3134" t="s">
        <v>21</v>
      </c>
      <c r="M3134">
        <v>1</v>
      </c>
    </row>
    <row r="3135" spans="1:13" x14ac:dyDescent="0.25">
      <c r="A3135" t="s">
        <v>2263</v>
      </c>
      <c r="B3135" t="s">
        <v>38</v>
      </c>
      <c r="C3135" t="s">
        <v>14</v>
      </c>
      <c r="D3135" t="s">
        <v>15</v>
      </c>
      <c r="E3135" t="s">
        <v>21</v>
      </c>
      <c r="F3135">
        <v>7.0000000000000007E-2</v>
      </c>
      <c r="G3135">
        <v>200</v>
      </c>
      <c r="H3135" s="1">
        <v>44812</v>
      </c>
      <c r="I3135">
        <v>2022</v>
      </c>
      <c r="J3135">
        <v>9</v>
      </c>
      <c r="K3135" t="s">
        <v>36</v>
      </c>
      <c r="L3135">
        <v>0</v>
      </c>
      <c r="M3135">
        <v>1</v>
      </c>
    </row>
    <row r="3136" spans="1:13" x14ac:dyDescent="0.25">
      <c r="A3136" t="s">
        <v>2264</v>
      </c>
      <c r="B3136" t="s">
        <v>91</v>
      </c>
      <c r="C3136" t="s">
        <v>14</v>
      </c>
      <c r="D3136" t="s">
        <v>20</v>
      </c>
      <c r="E3136" t="s">
        <v>21</v>
      </c>
      <c r="F3136" t="s">
        <v>21</v>
      </c>
      <c r="G3136" t="s">
        <v>21</v>
      </c>
      <c r="H3136" s="1">
        <v>44812</v>
      </c>
      <c r="I3136">
        <v>2022</v>
      </c>
      <c r="J3136">
        <v>9</v>
      </c>
      <c r="K3136" t="s">
        <v>22</v>
      </c>
      <c r="L3136" t="s">
        <v>21</v>
      </c>
      <c r="M3136">
        <v>0</v>
      </c>
    </row>
    <row r="3137" spans="1:13" x14ac:dyDescent="0.25">
      <c r="A3137" t="s">
        <v>2265</v>
      </c>
      <c r="B3137" t="s">
        <v>95</v>
      </c>
      <c r="C3137" t="s">
        <v>87</v>
      </c>
      <c r="D3137" t="s">
        <v>22</v>
      </c>
      <c r="E3137">
        <v>150</v>
      </c>
      <c r="F3137">
        <v>1</v>
      </c>
      <c r="G3137">
        <v>173</v>
      </c>
      <c r="H3137" s="1">
        <v>44811</v>
      </c>
      <c r="I3137">
        <v>2022</v>
      </c>
      <c r="J3137">
        <v>9</v>
      </c>
      <c r="K3137" t="s">
        <v>36</v>
      </c>
      <c r="L3137">
        <v>1</v>
      </c>
      <c r="M3137">
        <v>1</v>
      </c>
    </row>
    <row r="3138" spans="1:13" x14ac:dyDescent="0.25">
      <c r="A3138" t="s">
        <v>1154</v>
      </c>
      <c r="B3138" t="s">
        <v>95</v>
      </c>
      <c r="C3138" t="s">
        <v>64</v>
      </c>
      <c r="D3138" t="s">
        <v>20</v>
      </c>
      <c r="E3138">
        <v>60</v>
      </c>
      <c r="F3138" t="s">
        <v>21</v>
      </c>
      <c r="G3138">
        <v>749</v>
      </c>
      <c r="H3138" s="1">
        <v>44811</v>
      </c>
      <c r="I3138">
        <v>2022</v>
      </c>
      <c r="J3138">
        <v>9</v>
      </c>
      <c r="K3138" t="s">
        <v>36</v>
      </c>
      <c r="L3138" t="s">
        <v>21</v>
      </c>
      <c r="M3138">
        <v>1</v>
      </c>
    </row>
    <row r="3139" spans="1:13" x14ac:dyDescent="0.25">
      <c r="A3139" t="s">
        <v>112</v>
      </c>
      <c r="B3139" t="s">
        <v>66</v>
      </c>
      <c r="C3139" t="s">
        <v>858</v>
      </c>
      <c r="D3139" t="s">
        <v>15</v>
      </c>
      <c r="E3139">
        <v>60</v>
      </c>
      <c r="F3139" t="s">
        <v>21</v>
      </c>
      <c r="G3139">
        <v>24700</v>
      </c>
      <c r="H3139" s="1">
        <v>44811</v>
      </c>
      <c r="I3139">
        <v>2022</v>
      </c>
      <c r="J3139">
        <v>9</v>
      </c>
      <c r="K3139" t="s">
        <v>26</v>
      </c>
      <c r="L3139" t="s">
        <v>21</v>
      </c>
      <c r="M3139">
        <v>1</v>
      </c>
    </row>
    <row r="3140" spans="1:13" x14ac:dyDescent="0.25">
      <c r="A3140" t="s">
        <v>2266</v>
      </c>
      <c r="B3140" t="s">
        <v>77</v>
      </c>
      <c r="C3140" t="s">
        <v>48</v>
      </c>
      <c r="D3140" t="s">
        <v>22</v>
      </c>
      <c r="E3140">
        <v>50</v>
      </c>
      <c r="F3140" t="s">
        <v>21</v>
      </c>
      <c r="G3140">
        <v>172</v>
      </c>
      <c r="H3140" s="1">
        <v>44811</v>
      </c>
      <c r="I3140">
        <v>2022</v>
      </c>
      <c r="J3140">
        <v>9</v>
      </c>
      <c r="K3140" t="s">
        <v>36</v>
      </c>
      <c r="L3140" t="s">
        <v>21</v>
      </c>
      <c r="M3140">
        <v>1</v>
      </c>
    </row>
    <row r="3141" spans="1:13" x14ac:dyDescent="0.25">
      <c r="A3141" t="s">
        <v>2102</v>
      </c>
      <c r="B3141" t="s">
        <v>89</v>
      </c>
      <c r="C3141" t="s">
        <v>14</v>
      </c>
      <c r="D3141" t="s">
        <v>55</v>
      </c>
      <c r="E3141">
        <v>49</v>
      </c>
      <c r="F3141">
        <v>0.05</v>
      </c>
      <c r="G3141">
        <v>240</v>
      </c>
      <c r="H3141" s="1">
        <v>44811</v>
      </c>
      <c r="I3141">
        <v>2022</v>
      </c>
      <c r="J3141">
        <v>9</v>
      </c>
      <c r="K3141" t="s">
        <v>36</v>
      </c>
      <c r="L3141">
        <v>0</v>
      </c>
      <c r="M3141">
        <v>1</v>
      </c>
    </row>
    <row r="3142" spans="1:13" x14ac:dyDescent="0.25">
      <c r="A3142" t="s">
        <v>204</v>
      </c>
      <c r="B3142" t="s">
        <v>114</v>
      </c>
      <c r="C3142" t="s">
        <v>14</v>
      </c>
      <c r="D3142" t="s">
        <v>43</v>
      </c>
      <c r="E3142">
        <v>45</v>
      </c>
      <c r="F3142">
        <v>0.05</v>
      </c>
      <c r="G3142">
        <v>469</v>
      </c>
      <c r="H3142" s="1">
        <v>44811</v>
      </c>
      <c r="I3142">
        <v>2022</v>
      </c>
      <c r="J3142">
        <v>9</v>
      </c>
      <c r="K3142" t="s">
        <v>36</v>
      </c>
      <c r="L3142">
        <v>0</v>
      </c>
      <c r="M3142">
        <v>1</v>
      </c>
    </row>
    <row r="3143" spans="1:13" x14ac:dyDescent="0.25">
      <c r="A3143" t="s">
        <v>2267</v>
      </c>
      <c r="B3143" t="s">
        <v>99</v>
      </c>
      <c r="C3143" t="s">
        <v>14</v>
      </c>
      <c r="D3143" t="s">
        <v>347</v>
      </c>
      <c r="E3143">
        <v>27</v>
      </c>
      <c r="F3143">
        <v>0.03</v>
      </c>
      <c r="G3143">
        <v>143</v>
      </c>
      <c r="H3143" s="1">
        <v>44811</v>
      </c>
      <c r="I3143">
        <v>2022</v>
      </c>
      <c r="J3143">
        <v>9</v>
      </c>
      <c r="K3143" t="s">
        <v>36</v>
      </c>
      <c r="L3143">
        <v>0</v>
      </c>
      <c r="M3143">
        <v>1</v>
      </c>
    </row>
    <row r="3144" spans="1:13" x14ac:dyDescent="0.25">
      <c r="A3144" t="s">
        <v>260</v>
      </c>
      <c r="B3144" t="s">
        <v>38</v>
      </c>
      <c r="C3144" t="s">
        <v>29</v>
      </c>
      <c r="D3144" t="s">
        <v>46</v>
      </c>
      <c r="E3144" t="s">
        <v>21</v>
      </c>
      <c r="F3144" t="s">
        <v>21</v>
      </c>
      <c r="G3144">
        <v>264</v>
      </c>
      <c r="H3144" s="1">
        <v>44811</v>
      </c>
      <c r="I3144">
        <v>2022</v>
      </c>
      <c r="J3144">
        <v>9</v>
      </c>
      <c r="K3144" t="s">
        <v>36</v>
      </c>
      <c r="L3144" t="s">
        <v>21</v>
      </c>
      <c r="M3144">
        <v>0</v>
      </c>
    </row>
    <row r="3145" spans="1:13" x14ac:dyDescent="0.25">
      <c r="A3145" t="s">
        <v>1718</v>
      </c>
      <c r="B3145" t="s">
        <v>35</v>
      </c>
      <c r="C3145" t="s">
        <v>14</v>
      </c>
      <c r="D3145" t="s">
        <v>46</v>
      </c>
      <c r="E3145" t="s">
        <v>21</v>
      </c>
      <c r="F3145">
        <v>0.5</v>
      </c>
      <c r="G3145">
        <v>100</v>
      </c>
      <c r="H3145" s="1">
        <v>44811</v>
      </c>
      <c r="I3145">
        <v>2022</v>
      </c>
      <c r="J3145">
        <v>9</v>
      </c>
      <c r="K3145" t="s">
        <v>36</v>
      </c>
      <c r="L3145">
        <v>0</v>
      </c>
      <c r="M3145">
        <v>1</v>
      </c>
    </row>
    <row r="3146" spans="1:13" x14ac:dyDescent="0.25">
      <c r="A3146" t="s">
        <v>2268</v>
      </c>
      <c r="B3146" t="s">
        <v>13</v>
      </c>
      <c r="C3146" t="s">
        <v>29</v>
      </c>
      <c r="D3146" t="s">
        <v>55</v>
      </c>
      <c r="E3146" t="s">
        <v>21</v>
      </c>
      <c r="F3146" t="s">
        <v>21</v>
      </c>
      <c r="G3146">
        <v>100</v>
      </c>
      <c r="H3146" s="1">
        <v>44811</v>
      </c>
      <c r="I3146">
        <v>2022</v>
      </c>
      <c r="J3146">
        <v>9</v>
      </c>
      <c r="K3146" t="s">
        <v>36</v>
      </c>
      <c r="L3146" t="s">
        <v>21</v>
      </c>
      <c r="M3146">
        <v>0</v>
      </c>
    </row>
    <row r="3147" spans="1:13" x14ac:dyDescent="0.25">
      <c r="A3147" t="s">
        <v>537</v>
      </c>
      <c r="B3147" t="s">
        <v>35</v>
      </c>
      <c r="C3147" t="s">
        <v>14</v>
      </c>
      <c r="D3147" t="s">
        <v>33</v>
      </c>
      <c r="E3147">
        <v>40</v>
      </c>
      <c r="F3147">
        <v>0.33</v>
      </c>
      <c r="G3147">
        <v>42</v>
      </c>
      <c r="H3147" s="1">
        <v>44810</v>
      </c>
      <c r="I3147">
        <v>2022</v>
      </c>
      <c r="J3147">
        <v>9</v>
      </c>
      <c r="K3147" t="s">
        <v>30</v>
      </c>
      <c r="L3147">
        <v>0</v>
      </c>
      <c r="M3147">
        <v>1</v>
      </c>
    </row>
    <row r="3148" spans="1:13" x14ac:dyDescent="0.25">
      <c r="A3148" t="s">
        <v>2269</v>
      </c>
      <c r="B3148" t="s">
        <v>342</v>
      </c>
      <c r="C3148" t="s">
        <v>29</v>
      </c>
      <c r="D3148" t="s">
        <v>46</v>
      </c>
      <c r="E3148">
        <v>30</v>
      </c>
      <c r="F3148">
        <v>0.33</v>
      </c>
      <c r="G3148">
        <v>41</v>
      </c>
      <c r="H3148" s="1">
        <v>44810</v>
      </c>
      <c r="I3148">
        <v>2022</v>
      </c>
      <c r="J3148">
        <v>9</v>
      </c>
      <c r="K3148" t="s">
        <v>30</v>
      </c>
      <c r="L3148">
        <v>0</v>
      </c>
      <c r="M3148">
        <v>1</v>
      </c>
    </row>
    <row r="3149" spans="1:13" x14ac:dyDescent="0.25">
      <c r="A3149" t="s">
        <v>2270</v>
      </c>
      <c r="B3149" t="s">
        <v>91</v>
      </c>
      <c r="C3149" t="s">
        <v>14</v>
      </c>
      <c r="D3149" t="s">
        <v>46</v>
      </c>
      <c r="E3149" t="s">
        <v>21</v>
      </c>
      <c r="F3149">
        <v>0.14000000000000001</v>
      </c>
      <c r="G3149">
        <v>108</v>
      </c>
      <c r="H3149" s="1">
        <v>44810</v>
      </c>
      <c r="I3149">
        <v>2022</v>
      </c>
      <c r="J3149">
        <v>9</v>
      </c>
      <c r="K3149" t="s">
        <v>36</v>
      </c>
      <c r="L3149">
        <v>0</v>
      </c>
      <c r="M3149">
        <v>1</v>
      </c>
    </row>
    <row r="3150" spans="1:13" x14ac:dyDescent="0.25">
      <c r="A3150" t="s">
        <v>2271</v>
      </c>
      <c r="B3150" t="s">
        <v>32</v>
      </c>
      <c r="C3150" t="s">
        <v>14</v>
      </c>
      <c r="D3150" t="s">
        <v>22</v>
      </c>
      <c r="E3150" t="s">
        <v>21</v>
      </c>
      <c r="F3150">
        <v>0.25</v>
      </c>
      <c r="G3150">
        <v>163</v>
      </c>
      <c r="H3150" s="1">
        <v>44810</v>
      </c>
      <c r="I3150">
        <v>2022</v>
      </c>
      <c r="J3150">
        <v>9</v>
      </c>
      <c r="K3150" t="s">
        <v>36</v>
      </c>
      <c r="L3150">
        <v>0</v>
      </c>
      <c r="M3150">
        <v>1</v>
      </c>
    </row>
    <row r="3151" spans="1:13" x14ac:dyDescent="0.25">
      <c r="A3151" t="s">
        <v>2272</v>
      </c>
      <c r="B3151" t="s">
        <v>77</v>
      </c>
      <c r="C3151" t="s">
        <v>143</v>
      </c>
      <c r="D3151" t="s">
        <v>33</v>
      </c>
      <c r="E3151">
        <v>23</v>
      </c>
      <c r="F3151">
        <v>0.05</v>
      </c>
      <c r="G3151">
        <v>91</v>
      </c>
      <c r="H3151" s="1">
        <v>44806</v>
      </c>
      <c r="I3151">
        <v>2022</v>
      </c>
      <c r="J3151">
        <v>9</v>
      </c>
      <c r="K3151" t="s">
        <v>30</v>
      </c>
      <c r="L3151">
        <v>0</v>
      </c>
      <c r="M3151">
        <v>1</v>
      </c>
    </row>
    <row r="3152" spans="1:13" x14ac:dyDescent="0.25">
      <c r="A3152" t="s">
        <v>1046</v>
      </c>
      <c r="B3152" t="s">
        <v>24</v>
      </c>
      <c r="C3152" t="s">
        <v>143</v>
      </c>
      <c r="D3152" t="s">
        <v>33</v>
      </c>
      <c r="E3152" t="s">
        <v>21</v>
      </c>
      <c r="F3152" t="s">
        <v>21</v>
      </c>
      <c r="G3152">
        <v>16</v>
      </c>
      <c r="H3152" s="1">
        <v>44806</v>
      </c>
      <c r="I3152">
        <v>2022</v>
      </c>
      <c r="J3152">
        <v>9</v>
      </c>
      <c r="K3152" t="s">
        <v>30</v>
      </c>
      <c r="L3152" t="s">
        <v>21</v>
      </c>
      <c r="M3152">
        <v>0</v>
      </c>
    </row>
    <row r="3153" spans="1:13" x14ac:dyDescent="0.25">
      <c r="A3153" t="s">
        <v>2273</v>
      </c>
      <c r="B3153" t="s">
        <v>18</v>
      </c>
      <c r="C3153" t="s">
        <v>64</v>
      </c>
      <c r="D3153" t="s">
        <v>15</v>
      </c>
      <c r="E3153" t="s">
        <v>21</v>
      </c>
      <c r="F3153" t="s">
        <v>21</v>
      </c>
      <c r="G3153">
        <v>8600</v>
      </c>
      <c r="H3153" s="1">
        <v>44806</v>
      </c>
      <c r="I3153">
        <v>2022</v>
      </c>
      <c r="J3153">
        <v>9</v>
      </c>
      <c r="K3153" t="s">
        <v>26</v>
      </c>
      <c r="L3153" t="s">
        <v>21</v>
      </c>
      <c r="M3153">
        <v>0</v>
      </c>
    </row>
    <row r="3154" spans="1:13" x14ac:dyDescent="0.25">
      <c r="A3154" t="s">
        <v>2274</v>
      </c>
      <c r="B3154" t="s">
        <v>52</v>
      </c>
      <c r="C3154" t="s">
        <v>230</v>
      </c>
      <c r="D3154" t="s">
        <v>22</v>
      </c>
      <c r="E3154">
        <v>100</v>
      </c>
      <c r="F3154">
        <v>0.15</v>
      </c>
      <c r="G3154">
        <v>250</v>
      </c>
      <c r="H3154" s="1">
        <v>44805</v>
      </c>
      <c r="I3154">
        <v>2022</v>
      </c>
      <c r="J3154">
        <v>9</v>
      </c>
      <c r="K3154" t="s">
        <v>36</v>
      </c>
      <c r="L3154">
        <v>0</v>
      </c>
      <c r="M3154">
        <v>1</v>
      </c>
    </row>
    <row r="3155" spans="1:13" x14ac:dyDescent="0.25">
      <c r="A3155" t="s">
        <v>135</v>
      </c>
      <c r="B3155" t="s">
        <v>35</v>
      </c>
      <c r="C3155" t="s">
        <v>14</v>
      </c>
      <c r="D3155" t="s">
        <v>111</v>
      </c>
      <c r="E3155">
        <v>90</v>
      </c>
      <c r="F3155">
        <v>0.08</v>
      </c>
      <c r="G3155">
        <v>379</v>
      </c>
      <c r="H3155" s="1">
        <v>44805</v>
      </c>
      <c r="I3155">
        <v>2022</v>
      </c>
      <c r="J3155">
        <v>9</v>
      </c>
      <c r="K3155" t="s">
        <v>36</v>
      </c>
      <c r="L3155">
        <v>0</v>
      </c>
      <c r="M3155">
        <v>1</v>
      </c>
    </row>
    <row r="3156" spans="1:13" x14ac:dyDescent="0.25">
      <c r="A3156" t="s">
        <v>173</v>
      </c>
      <c r="B3156" t="s">
        <v>24</v>
      </c>
      <c r="C3156" t="s">
        <v>174</v>
      </c>
      <c r="D3156" t="s">
        <v>15</v>
      </c>
      <c r="E3156">
        <v>70</v>
      </c>
      <c r="F3156" t="s">
        <v>21</v>
      </c>
      <c r="G3156">
        <v>122</v>
      </c>
      <c r="H3156" s="1">
        <v>44805</v>
      </c>
      <c r="I3156">
        <v>2022</v>
      </c>
      <c r="J3156">
        <v>9</v>
      </c>
      <c r="K3156" t="s">
        <v>36</v>
      </c>
      <c r="L3156" t="s">
        <v>21</v>
      </c>
      <c r="M3156">
        <v>1</v>
      </c>
    </row>
    <row r="3157" spans="1:13" x14ac:dyDescent="0.25">
      <c r="A3157" t="s">
        <v>2275</v>
      </c>
      <c r="B3157" t="s">
        <v>207</v>
      </c>
      <c r="C3157" t="s">
        <v>83</v>
      </c>
      <c r="D3157" t="s">
        <v>22</v>
      </c>
      <c r="E3157">
        <v>55</v>
      </c>
      <c r="F3157">
        <v>0.15</v>
      </c>
      <c r="G3157">
        <v>95</v>
      </c>
      <c r="H3157" s="1">
        <v>44805</v>
      </c>
      <c r="I3157">
        <v>2022</v>
      </c>
      <c r="J3157">
        <v>9</v>
      </c>
      <c r="K3157" t="s">
        <v>30</v>
      </c>
      <c r="L3157">
        <v>0</v>
      </c>
      <c r="M3157">
        <v>1</v>
      </c>
    </row>
    <row r="3158" spans="1:13" x14ac:dyDescent="0.25">
      <c r="A3158" t="s">
        <v>2276</v>
      </c>
      <c r="B3158" t="s">
        <v>77</v>
      </c>
      <c r="C3158" t="s">
        <v>161</v>
      </c>
      <c r="D3158" t="s">
        <v>33</v>
      </c>
      <c r="E3158">
        <v>12</v>
      </c>
      <c r="F3158" t="s">
        <v>21</v>
      </c>
      <c r="G3158">
        <v>67</v>
      </c>
      <c r="H3158" s="1">
        <v>44805</v>
      </c>
      <c r="I3158">
        <v>2022</v>
      </c>
      <c r="J3158">
        <v>9</v>
      </c>
      <c r="K3158" t="s">
        <v>30</v>
      </c>
      <c r="L3158" t="s">
        <v>21</v>
      </c>
      <c r="M3158">
        <v>1</v>
      </c>
    </row>
    <row r="3159" spans="1:13" x14ac:dyDescent="0.25">
      <c r="A3159" t="s">
        <v>187</v>
      </c>
      <c r="B3159" t="s">
        <v>18</v>
      </c>
      <c r="C3159" t="s">
        <v>14</v>
      </c>
      <c r="D3159" t="s">
        <v>15</v>
      </c>
      <c r="E3159">
        <v>1280</v>
      </c>
      <c r="F3159">
        <v>0.2</v>
      </c>
      <c r="G3159">
        <v>4900</v>
      </c>
      <c r="H3159" s="1">
        <v>44804</v>
      </c>
      <c r="I3159">
        <v>2022</v>
      </c>
      <c r="J3159">
        <v>8</v>
      </c>
      <c r="K3159" t="s">
        <v>26</v>
      </c>
      <c r="L3159">
        <v>0</v>
      </c>
      <c r="M3159">
        <v>1</v>
      </c>
    </row>
    <row r="3160" spans="1:13" x14ac:dyDescent="0.25">
      <c r="A3160" t="s">
        <v>2277</v>
      </c>
      <c r="B3160" t="s">
        <v>35</v>
      </c>
      <c r="C3160" t="s">
        <v>14</v>
      </c>
      <c r="D3160" t="s">
        <v>15</v>
      </c>
      <c r="E3160">
        <v>140</v>
      </c>
      <c r="F3160">
        <v>0.16</v>
      </c>
      <c r="G3160">
        <v>910</v>
      </c>
      <c r="H3160" s="1">
        <v>44804</v>
      </c>
      <c r="I3160">
        <v>2022</v>
      </c>
      <c r="J3160">
        <v>8</v>
      </c>
      <c r="K3160" t="s">
        <v>36</v>
      </c>
      <c r="L3160">
        <v>0</v>
      </c>
      <c r="M3160">
        <v>1</v>
      </c>
    </row>
    <row r="3161" spans="1:13" x14ac:dyDescent="0.25">
      <c r="A3161" t="s">
        <v>2148</v>
      </c>
      <c r="B3161" t="s">
        <v>77</v>
      </c>
      <c r="C3161" t="s">
        <v>83</v>
      </c>
      <c r="D3161" t="s">
        <v>22</v>
      </c>
      <c r="E3161">
        <v>100</v>
      </c>
      <c r="F3161">
        <v>0.1</v>
      </c>
      <c r="G3161">
        <v>188</v>
      </c>
      <c r="H3161" s="1">
        <v>44804</v>
      </c>
      <c r="I3161">
        <v>2022</v>
      </c>
      <c r="J3161">
        <v>8</v>
      </c>
      <c r="K3161" t="s">
        <v>36</v>
      </c>
      <c r="L3161">
        <v>0</v>
      </c>
      <c r="M3161">
        <v>1</v>
      </c>
    </row>
    <row r="3162" spans="1:13" x14ac:dyDescent="0.25">
      <c r="A3162" t="s">
        <v>1092</v>
      </c>
      <c r="B3162" t="s">
        <v>77</v>
      </c>
      <c r="C3162" t="s">
        <v>14</v>
      </c>
      <c r="D3162" t="s">
        <v>15</v>
      </c>
      <c r="E3162">
        <v>70</v>
      </c>
      <c r="F3162">
        <v>0.1</v>
      </c>
      <c r="G3162">
        <v>1300</v>
      </c>
      <c r="H3162" s="1">
        <v>44804</v>
      </c>
      <c r="I3162">
        <v>2022</v>
      </c>
      <c r="J3162">
        <v>8</v>
      </c>
      <c r="K3162" t="s">
        <v>26</v>
      </c>
      <c r="L3162">
        <v>0</v>
      </c>
      <c r="M3162">
        <v>1</v>
      </c>
    </row>
    <row r="3163" spans="1:13" x14ac:dyDescent="0.25">
      <c r="A3163" t="s">
        <v>261</v>
      </c>
      <c r="B3163" t="s">
        <v>99</v>
      </c>
      <c r="C3163" t="s">
        <v>14</v>
      </c>
      <c r="D3163" t="s">
        <v>43</v>
      </c>
      <c r="E3163">
        <v>45</v>
      </c>
      <c r="F3163" t="s">
        <v>21</v>
      </c>
      <c r="G3163">
        <v>496</v>
      </c>
      <c r="H3163" s="1">
        <v>44804</v>
      </c>
      <c r="I3163">
        <v>2022</v>
      </c>
      <c r="J3163">
        <v>8</v>
      </c>
      <c r="K3163" t="s">
        <v>36</v>
      </c>
      <c r="L3163" t="s">
        <v>21</v>
      </c>
      <c r="M3163">
        <v>1</v>
      </c>
    </row>
    <row r="3164" spans="1:13" x14ac:dyDescent="0.25">
      <c r="A3164" t="s">
        <v>714</v>
      </c>
      <c r="B3164" t="s">
        <v>18</v>
      </c>
      <c r="C3164" t="s">
        <v>48</v>
      </c>
      <c r="D3164" t="s">
        <v>33</v>
      </c>
      <c r="E3164">
        <v>40</v>
      </c>
      <c r="F3164" t="s">
        <v>21</v>
      </c>
      <c r="G3164">
        <v>44</v>
      </c>
      <c r="H3164" s="1">
        <v>44804</v>
      </c>
      <c r="I3164">
        <v>2022</v>
      </c>
      <c r="J3164">
        <v>8</v>
      </c>
      <c r="K3164" t="s">
        <v>30</v>
      </c>
      <c r="L3164" t="s">
        <v>21</v>
      </c>
      <c r="M3164">
        <v>1</v>
      </c>
    </row>
    <row r="3165" spans="1:13" x14ac:dyDescent="0.25">
      <c r="A3165" t="s">
        <v>1917</v>
      </c>
      <c r="B3165" t="s">
        <v>35</v>
      </c>
      <c r="C3165" t="s">
        <v>14</v>
      </c>
      <c r="D3165" t="s">
        <v>15</v>
      </c>
      <c r="E3165">
        <v>30</v>
      </c>
      <c r="F3165">
        <v>0.2</v>
      </c>
      <c r="G3165">
        <v>173</v>
      </c>
      <c r="H3165" s="1">
        <v>44804</v>
      </c>
      <c r="I3165">
        <v>2022</v>
      </c>
      <c r="J3165">
        <v>8</v>
      </c>
      <c r="K3165" t="s">
        <v>36</v>
      </c>
      <c r="L3165">
        <v>0</v>
      </c>
      <c r="M3165">
        <v>1</v>
      </c>
    </row>
    <row r="3166" spans="1:13" x14ac:dyDescent="0.25">
      <c r="A3166" t="s">
        <v>2278</v>
      </c>
      <c r="B3166" t="s">
        <v>91</v>
      </c>
      <c r="C3166" t="s">
        <v>14</v>
      </c>
      <c r="D3166" t="s">
        <v>55</v>
      </c>
      <c r="E3166">
        <v>29</v>
      </c>
      <c r="F3166">
        <v>0.1</v>
      </c>
      <c r="G3166">
        <v>169</v>
      </c>
      <c r="H3166" s="1">
        <v>44804</v>
      </c>
      <c r="I3166">
        <v>2022</v>
      </c>
      <c r="J3166">
        <v>8</v>
      </c>
      <c r="K3166" t="s">
        <v>36</v>
      </c>
      <c r="L3166">
        <v>0</v>
      </c>
      <c r="M3166">
        <v>1</v>
      </c>
    </row>
    <row r="3167" spans="1:13" x14ac:dyDescent="0.25">
      <c r="A3167" t="s">
        <v>2279</v>
      </c>
      <c r="B3167" t="s">
        <v>24</v>
      </c>
      <c r="C3167" t="s">
        <v>83</v>
      </c>
      <c r="D3167" t="s">
        <v>22</v>
      </c>
      <c r="E3167">
        <v>26</v>
      </c>
      <c r="F3167">
        <v>0.36</v>
      </c>
      <c r="G3167" t="s">
        <v>21</v>
      </c>
      <c r="H3167" s="1">
        <v>44804</v>
      </c>
      <c r="I3167">
        <v>2022</v>
      </c>
      <c r="J3167">
        <v>8</v>
      </c>
      <c r="K3167" t="s">
        <v>22</v>
      </c>
      <c r="L3167">
        <v>0</v>
      </c>
      <c r="M3167">
        <v>1</v>
      </c>
    </row>
    <row r="3168" spans="1:13" x14ac:dyDescent="0.25">
      <c r="A3168" t="s">
        <v>2280</v>
      </c>
      <c r="B3168" t="s">
        <v>40</v>
      </c>
      <c r="C3168" t="s">
        <v>14</v>
      </c>
      <c r="D3168" t="s">
        <v>22</v>
      </c>
      <c r="E3168" t="s">
        <v>21</v>
      </c>
      <c r="F3168" t="s">
        <v>21</v>
      </c>
      <c r="G3168">
        <v>221</v>
      </c>
      <c r="H3168" s="1">
        <v>44804</v>
      </c>
      <c r="I3168">
        <v>2022</v>
      </c>
      <c r="J3168">
        <v>8</v>
      </c>
      <c r="K3168" t="s">
        <v>36</v>
      </c>
      <c r="L3168" t="s">
        <v>21</v>
      </c>
      <c r="M3168">
        <v>0</v>
      </c>
    </row>
    <row r="3169" spans="1:13" x14ac:dyDescent="0.25">
      <c r="A3169" t="s">
        <v>2281</v>
      </c>
      <c r="B3169" t="s">
        <v>91</v>
      </c>
      <c r="C3169" t="s">
        <v>14</v>
      </c>
      <c r="D3169" t="s">
        <v>46</v>
      </c>
      <c r="E3169" t="s">
        <v>21</v>
      </c>
      <c r="F3169">
        <v>1</v>
      </c>
      <c r="G3169">
        <v>117</v>
      </c>
      <c r="H3169" s="1">
        <v>44804</v>
      </c>
      <c r="I3169">
        <v>2022</v>
      </c>
      <c r="J3169">
        <v>8</v>
      </c>
      <c r="K3169" t="s">
        <v>36</v>
      </c>
      <c r="L3169">
        <v>1</v>
      </c>
      <c r="M3169">
        <v>1</v>
      </c>
    </row>
    <row r="3170" spans="1:13" x14ac:dyDescent="0.25">
      <c r="A3170" t="s">
        <v>2282</v>
      </c>
      <c r="B3170" t="s">
        <v>13</v>
      </c>
      <c r="C3170" t="s">
        <v>1190</v>
      </c>
      <c r="D3170" t="s">
        <v>22</v>
      </c>
      <c r="E3170" t="s">
        <v>21</v>
      </c>
      <c r="F3170" t="s">
        <v>21</v>
      </c>
      <c r="G3170" t="s">
        <v>21</v>
      </c>
      <c r="H3170" s="1">
        <v>44804</v>
      </c>
      <c r="I3170">
        <v>2022</v>
      </c>
      <c r="J3170">
        <v>8</v>
      </c>
      <c r="K3170" t="s">
        <v>22</v>
      </c>
      <c r="L3170" t="s">
        <v>21</v>
      </c>
      <c r="M3170">
        <v>0</v>
      </c>
    </row>
    <row r="3171" spans="1:13" x14ac:dyDescent="0.25">
      <c r="A3171" t="s">
        <v>1692</v>
      </c>
      <c r="B3171" t="s">
        <v>13</v>
      </c>
      <c r="C3171" t="s">
        <v>14</v>
      </c>
      <c r="D3171" t="s">
        <v>55</v>
      </c>
      <c r="E3171">
        <v>81</v>
      </c>
      <c r="F3171" t="s">
        <v>21</v>
      </c>
      <c r="G3171">
        <v>212</v>
      </c>
      <c r="H3171" s="1">
        <v>44803</v>
      </c>
      <c r="I3171">
        <v>2022</v>
      </c>
      <c r="J3171">
        <v>8</v>
      </c>
      <c r="K3171" t="s">
        <v>36</v>
      </c>
      <c r="L3171" t="s">
        <v>21</v>
      </c>
      <c r="M3171">
        <v>1</v>
      </c>
    </row>
    <row r="3172" spans="1:13" x14ac:dyDescent="0.25">
      <c r="A3172" t="s">
        <v>2283</v>
      </c>
      <c r="B3172" t="s">
        <v>28</v>
      </c>
      <c r="C3172" t="s">
        <v>80</v>
      </c>
      <c r="D3172" t="s">
        <v>46</v>
      </c>
      <c r="E3172">
        <v>38</v>
      </c>
      <c r="F3172">
        <v>0.1</v>
      </c>
      <c r="G3172">
        <v>123</v>
      </c>
      <c r="H3172" s="1">
        <v>44803</v>
      </c>
      <c r="I3172">
        <v>2022</v>
      </c>
      <c r="J3172">
        <v>8</v>
      </c>
      <c r="K3172" t="s">
        <v>36</v>
      </c>
      <c r="L3172">
        <v>0</v>
      </c>
      <c r="M3172">
        <v>1</v>
      </c>
    </row>
    <row r="3173" spans="1:13" x14ac:dyDescent="0.25">
      <c r="A3173" t="s">
        <v>1773</v>
      </c>
      <c r="B3173" t="s">
        <v>24</v>
      </c>
      <c r="C3173" t="s">
        <v>14</v>
      </c>
      <c r="D3173" t="s">
        <v>68</v>
      </c>
      <c r="E3173">
        <v>30</v>
      </c>
      <c r="F3173" t="s">
        <v>21</v>
      </c>
      <c r="G3173">
        <v>47</v>
      </c>
      <c r="H3173" s="1">
        <v>44803</v>
      </c>
      <c r="I3173">
        <v>2022</v>
      </c>
      <c r="J3173">
        <v>8</v>
      </c>
      <c r="K3173" t="s">
        <v>30</v>
      </c>
      <c r="L3173" t="s">
        <v>21</v>
      </c>
      <c r="M3173">
        <v>1</v>
      </c>
    </row>
    <row r="3174" spans="1:13" x14ac:dyDescent="0.25">
      <c r="A3174" t="s">
        <v>1480</v>
      </c>
      <c r="B3174" t="s">
        <v>24</v>
      </c>
      <c r="C3174" t="s">
        <v>48</v>
      </c>
      <c r="D3174" t="s">
        <v>43</v>
      </c>
      <c r="E3174">
        <v>300</v>
      </c>
      <c r="F3174" t="s">
        <v>21</v>
      </c>
      <c r="G3174">
        <v>1100</v>
      </c>
      <c r="H3174" s="1">
        <v>44802</v>
      </c>
      <c r="I3174">
        <v>2022</v>
      </c>
      <c r="J3174">
        <v>8</v>
      </c>
      <c r="K3174" t="s">
        <v>26</v>
      </c>
      <c r="L3174" t="s">
        <v>21</v>
      </c>
      <c r="M3174">
        <v>1</v>
      </c>
    </row>
    <row r="3175" spans="1:13" x14ac:dyDescent="0.25">
      <c r="A3175" t="s">
        <v>2284</v>
      </c>
      <c r="B3175" t="s">
        <v>35</v>
      </c>
      <c r="C3175" t="s">
        <v>14</v>
      </c>
      <c r="D3175" t="s">
        <v>33</v>
      </c>
      <c r="E3175">
        <v>95</v>
      </c>
      <c r="F3175">
        <v>0.3</v>
      </c>
      <c r="G3175">
        <v>44</v>
      </c>
      <c r="H3175" s="1">
        <v>44802</v>
      </c>
      <c r="I3175">
        <v>2022</v>
      </c>
      <c r="J3175">
        <v>8</v>
      </c>
      <c r="K3175" t="s">
        <v>30</v>
      </c>
      <c r="L3175">
        <v>0</v>
      </c>
      <c r="M3175">
        <v>1</v>
      </c>
    </row>
    <row r="3176" spans="1:13" x14ac:dyDescent="0.25">
      <c r="A3176" t="s">
        <v>2285</v>
      </c>
      <c r="B3176" t="s">
        <v>52</v>
      </c>
      <c r="C3176" t="s">
        <v>14</v>
      </c>
      <c r="D3176" t="s">
        <v>46</v>
      </c>
      <c r="E3176" t="s">
        <v>21</v>
      </c>
      <c r="F3176" t="s">
        <v>21</v>
      </c>
      <c r="G3176">
        <v>310</v>
      </c>
      <c r="H3176" s="1">
        <v>44802</v>
      </c>
      <c r="I3176">
        <v>2022</v>
      </c>
      <c r="J3176">
        <v>8</v>
      </c>
      <c r="K3176" t="s">
        <v>36</v>
      </c>
      <c r="L3176" t="s">
        <v>21</v>
      </c>
      <c r="M3176">
        <v>0</v>
      </c>
    </row>
    <row r="3177" spans="1:13" x14ac:dyDescent="0.25">
      <c r="A3177" t="s">
        <v>2286</v>
      </c>
      <c r="B3177" t="s">
        <v>18</v>
      </c>
      <c r="C3177" t="s">
        <v>14</v>
      </c>
      <c r="D3177" t="s">
        <v>15</v>
      </c>
      <c r="E3177" t="s">
        <v>21</v>
      </c>
      <c r="F3177" t="s">
        <v>21</v>
      </c>
      <c r="G3177">
        <v>287</v>
      </c>
      <c r="H3177" s="1">
        <v>44802</v>
      </c>
      <c r="I3177">
        <v>2022</v>
      </c>
      <c r="J3177">
        <v>8</v>
      </c>
      <c r="K3177" t="s">
        <v>36</v>
      </c>
      <c r="L3177" t="s">
        <v>21</v>
      </c>
      <c r="M3177">
        <v>0</v>
      </c>
    </row>
    <row r="3178" spans="1:13" x14ac:dyDescent="0.25">
      <c r="A3178" t="s">
        <v>1971</v>
      </c>
      <c r="B3178" t="s">
        <v>66</v>
      </c>
      <c r="C3178" t="s">
        <v>29</v>
      </c>
      <c r="D3178" t="s">
        <v>15</v>
      </c>
      <c r="E3178" t="s">
        <v>21</v>
      </c>
      <c r="F3178" t="s">
        <v>21</v>
      </c>
      <c r="G3178">
        <v>231</v>
      </c>
      <c r="H3178" s="1">
        <v>44801</v>
      </c>
      <c r="I3178">
        <v>2022</v>
      </c>
      <c r="J3178">
        <v>8</v>
      </c>
      <c r="K3178" t="s">
        <v>36</v>
      </c>
      <c r="L3178" t="s">
        <v>21</v>
      </c>
      <c r="M3178">
        <v>0</v>
      </c>
    </row>
    <row r="3179" spans="1:13" x14ac:dyDescent="0.25">
      <c r="A3179" t="s">
        <v>1489</v>
      </c>
      <c r="B3179" t="s">
        <v>13</v>
      </c>
      <c r="C3179" t="s">
        <v>14</v>
      </c>
      <c r="D3179" t="s">
        <v>20</v>
      </c>
      <c r="E3179">
        <v>80</v>
      </c>
      <c r="F3179" t="s">
        <v>21</v>
      </c>
      <c r="G3179">
        <v>974</v>
      </c>
      <c r="H3179" s="1">
        <v>44799</v>
      </c>
      <c r="I3179">
        <v>2022</v>
      </c>
      <c r="J3179">
        <v>8</v>
      </c>
      <c r="K3179" t="s">
        <v>36</v>
      </c>
      <c r="L3179" t="s">
        <v>21</v>
      </c>
      <c r="M3179">
        <v>1</v>
      </c>
    </row>
    <row r="3180" spans="1:13" x14ac:dyDescent="0.25">
      <c r="A3180" t="s">
        <v>508</v>
      </c>
      <c r="B3180" t="s">
        <v>28</v>
      </c>
      <c r="C3180" t="s">
        <v>14</v>
      </c>
      <c r="D3180" t="s">
        <v>15</v>
      </c>
      <c r="E3180">
        <v>24</v>
      </c>
      <c r="F3180" t="s">
        <v>21</v>
      </c>
      <c r="G3180">
        <v>1200</v>
      </c>
      <c r="H3180" s="1">
        <v>44799</v>
      </c>
      <c r="I3180">
        <v>2022</v>
      </c>
      <c r="J3180">
        <v>8</v>
      </c>
      <c r="K3180" t="s">
        <v>26</v>
      </c>
      <c r="L3180" t="s">
        <v>21</v>
      </c>
      <c r="M3180">
        <v>1</v>
      </c>
    </row>
    <row r="3181" spans="1:13" x14ac:dyDescent="0.25">
      <c r="A3181" t="s">
        <v>2287</v>
      </c>
      <c r="B3181" t="s">
        <v>77</v>
      </c>
      <c r="C3181" t="s">
        <v>14</v>
      </c>
      <c r="D3181" t="s">
        <v>33</v>
      </c>
      <c r="E3181">
        <v>20</v>
      </c>
      <c r="F3181">
        <v>7.0000000000000007E-2</v>
      </c>
      <c r="G3181">
        <v>78</v>
      </c>
      <c r="H3181" s="1">
        <v>44799</v>
      </c>
      <c r="I3181">
        <v>2022</v>
      </c>
      <c r="J3181">
        <v>8</v>
      </c>
      <c r="K3181" t="s">
        <v>30</v>
      </c>
      <c r="L3181">
        <v>0</v>
      </c>
      <c r="M3181">
        <v>1</v>
      </c>
    </row>
    <row r="3182" spans="1:13" x14ac:dyDescent="0.25">
      <c r="A3182" t="s">
        <v>1183</v>
      </c>
      <c r="B3182" t="s">
        <v>91</v>
      </c>
      <c r="C3182" t="s">
        <v>14</v>
      </c>
      <c r="D3182" t="s">
        <v>22</v>
      </c>
      <c r="E3182" t="s">
        <v>21</v>
      </c>
      <c r="F3182" t="s">
        <v>21</v>
      </c>
      <c r="G3182">
        <v>905</v>
      </c>
      <c r="H3182" s="1">
        <v>44799</v>
      </c>
      <c r="I3182">
        <v>2022</v>
      </c>
      <c r="J3182">
        <v>8</v>
      </c>
      <c r="K3182" t="s">
        <v>36</v>
      </c>
      <c r="L3182" t="s">
        <v>21</v>
      </c>
      <c r="M3182">
        <v>0</v>
      </c>
    </row>
    <row r="3183" spans="1:13" x14ac:dyDescent="0.25">
      <c r="A3183" t="s">
        <v>970</v>
      </c>
      <c r="B3183" t="s">
        <v>95</v>
      </c>
      <c r="C3183" t="s">
        <v>14</v>
      </c>
      <c r="D3183" t="s">
        <v>20</v>
      </c>
      <c r="E3183">
        <v>40</v>
      </c>
      <c r="F3183" t="s">
        <v>21</v>
      </c>
      <c r="G3183">
        <v>280</v>
      </c>
      <c r="H3183" s="1">
        <v>44798</v>
      </c>
      <c r="I3183">
        <v>2022</v>
      </c>
      <c r="J3183">
        <v>8</v>
      </c>
      <c r="K3183" t="s">
        <v>36</v>
      </c>
      <c r="L3183" t="s">
        <v>21</v>
      </c>
      <c r="M3183">
        <v>1</v>
      </c>
    </row>
    <row r="3184" spans="1:13" x14ac:dyDescent="0.25">
      <c r="A3184" t="s">
        <v>2288</v>
      </c>
      <c r="B3184" t="s">
        <v>24</v>
      </c>
      <c r="C3184" t="s">
        <v>230</v>
      </c>
      <c r="D3184" t="s">
        <v>20</v>
      </c>
      <c r="E3184">
        <v>25</v>
      </c>
      <c r="F3184">
        <v>0.1</v>
      </c>
      <c r="G3184" t="s">
        <v>21</v>
      </c>
      <c r="H3184" s="1">
        <v>44798</v>
      </c>
      <c r="I3184">
        <v>2022</v>
      </c>
      <c r="J3184">
        <v>8</v>
      </c>
      <c r="K3184" t="s">
        <v>22</v>
      </c>
      <c r="L3184">
        <v>0</v>
      </c>
      <c r="M3184">
        <v>1</v>
      </c>
    </row>
    <row r="3185" spans="1:13" x14ac:dyDescent="0.25">
      <c r="A3185" t="s">
        <v>906</v>
      </c>
      <c r="B3185" t="s">
        <v>54</v>
      </c>
      <c r="C3185" t="s">
        <v>14</v>
      </c>
      <c r="D3185" t="s">
        <v>81</v>
      </c>
      <c r="E3185" t="s">
        <v>21</v>
      </c>
      <c r="F3185">
        <v>0.1</v>
      </c>
      <c r="G3185">
        <v>361</v>
      </c>
      <c r="H3185" s="1">
        <v>44798</v>
      </c>
      <c r="I3185">
        <v>2022</v>
      </c>
      <c r="J3185">
        <v>8</v>
      </c>
      <c r="K3185" t="s">
        <v>36</v>
      </c>
      <c r="L3185">
        <v>0</v>
      </c>
      <c r="M3185">
        <v>1</v>
      </c>
    </row>
    <row r="3186" spans="1:13" x14ac:dyDescent="0.25">
      <c r="A3186" t="s">
        <v>2289</v>
      </c>
      <c r="B3186" t="s">
        <v>117</v>
      </c>
      <c r="C3186" t="s">
        <v>14</v>
      </c>
      <c r="D3186" t="s">
        <v>111</v>
      </c>
      <c r="E3186" t="s">
        <v>21</v>
      </c>
      <c r="F3186">
        <v>7.0000000000000007E-2</v>
      </c>
      <c r="G3186">
        <v>330</v>
      </c>
      <c r="H3186" s="1">
        <v>44798</v>
      </c>
      <c r="I3186">
        <v>2022</v>
      </c>
      <c r="J3186">
        <v>8</v>
      </c>
      <c r="K3186" t="s">
        <v>36</v>
      </c>
      <c r="L3186">
        <v>0</v>
      </c>
      <c r="M3186">
        <v>1</v>
      </c>
    </row>
    <row r="3187" spans="1:13" x14ac:dyDescent="0.25">
      <c r="A3187" t="s">
        <v>2290</v>
      </c>
      <c r="B3187" t="s">
        <v>91</v>
      </c>
      <c r="C3187" t="s">
        <v>14</v>
      </c>
      <c r="D3187" t="s">
        <v>33</v>
      </c>
      <c r="E3187">
        <v>140</v>
      </c>
      <c r="F3187">
        <v>1</v>
      </c>
      <c r="G3187">
        <v>117</v>
      </c>
      <c r="H3187" s="1">
        <v>44797</v>
      </c>
      <c r="I3187">
        <v>2022</v>
      </c>
      <c r="J3187">
        <v>8</v>
      </c>
      <c r="K3187" t="s">
        <v>36</v>
      </c>
      <c r="L3187">
        <v>1</v>
      </c>
      <c r="M3187">
        <v>1</v>
      </c>
    </row>
    <row r="3188" spans="1:13" x14ac:dyDescent="0.25">
      <c r="A3188" t="s">
        <v>669</v>
      </c>
      <c r="B3188" t="s">
        <v>77</v>
      </c>
      <c r="C3188" t="s">
        <v>14</v>
      </c>
      <c r="D3188" t="s">
        <v>68</v>
      </c>
      <c r="E3188">
        <v>15</v>
      </c>
      <c r="F3188">
        <v>0.2</v>
      </c>
      <c r="G3188">
        <v>24</v>
      </c>
      <c r="H3188" s="1">
        <v>44797</v>
      </c>
      <c r="I3188">
        <v>2022</v>
      </c>
      <c r="J3188">
        <v>8</v>
      </c>
      <c r="K3188" t="s">
        <v>30</v>
      </c>
      <c r="L3188">
        <v>0</v>
      </c>
      <c r="M3188">
        <v>1</v>
      </c>
    </row>
    <row r="3189" spans="1:13" x14ac:dyDescent="0.25">
      <c r="A3189" t="s">
        <v>2291</v>
      </c>
      <c r="B3189" t="s">
        <v>95</v>
      </c>
      <c r="C3189" t="s">
        <v>14</v>
      </c>
      <c r="D3189" t="s">
        <v>22</v>
      </c>
      <c r="E3189" t="s">
        <v>21</v>
      </c>
      <c r="F3189" t="s">
        <v>21</v>
      </c>
      <c r="G3189" t="s">
        <v>21</v>
      </c>
      <c r="H3189" s="1">
        <v>44797</v>
      </c>
      <c r="I3189">
        <v>2022</v>
      </c>
      <c r="J3189">
        <v>8</v>
      </c>
      <c r="K3189" t="s">
        <v>22</v>
      </c>
      <c r="L3189" t="s">
        <v>21</v>
      </c>
      <c r="M3189">
        <v>0</v>
      </c>
    </row>
    <row r="3190" spans="1:13" x14ac:dyDescent="0.25">
      <c r="A3190" t="s">
        <v>1042</v>
      </c>
      <c r="B3190" t="s">
        <v>66</v>
      </c>
      <c r="C3190" t="s">
        <v>83</v>
      </c>
      <c r="D3190" t="s">
        <v>55</v>
      </c>
      <c r="E3190">
        <v>180</v>
      </c>
      <c r="F3190">
        <v>0.16</v>
      </c>
      <c r="G3190">
        <v>646</v>
      </c>
      <c r="H3190" s="1">
        <v>44796</v>
      </c>
      <c r="I3190">
        <v>2022</v>
      </c>
      <c r="J3190">
        <v>8</v>
      </c>
      <c r="K3190" t="s">
        <v>36</v>
      </c>
      <c r="L3190">
        <v>0</v>
      </c>
      <c r="M3190">
        <v>1</v>
      </c>
    </row>
    <row r="3191" spans="1:13" x14ac:dyDescent="0.25">
      <c r="A3191" t="s">
        <v>2292</v>
      </c>
      <c r="B3191" t="s">
        <v>24</v>
      </c>
      <c r="C3191" t="s">
        <v>14</v>
      </c>
      <c r="D3191" t="s">
        <v>22</v>
      </c>
      <c r="E3191">
        <v>138</v>
      </c>
      <c r="F3191">
        <v>0.2</v>
      </c>
      <c r="G3191">
        <v>472</v>
      </c>
      <c r="H3191" s="1">
        <v>44796</v>
      </c>
      <c r="I3191">
        <v>2022</v>
      </c>
      <c r="J3191">
        <v>8</v>
      </c>
      <c r="K3191" t="s">
        <v>36</v>
      </c>
      <c r="L3191">
        <v>0</v>
      </c>
      <c r="M3191">
        <v>1</v>
      </c>
    </row>
    <row r="3192" spans="1:13" x14ac:dyDescent="0.25">
      <c r="A3192" t="s">
        <v>2293</v>
      </c>
      <c r="B3192" t="s">
        <v>13</v>
      </c>
      <c r="C3192" t="s">
        <v>174</v>
      </c>
      <c r="D3192" t="s">
        <v>46</v>
      </c>
      <c r="E3192">
        <v>50</v>
      </c>
      <c r="F3192">
        <v>0.08</v>
      </c>
      <c r="G3192">
        <v>91</v>
      </c>
      <c r="H3192" s="1">
        <v>44796</v>
      </c>
      <c r="I3192">
        <v>2022</v>
      </c>
      <c r="J3192">
        <v>8</v>
      </c>
      <c r="K3192" t="s">
        <v>30</v>
      </c>
      <c r="L3192">
        <v>0</v>
      </c>
      <c r="M3192">
        <v>1</v>
      </c>
    </row>
    <row r="3193" spans="1:13" x14ac:dyDescent="0.25">
      <c r="A3193" t="s">
        <v>2294</v>
      </c>
      <c r="B3193" t="s">
        <v>40</v>
      </c>
      <c r="C3193" t="s">
        <v>14</v>
      </c>
      <c r="D3193" t="s">
        <v>46</v>
      </c>
      <c r="E3193">
        <v>31</v>
      </c>
      <c r="F3193">
        <v>0.08</v>
      </c>
      <c r="G3193">
        <v>114</v>
      </c>
      <c r="H3193" s="1">
        <v>44796</v>
      </c>
      <c r="I3193">
        <v>2022</v>
      </c>
      <c r="J3193">
        <v>8</v>
      </c>
      <c r="K3193" t="s">
        <v>36</v>
      </c>
      <c r="L3193">
        <v>0</v>
      </c>
      <c r="M3193">
        <v>1</v>
      </c>
    </row>
    <row r="3194" spans="1:13" x14ac:dyDescent="0.25">
      <c r="A3194" t="s">
        <v>2295</v>
      </c>
      <c r="B3194" t="s">
        <v>40</v>
      </c>
      <c r="C3194" t="s">
        <v>14</v>
      </c>
      <c r="D3194" t="s">
        <v>49</v>
      </c>
      <c r="E3194">
        <v>29</v>
      </c>
      <c r="F3194">
        <v>0.5</v>
      </c>
      <c r="G3194">
        <v>3</v>
      </c>
      <c r="H3194" s="1">
        <v>44796</v>
      </c>
      <c r="I3194">
        <v>2022</v>
      </c>
      <c r="J3194">
        <v>8</v>
      </c>
      <c r="K3194" t="s">
        <v>16</v>
      </c>
      <c r="L3194">
        <v>0</v>
      </c>
      <c r="M3194">
        <v>1</v>
      </c>
    </row>
    <row r="3195" spans="1:13" x14ac:dyDescent="0.25">
      <c r="A3195" t="s">
        <v>2296</v>
      </c>
      <c r="B3195" t="s">
        <v>38</v>
      </c>
      <c r="C3195" t="s">
        <v>14</v>
      </c>
      <c r="D3195" t="s">
        <v>194</v>
      </c>
      <c r="E3195" t="s">
        <v>21</v>
      </c>
      <c r="F3195">
        <v>0.26</v>
      </c>
      <c r="G3195">
        <v>1000</v>
      </c>
      <c r="H3195" s="1">
        <v>44796</v>
      </c>
      <c r="I3195">
        <v>2022</v>
      </c>
      <c r="J3195">
        <v>8</v>
      </c>
      <c r="K3195" t="s">
        <v>26</v>
      </c>
      <c r="L3195">
        <v>0</v>
      </c>
      <c r="M3195">
        <v>1</v>
      </c>
    </row>
    <row r="3196" spans="1:13" x14ac:dyDescent="0.25">
      <c r="A3196" t="s">
        <v>2297</v>
      </c>
      <c r="B3196" t="s">
        <v>24</v>
      </c>
      <c r="C3196" t="s">
        <v>42</v>
      </c>
      <c r="D3196" t="s">
        <v>15</v>
      </c>
      <c r="E3196" t="s">
        <v>21</v>
      </c>
      <c r="F3196" t="s">
        <v>21</v>
      </c>
      <c r="G3196" t="s">
        <v>21</v>
      </c>
      <c r="H3196" s="1">
        <v>44796</v>
      </c>
      <c r="I3196">
        <v>2022</v>
      </c>
      <c r="J3196">
        <v>8</v>
      </c>
      <c r="K3196" t="s">
        <v>22</v>
      </c>
      <c r="L3196" t="s">
        <v>21</v>
      </c>
      <c r="M3196">
        <v>0</v>
      </c>
    </row>
    <row r="3197" spans="1:13" x14ac:dyDescent="0.25">
      <c r="A3197" t="s">
        <v>2298</v>
      </c>
      <c r="B3197" t="s">
        <v>106</v>
      </c>
      <c r="C3197" t="s">
        <v>14</v>
      </c>
      <c r="D3197" t="s">
        <v>22</v>
      </c>
      <c r="E3197" t="s">
        <v>21</v>
      </c>
      <c r="F3197" t="s">
        <v>21</v>
      </c>
      <c r="G3197">
        <v>136</v>
      </c>
      <c r="H3197" s="1">
        <v>44796</v>
      </c>
      <c r="I3197">
        <v>2022</v>
      </c>
      <c r="J3197">
        <v>8</v>
      </c>
      <c r="K3197" t="s">
        <v>36</v>
      </c>
      <c r="L3197" t="s">
        <v>21</v>
      </c>
      <c r="M3197">
        <v>0</v>
      </c>
    </row>
    <row r="3198" spans="1:13" x14ac:dyDescent="0.25">
      <c r="A3198" t="s">
        <v>2299</v>
      </c>
      <c r="B3198" t="s">
        <v>95</v>
      </c>
      <c r="C3198" t="s">
        <v>42</v>
      </c>
      <c r="D3198" t="s">
        <v>68</v>
      </c>
      <c r="E3198" t="s">
        <v>21</v>
      </c>
      <c r="F3198">
        <v>0.17</v>
      </c>
      <c r="G3198">
        <v>73</v>
      </c>
      <c r="H3198" s="1">
        <v>44795</v>
      </c>
      <c r="I3198">
        <v>2022</v>
      </c>
      <c r="J3198">
        <v>8</v>
      </c>
      <c r="K3198" t="s">
        <v>30</v>
      </c>
      <c r="L3198">
        <v>0</v>
      </c>
      <c r="M3198">
        <v>1</v>
      </c>
    </row>
    <row r="3199" spans="1:13" x14ac:dyDescent="0.25">
      <c r="A3199" t="s">
        <v>2300</v>
      </c>
      <c r="B3199" t="s">
        <v>24</v>
      </c>
      <c r="C3199" t="s">
        <v>48</v>
      </c>
      <c r="D3199" t="s">
        <v>22</v>
      </c>
      <c r="E3199" t="s">
        <v>21</v>
      </c>
      <c r="F3199">
        <v>1</v>
      </c>
      <c r="G3199">
        <v>56</v>
      </c>
      <c r="H3199" s="1">
        <v>44795</v>
      </c>
      <c r="I3199">
        <v>2022</v>
      </c>
      <c r="J3199">
        <v>8</v>
      </c>
      <c r="K3199" t="s">
        <v>30</v>
      </c>
      <c r="L3199">
        <v>1</v>
      </c>
      <c r="M3199">
        <v>1</v>
      </c>
    </row>
    <row r="3200" spans="1:13" x14ac:dyDescent="0.25">
      <c r="A3200" t="s">
        <v>2301</v>
      </c>
      <c r="B3200" t="s">
        <v>28</v>
      </c>
      <c r="C3200" t="s">
        <v>29</v>
      </c>
      <c r="D3200" t="s">
        <v>49</v>
      </c>
      <c r="E3200">
        <v>100</v>
      </c>
      <c r="F3200">
        <v>0.14000000000000001</v>
      </c>
      <c r="G3200">
        <v>1</v>
      </c>
      <c r="H3200" s="1">
        <v>44794</v>
      </c>
      <c r="I3200">
        <v>2022</v>
      </c>
      <c r="J3200">
        <v>8</v>
      </c>
      <c r="K3200" t="s">
        <v>16</v>
      </c>
      <c r="L3200">
        <v>0</v>
      </c>
      <c r="M3200">
        <v>1</v>
      </c>
    </row>
    <row r="3201" spans="1:13" x14ac:dyDescent="0.25">
      <c r="A3201" t="s">
        <v>2302</v>
      </c>
      <c r="B3201" t="s">
        <v>28</v>
      </c>
      <c r="C3201" t="s">
        <v>14</v>
      </c>
      <c r="D3201" t="s">
        <v>20</v>
      </c>
      <c r="E3201">
        <v>55</v>
      </c>
      <c r="F3201">
        <v>0.1</v>
      </c>
      <c r="G3201">
        <v>21</v>
      </c>
      <c r="H3201" s="1">
        <v>44794</v>
      </c>
      <c r="I3201">
        <v>2022</v>
      </c>
      <c r="J3201">
        <v>8</v>
      </c>
      <c r="K3201" t="s">
        <v>30</v>
      </c>
      <c r="L3201">
        <v>0</v>
      </c>
      <c r="M3201">
        <v>1</v>
      </c>
    </row>
    <row r="3202" spans="1:13" x14ac:dyDescent="0.25">
      <c r="A3202" t="s">
        <v>53</v>
      </c>
      <c r="B3202" t="s">
        <v>54</v>
      </c>
      <c r="C3202" t="s">
        <v>14</v>
      </c>
      <c r="D3202" t="s">
        <v>55</v>
      </c>
      <c r="E3202">
        <v>13</v>
      </c>
      <c r="F3202">
        <v>0.03</v>
      </c>
      <c r="G3202">
        <v>187</v>
      </c>
      <c r="H3202" s="1">
        <v>44793</v>
      </c>
      <c r="I3202">
        <v>2022</v>
      </c>
      <c r="J3202">
        <v>8</v>
      </c>
      <c r="K3202" t="s">
        <v>36</v>
      </c>
      <c r="L3202">
        <v>0</v>
      </c>
      <c r="M3202">
        <v>1</v>
      </c>
    </row>
    <row r="3203" spans="1:13" x14ac:dyDescent="0.25">
      <c r="A3203" t="s">
        <v>472</v>
      </c>
      <c r="B3203" t="s">
        <v>24</v>
      </c>
      <c r="C3203" t="s">
        <v>14</v>
      </c>
      <c r="D3203" t="s">
        <v>15</v>
      </c>
      <c r="E3203">
        <v>870</v>
      </c>
      <c r="F3203">
        <v>0.05</v>
      </c>
      <c r="G3203">
        <v>1700</v>
      </c>
      <c r="H3203" s="1">
        <v>44792</v>
      </c>
      <c r="I3203">
        <v>2022</v>
      </c>
      <c r="J3203">
        <v>8</v>
      </c>
      <c r="K3203" t="s">
        <v>26</v>
      </c>
      <c r="L3203">
        <v>0</v>
      </c>
      <c r="M3203">
        <v>1</v>
      </c>
    </row>
    <row r="3204" spans="1:13" x14ac:dyDescent="0.25">
      <c r="A3204" t="s">
        <v>517</v>
      </c>
      <c r="B3204" t="s">
        <v>77</v>
      </c>
      <c r="C3204" t="s">
        <v>14</v>
      </c>
      <c r="D3204" t="s">
        <v>347</v>
      </c>
      <c r="E3204">
        <v>50</v>
      </c>
      <c r="F3204" t="s">
        <v>21</v>
      </c>
      <c r="G3204">
        <v>2300</v>
      </c>
      <c r="H3204" s="1">
        <v>44792</v>
      </c>
      <c r="I3204">
        <v>2022</v>
      </c>
      <c r="J3204">
        <v>8</v>
      </c>
      <c r="K3204" t="s">
        <v>26</v>
      </c>
      <c r="L3204" t="s">
        <v>21</v>
      </c>
      <c r="M3204">
        <v>1</v>
      </c>
    </row>
    <row r="3205" spans="1:13" x14ac:dyDescent="0.25">
      <c r="A3205" t="s">
        <v>2303</v>
      </c>
      <c r="B3205" t="s">
        <v>52</v>
      </c>
      <c r="C3205" t="s">
        <v>64</v>
      </c>
      <c r="D3205" t="s">
        <v>22</v>
      </c>
      <c r="E3205">
        <v>40</v>
      </c>
      <c r="F3205">
        <v>0.8</v>
      </c>
      <c r="G3205" t="s">
        <v>21</v>
      </c>
      <c r="H3205" s="1">
        <v>44792</v>
      </c>
      <c r="I3205">
        <v>2022</v>
      </c>
      <c r="J3205">
        <v>8</v>
      </c>
      <c r="K3205" t="s">
        <v>22</v>
      </c>
      <c r="L3205">
        <v>0</v>
      </c>
      <c r="M3205">
        <v>1</v>
      </c>
    </row>
    <row r="3206" spans="1:13" x14ac:dyDescent="0.25">
      <c r="A3206" t="s">
        <v>575</v>
      </c>
      <c r="B3206" t="s">
        <v>140</v>
      </c>
      <c r="C3206" t="s">
        <v>14</v>
      </c>
      <c r="D3206" t="s">
        <v>15</v>
      </c>
      <c r="E3206">
        <v>110</v>
      </c>
      <c r="F3206">
        <v>0.05</v>
      </c>
      <c r="G3206">
        <v>214</v>
      </c>
      <c r="H3206" s="1">
        <v>44791</v>
      </c>
      <c r="I3206">
        <v>2022</v>
      </c>
      <c r="J3206">
        <v>8</v>
      </c>
      <c r="K3206" t="s">
        <v>36</v>
      </c>
      <c r="L3206">
        <v>0</v>
      </c>
      <c r="M3206">
        <v>1</v>
      </c>
    </row>
    <row r="3207" spans="1:13" x14ac:dyDescent="0.25">
      <c r="A3207" t="s">
        <v>1744</v>
      </c>
      <c r="B3207" t="s">
        <v>35</v>
      </c>
      <c r="C3207" t="s">
        <v>14</v>
      </c>
      <c r="D3207" t="s">
        <v>46</v>
      </c>
      <c r="E3207">
        <v>35</v>
      </c>
      <c r="F3207">
        <v>0.17</v>
      </c>
      <c r="G3207">
        <v>215</v>
      </c>
      <c r="H3207" s="1">
        <v>44791</v>
      </c>
      <c r="I3207">
        <v>2022</v>
      </c>
      <c r="J3207">
        <v>8</v>
      </c>
      <c r="K3207" t="s">
        <v>36</v>
      </c>
      <c r="L3207">
        <v>0</v>
      </c>
      <c r="M3207">
        <v>1</v>
      </c>
    </row>
    <row r="3208" spans="1:13" x14ac:dyDescent="0.25">
      <c r="A3208" t="s">
        <v>1355</v>
      </c>
      <c r="B3208" t="s">
        <v>77</v>
      </c>
      <c r="C3208" t="s">
        <v>14</v>
      </c>
      <c r="D3208" t="s">
        <v>55</v>
      </c>
      <c r="E3208" t="s">
        <v>21</v>
      </c>
      <c r="F3208">
        <v>0.1</v>
      </c>
      <c r="G3208">
        <v>704</v>
      </c>
      <c r="H3208" s="1">
        <v>44791</v>
      </c>
      <c r="I3208">
        <v>2022</v>
      </c>
      <c r="J3208">
        <v>8</v>
      </c>
      <c r="K3208" t="s">
        <v>36</v>
      </c>
      <c r="L3208">
        <v>0</v>
      </c>
      <c r="M3208">
        <v>1</v>
      </c>
    </row>
    <row r="3209" spans="1:13" x14ac:dyDescent="0.25">
      <c r="A3209" t="s">
        <v>2304</v>
      </c>
      <c r="B3209" t="s">
        <v>35</v>
      </c>
      <c r="C3209" t="s">
        <v>14</v>
      </c>
      <c r="D3209" t="s">
        <v>46</v>
      </c>
      <c r="E3209" t="s">
        <v>21</v>
      </c>
      <c r="F3209">
        <v>0.1</v>
      </c>
      <c r="G3209">
        <v>209</v>
      </c>
      <c r="H3209" s="1">
        <v>44791</v>
      </c>
      <c r="I3209">
        <v>2022</v>
      </c>
      <c r="J3209">
        <v>8</v>
      </c>
      <c r="K3209" t="s">
        <v>36</v>
      </c>
      <c r="L3209">
        <v>0</v>
      </c>
      <c r="M3209">
        <v>1</v>
      </c>
    </row>
    <row r="3210" spans="1:13" x14ac:dyDescent="0.25">
      <c r="A3210" t="s">
        <v>1146</v>
      </c>
      <c r="B3210" t="s">
        <v>54</v>
      </c>
      <c r="C3210" t="s">
        <v>174</v>
      </c>
      <c r="D3210" t="s">
        <v>55</v>
      </c>
      <c r="E3210" t="s">
        <v>21</v>
      </c>
      <c r="F3210">
        <v>0.05</v>
      </c>
      <c r="G3210">
        <v>178</v>
      </c>
      <c r="H3210" s="1">
        <v>44791</v>
      </c>
      <c r="I3210">
        <v>2022</v>
      </c>
      <c r="J3210">
        <v>8</v>
      </c>
      <c r="K3210" t="s">
        <v>36</v>
      </c>
      <c r="L3210">
        <v>0</v>
      </c>
      <c r="M3210">
        <v>1</v>
      </c>
    </row>
    <row r="3211" spans="1:13" x14ac:dyDescent="0.25">
      <c r="A3211" t="s">
        <v>1199</v>
      </c>
      <c r="B3211" t="s">
        <v>28</v>
      </c>
      <c r="C3211" t="s">
        <v>14</v>
      </c>
      <c r="D3211" t="s">
        <v>33</v>
      </c>
      <c r="E3211">
        <v>125</v>
      </c>
      <c r="F3211">
        <v>0.14000000000000001</v>
      </c>
      <c r="G3211">
        <v>80</v>
      </c>
      <c r="H3211" s="1">
        <v>44790</v>
      </c>
      <c r="I3211">
        <v>2022</v>
      </c>
      <c r="J3211">
        <v>8</v>
      </c>
      <c r="K3211" t="s">
        <v>30</v>
      </c>
      <c r="L3211">
        <v>0</v>
      </c>
      <c r="M3211">
        <v>1</v>
      </c>
    </row>
    <row r="3212" spans="1:13" x14ac:dyDescent="0.25">
      <c r="A3212" t="s">
        <v>2305</v>
      </c>
      <c r="B3212" t="s">
        <v>13</v>
      </c>
      <c r="C3212" t="s">
        <v>230</v>
      </c>
      <c r="D3212" t="s">
        <v>49</v>
      </c>
      <c r="E3212">
        <v>83</v>
      </c>
      <c r="F3212">
        <v>0.82</v>
      </c>
      <c r="G3212" t="s">
        <v>21</v>
      </c>
      <c r="H3212" s="1">
        <v>44790</v>
      </c>
      <c r="I3212">
        <v>2022</v>
      </c>
      <c r="J3212">
        <v>8</v>
      </c>
      <c r="K3212" t="s">
        <v>22</v>
      </c>
      <c r="L3212">
        <v>0</v>
      </c>
      <c r="M3212">
        <v>1</v>
      </c>
    </row>
    <row r="3213" spans="1:13" x14ac:dyDescent="0.25">
      <c r="A3213" t="s">
        <v>190</v>
      </c>
      <c r="B3213" t="s">
        <v>52</v>
      </c>
      <c r="C3213" t="s">
        <v>42</v>
      </c>
      <c r="D3213" t="s">
        <v>22</v>
      </c>
      <c r="E3213">
        <v>74</v>
      </c>
      <c r="F3213">
        <v>0.21</v>
      </c>
      <c r="G3213" t="s">
        <v>21</v>
      </c>
      <c r="H3213" s="1">
        <v>44790</v>
      </c>
      <c r="I3213">
        <v>2022</v>
      </c>
      <c r="J3213">
        <v>8</v>
      </c>
      <c r="K3213" t="s">
        <v>22</v>
      </c>
      <c r="L3213">
        <v>0</v>
      </c>
      <c r="M3213">
        <v>1</v>
      </c>
    </row>
    <row r="3214" spans="1:13" x14ac:dyDescent="0.25">
      <c r="A3214" t="s">
        <v>1223</v>
      </c>
      <c r="B3214" t="s">
        <v>13</v>
      </c>
      <c r="C3214" t="s">
        <v>14</v>
      </c>
      <c r="D3214" t="s">
        <v>46</v>
      </c>
      <c r="E3214">
        <v>54</v>
      </c>
      <c r="F3214" t="s">
        <v>21</v>
      </c>
      <c r="G3214">
        <v>74</v>
      </c>
      <c r="H3214" s="1">
        <v>44790</v>
      </c>
      <c r="I3214">
        <v>2022</v>
      </c>
      <c r="J3214">
        <v>8</v>
      </c>
      <c r="K3214" t="s">
        <v>30</v>
      </c>
      <c r="L3214" t="s">
        <v>21</v>
      </c>
      <c r="M3214">
        <v>1</v>
      </c>
    </row>
    <row r="3215" spans="1:13" x14ac:dyDescent="0.25">
      <c r="A3215" t="s">
        <v>1908</v>
      </c>
      <c r="B3215" t="s">
        <v>52</v>
      </c>
      <c r="C3215" t="s">
        <v>14</v>
      </c>
      <c r="D3215" t="s">
        <v>68</v>
      </c>
      <c r="E3215">
        <v>52</v>
      </c>
      <c r="F3215">
        <v>0.2</v>
      </c>
      <c r="G3215" t="s">
        <v>21</v>
      </c>
      <c r="H3215" s="1">
        <v>44790</v>
      </c>
      <c r="I3215">
        <v>2022</v>
      </c>
      <c r="J3215">
        <v>8</v>
      </c>
      <c r="K3215" t="s">
        <v>22</v>
      </c>
      <c r="L3215">
        <v>0</v>
      </c>
      <c r="M3215">
        <v>1</v>
      </c>
    </row>
    <row r="3216" spans="1:13" x14ac:dyDescent="0.25">
      <c r="A3216" t="s">
        <v>2306</v>
      </c>
      <c r="B3216" t="s">
        <v>77</v>
      </c>
      <c r="C3216" t="s">
        <v>230</v>
      </c>
      <c r="D3216" t="s">
        <v>46</v>
      </c>
      <c r="E3216">
        <v>50</v>
      </c>
      <c r="F3216" t="s">
        <v>21</v>
      </c>
      <c r="G3216">
        <v>104</v>
      </c>
      <c r="H3216" s="1">
        <v>44790</v>
      </c>
      <c r="I3216">
        <v>2022</v>
      </c>
      <c r="J3216">
        <v>8</v>
      </c>
      <c r="K3216" t="s">
        <v>36</v>
      </c>
      <c r="L3216" t="s">
        <v>21</v>
      </c>
      <c r="M3216">
        <v>1</v>
      </c>
    </row>
    <row r="3217" spans="1:13" x14ac:dyDescent="0.25">
      <c r="A3217" t="s">
        <v>2307</v>
      </c>
      <c r="B3217" t="s">
        <v>35</v>
      </c>
      <c r="C3217" t="s">
        <v>174</v>
      </c>
      <c r="D3217" t="s">
        <v>55</v>
      </c>
      <c r="E3217">
        <v>80</v>
      </c>
      <c r="F3217">
        <v>0.14000000000000001</v>
      </c>
      <c r="G3217">
        <v>293</v>
      </c>
      <c r="H3217" s="1">
        <v>44789</v>
      </c>
      <c r="I3217">
        <v>2022</v>
      </c>
      <c r="J3217">
        <v>8</v>
      </c>
      <c r="K3217" t="s">
        <v>36</v>
      </c>
      <c r="L3217">
        <v>0</v>
      </c>
      <c r="M3217">
        <v>1</v>
      </c>
    </row>
    <row r="3218" spans="1:13" x14ac:dyDescent="0.25">
      <c r="A3218" t="s">
        <v>2308</v>
      </c>
      <c r="B3218" t="s">
        <v>38</v>
      </c>
      <c r="C3218" t="s">
        <v>29</v>
      </c>
      <c r="D3218" t="s">
        <v>55</v>
      </c>
      <c r="E3218">
        <v>12</v>
      </c>
      <c r="F3218">
        <v>0.09</v>
      </c>
      <c r="G3218">
        <v>205</v>
      </c>
      <c r="H3218" s="1">
        <v>44789</v>
      </c>
      <c r="I3218">
        <v>2022</v>
      </c>
      <c r="J3218">
        <v>8</v>
      </c>
      <c r="K3218" t="s">
        <v>36</v>
      </c>
      <c r="L3218">
        <v>0</v>
      </c>
      <c r="M3218">
        <v>1</v>
      </c>
    </row>
    <row r="3219" spans="1:13" x14ac:dyDescent="0.25">
      <c r="A3219" t="s">
        <v>2309</v>
      </c>
      <c r="B3219" t="s">
        <v>40</v>
      </c>
      <c r="C3219" t="s">
        <v>14</v>
      </c>
      <c r="D3219" t="s">
        <v>68</v>
      </c>
      <c r="E3219">
        <v>5</v>
      </c>
      <c r="F3219">
        <v>0.15</v>
      </c>
      <c r="G3219">
        <v>11</v>
      </c>
      <c r="H3219" s="1">
        <v>44789</v>
      </c>
      <c r="I3219">
        <v>2022</v>
      </c>
      <c r="J3219">
        <v>8</v>
      </c>
      <c r="K3219" t="s">
        <v>30</v>
      </c>
      <c r="L3219">
        <v>0</v>
      </c>
      <c r="M3219">
        <v>1</v>
      </c>
    </row>
    <row r="3220" spans="1:13" x14ac:dyDescent="0.25">
      <c r="A3220" t="s">
        <v>226</v>
      </c>
      <c r="B3220" t="s">
        <v>52</v>
      </c>
      <c r="C3220" t="s">
        <v>64</v>
      </c>
      <c r="D3220" t="s">
        <v>22</v>
      </c>
      <c r="E3220" t="s">
        <v>21</v>
      </c>
      <c r="F3220" t="s">
        <v>21</v>
      </c>
      <c r="G3220">
        <v>156</v>
      </c>
      <c r="H3220" s="1">
        <v>44789</v>
      </c>
      <c r="I3220">
        <v>2022</v>
      </c>
      <c r="J3220">
        <v>8</v>
      </c>
      <c r="K3220" t="s">
        <v>36</v>
      </c>
      <c r="L3220" t="s">
        <v>21</v>
      </c>
      <c r="M3220">
        <v>0</v>
      </c>
    </row>
    <row r="3221" spans="1:13" x14ac:dyDescent="0.25">
      <c r="A3221" t="s">
        <v>2310</v>
      </c>
      <c r="B3221" t="s">
        <v>106</v>
      </c>
      <c r="C3221" t="s">
        <v>14</v>
      </c>
      <c r="D3221" t="s">
        <v>20</v>
      </c>
      <c r="E3221" t="s">
        <v>21</v>
      </c>
      <c r="F3221">
        <v>1</v>
      </c>
      <c r="G3221">
        <v>77</v>
      </c>
      <c r="H3221" s="1">
        <v>44789</v>
      </c>
      <c r="I3221">
        <v>2022</v>
      </c>
      <c r="J3221">
        <v>8</v>
      </c>
      <c r="K3221" t="s">
        <v>30</v>
      </c>
      <c r="L3221">
        <v>1</v>
      </c>
      <c r="M3221">
        <v>1</v>
      </c>
    </row>
    <row r="3222" spans="1:13" x14ac:dyDescent="0.25">
      <c r="A3222" t="s">
        <v>2144</v>
      </c>
      <c r="B3222" t="s">
        <v>91</v>
      </c>
      <c r="C3222" t="s">
        <v>14</v>
      </c>
      <c r="D3222" t="s">
        <v>55</v>
      </c>
      <c r="E3222" t="s">
        <v>21</v>
      </c>
      <c r="F3222">
        <v>0.1</v>
      </c>
      <c r="G3222">
        <v>253</v>
      </c>
      <c r="H3222" s="1">
        <v>44789</v>
      </c>
      <c r="I3222">
        <v>2022</v>
      </c>
      <c r="J3222">
        <v>8</v>
      </c>
      <c r="K3222" t="s">
        <v>36</v>
      </c>
      <c r="L3222">
        <v>0</v>
      </c>
      <c r="M3222">
        <v>1</v>
      </c>
    </row>
    <row r="3223" spans="1:13" x14ac:dyDescent="0.25">
      <c r="A3223" t="s">
        <v>2311</v>
      </c>
      <c r="B3223" t="s">
        <v>13</v>
      </c>
      <c r="C3223" t="s">
        <v>14</v>
      </c>
      <c r="D3223" t="s">
        <v>22</v>
      </c>
      <c r="E3223" t="s">
        <v>21</v>
      </c>
      <c r="F3223" t="s">
        <v>21</v>
      </c>
      <c r="G3223">
        <v>467</v>
      </c>
      <c r="H3223" s="1">
        <v>44789</v>
      </c>
      <c r="I3223">
        <v>2022</v>
      </c>
      <c r="J3223">
        <v>8</v>
      </c>
      <c r="K3223" t="s">
        <v>36</v>
      </c>
      <c r="L3223" t="s">
        <v>21</v>
      </c>
      <c r="M3223">
        <v>0</v>
      </c>
    </row>
    <row r="3224" spans="1:13" x14ac:dyDescent="0.25">
      <c r="A3224" t="s">
        <v>2099</v>
      </c>
      <c r="B3224" t="s">
        <v>35</v>
      </c>
      <c r="C3224" t="s">
        <v>14</v>
      </c>
      <c r="D3224" t="s">
        <v>15</v>
      </c>
      <c r="E3224">
        <v>250</v>
      </c>
      <c r="F3224">
        <v>0.13</v>
      </c>
      <c r="G3224">
        <v>791</v>
      </c>
      <c r="H3224" s="1">
        <v>44788</v>
      </c>
      <c r="I3224">
        <v>2022</v>
      </c>
      <c r="J3224">
        <v>8</v>
      </c>
      <c r="K3224" t="s">
        <v>36</v>
      </c>
      <c r="L3224">
        <v>0</v>
      </c>
      <c r="M3224">
        <v>1</v>
      </c>
    </row>
    <row r="3225" spans="1:13" x14ac:dyDescent="0.25">
      <c r="A3225" t="s">
        <v>1243</v>
      </c>
      <c r="B3225" t="s">
        <v>77</v>
      </c>
      <c r="C3225" t="s">
        <v>14</v>
      </c>
      <c r="D3225" t="s">
        <v>15</v>
      </c>
      <c r="E3225">
        <v>220</v>
      </c>
      <c r="F3225">
        <v>0.12</v>
      </c>
      <c r="G3225">
        <v>665</v>
      </c>
      <c r="H3225" s="1">
        <v>44788</v>
      </c>
      <c r="I3225">
        <v>2022</v>
      </c>
      <c r="J3225">
        <v>8</v>
      </c>
      <c r="K3225" t="s">
        <v>36</v>
      </c>
      <c r="L3225">
        <v>0</v>
      </c>
      <c r="M3225">
        <v>1</v>
      </c>
    </row>
    <row r="3226" spans="1:13" x14ac:dyDescent="0.25">
      <c r="A3226" t="s">
        <v>2312</v>
      </c>
      <c r="B3226" t="s">
        <v>35</v>
      </c>
      <c r="C3226" t="s">
        <v>14</v>
      </c>
      <c r="D3226" t="s">
        <v>15</v>
      </c>
      <c r="E3226">
        <v>16</v>
      </c>
      <c r="F3226">
        <v>0.37</v>
      </c>
      <c r="G3226">
        <v>380</v>
      </c>
      <c r="H3226" s="1">
        <v>44788</v>
      </c>
      <c r="I3226">
        <v>2022</v>
      </c>
      <c r="J3226">
        <v>8</v>
      </c>
      <c r="K3226" t="s">
        <v>36</v>
      </c>
      <c r="L3226">
        <v>0</v>
      </c>
      <c r="M3226">
        <v>1</v>
      </c>
    </row>
    <row r="3227" spans="1:13" x14ac:dyDescent="0.25">
      <c r="A3227" t="s">
        <v>2313</v>
      </c>
      <c r="B3227" t="s">
        <v>24</v>
      </c>
      <c r="C3227" t="s">
        <v>14</v>
      </c>
      <c r="D3227" t="s">
        <v>15</v>
      </c>
      <c r="E3227" t="s">
        <v>21</v>
      </c>
      <c r="F3227">
        <v>0.15</v>
      </c>
      <c r="G3227">
        <v>305</v>
      </c>
      <c r="H3227" s="1">
        <v>44788</v>
      </c>
      <c r="I3227">
        <v>2022</v>
      </c>
      <c r="J3227">
        <v>8</v>
      </c>
      <c r="K3227" t="s">
        <v>36</v>
      </c>
      <c r="L3227">
        <v>0</v>
      </c>
      <c r="M3227">
        <v>1</v>
      </c>
    </row>
    <row r="3228" spans="1:13" x14ac:dyDescent="0.25">
      <c r="A3228" t="s">
        <v>2314</v>
      </c>
      <c r="B3228" t="s">
        <v>91</v>
      </c>
      <c r="C3228" t="s">
        <v>29</v>
      </c>
      <c r="D3228" t="s">
        <v>68</v>
      </c>
      <c r="E3228">
        <v>11</v>
      </c>
      <c r="F3228" t="s">
        <v>21</v>
      </c>
      <c r="G3228">
        <v>15</v>
      </c>
      <c r="H3228" s="1">
        <v>44787</v>
      </c>
      <c r="I3228">
        <v>2022</v>
      </c>
      <c r="J3228">
        <v>8</v>
      </c>
      <c r="K3228" t="s">
        <v>30</v>
      </c>
      <c r="L3228" t="s">
        <v>21</v>
      </c>
      <c r="M3228">
        <v>1</v>
      </c>
    </row>
    <row r="3229" spans="1:13" x14ac:dyDescent="0.25">
      <c r="A3229" t="s">
        <v>2315</v>
      </c>
      <c r="B3229" t="s">
        <v>13</v>
      </c>
      <c r="C3229" t="s">
        <v>14</v>
      </c>
      <c r="D3229" t="s">
        <v>68</v>
      </c>
      <c r="E3229" t="s">
        <v>21</v>
      </c>
      <c r="F3229" t="s">
        <v>21</v>
      </c>
      <c r="G3229">
        <v>45</v>
      </c>
      <c r="H3229" s="1">
        <v>44786</v>
      </c>
      <c r="I3229">
        <v>2022</v>
      </c>
      <c r="J3229">
        <v>8</v>
      </c>
      <c r="K3229" t="s">
        <v>30</v>
      </c>
      <c r="L3229" t="s">
        <v>21</v>
      </c>
      <c r="M3229">
        <v>0</v>
      </c>
    </row>
    <row r="3230" spans="1:13" x14ac:dyDescent="0.25">
      <c r="A3230" t="s">
        <v>272</v>
      </c>
      <c r="B3230" t="s">
        <v>207</v>
      </c>
      <c r="C3230" t="s">
        <v>14</v>
      </c>
      <c r="D3230" t="s">
        <v>15</v>
      </c>
      <c r="E3230">
        <v>784</v>
      </c>
      <c r="F3230">
        <v>0.13</v>
      </c>
      <c r="G3230">
        <v>1900</v>
      </c>
      <c r="H3230" s="1">
        <v>44785</v>
      </c>
      <c r="I3230">
        <v>2022</v>
      </c>
      <c r="J3230">
        <v>8</v>
      </c>
      <c r="K3230" t="s">
        <v>26</v>
      </c>
      <c r="L3230">
        <v>0</v>
      </c>
      <c r="M3230">
        <v>1</v>
      </c>
    </row>
    <row r="3231" spans="1:13" x14ac:dyDescent="0.25">
      <c r="A3231" t="s">
        <v>2316</v>
      </c>
      <c r="B3231" t="s">
        <v>52</v>
      </c>
      <c r="C3231" t="s">
        <v>14</v>
      </c>
      <c r="D3231" t="s">
        <v>15</v>
      </c>
      <c r="E3231" t="s">
        <v>21</v>
      </c>
      <c r="F3231">
        <v>0.1</v>
      </c>
      <c r="G3231">
        <v>169</v>
      </c>
      <c r="H3231" s="1">
        <v>44785</v>
      </c>
      <c r="I3231">
        <v>2022</v>
      </c>
      <c r="J3231">
        <v>8</v>
      </c>
      <c r="K3231" t="s">
        <v>36</v>
      </c>
      <c r="L3231">
        <v>0</v>
      </c>
      <c r="M3231">
        <v>1</v>
      </c>
    </row>
    <row r="3232" spans="1:13" x14ac:dyDescent="0.25">
      <c r="A3232" t="s">
        <v>2317</v>
      </c>
      <c r="B3232" t="s">
        <v>13</v>
      </c>
      <c r="C3232" t="s">
        <v>14</v>
      </c>
      <c r="D3232" t="s">
        <v>68</v>
      </c>
      <c r="E3232" t="s">
        <v>21</v>
      </c>
      <c r="F3232" t="s">
        <v>21</v>
      </c>
      <c r="G3232">
        <v>20</v>
      </c>
      <c r="H3232" s="1">
        <v>44785</v>
      </c>
      <c r="I3232">
        <v>2022</v>
      </c>
      <c r="J3232">
        <v>8</v>
      </c>
      <c r="K3232" t="s">
        <v>30</v>
      </c>
      <c r="L3232" t="s">
        <v>21</v>
      </c>
      <c r="M3232">
        <v>0</v>
      </c>
    </row>
    <row r="3233" spans="1:13" x14ac:dyDescent="0.25">
      <c r="A3233" t="s">
        <v>2222</v>
      </c>
      <c r="B3233" t="s">
        <v>35</v>
      </c>
      <c r="C3233" t="s">
        <v>14</v>
      </c>
      <c r="D3233" t="s">
        <v>55</v>
      </c>
      <c r="E3233">
        <v>175</v>
      </c>
      <c r="F3233">
        <v>0.33</v>
      </c>
      <c r="G3233">
        <v>255</v>
      </c>
      <c r="H3233" s="1">
        <v>44784</v>
      </c>
      <c r="I3233">
        <v>2022</v>
      </c>
      <c r="J3233">
        <v>8</v>
      </c>
      <c r="K3233" t="s">
        <v>36</v>
      </c>
      <c r="L3233">
        <v>0</v>
      </c>
      <c r="M3233">
        <v>1</v>
      </c>
    </row>
    <row r="3234" spans="1:13" x14ac:dyDescent="0.25">
      <c r="A3234" t="s">
        <v>2318</v>
      </c>
      <c r="B3234" t="s">
        <v>35</v>
      </c>
      <c r="C3234" t="s">
        <v>14</v>
      </c>
      <c r="D3234" t="s">
        <v>46</v>
      </c>
      <c r="E3234">
        <v>90</v>
      </c>
      <c r="F3234">
        <v>0.2</v>
      </c>
      <c r="G3234">
        <v>218</v>
      </c>
      <c r="H3234" s="1">
        <v>44784</v>
      </c>
      <c r="I3234">
        <v>2022</v>
      </c>
      <c r="J3234">
        <v>8</v>
      </c>
      <c r="K3234" t="s">
        <v>36</v>
      </c>
      <c r="L3234">
        <v>0</v>
      </c>
      <c r="M3234">
        <v>1</v>
      </c>
    </row>
    <row r="3235" spans="1:13" x14ac:dyDescent="0.25">
      <c r="A3235" t="s">
        <v>1019</v>
      </c>
      <c r="B3235" t="s">
        <v>117</v>
      </c>
      <c r="C3235" t="s">
        <v>14</v>
      </c>
      <c r="D3235" t="s">
        <v>55</v>
      </c>
      <c r="E3235">
        <v>60</v>
      </c>
      <c r="F3235">
        <v>0.08</v>
      </c>
      <c r="G3235">
        <v>201</v>
      </c>
      <c r="H3235" s="1">
        <v>44784</v>
      </c>
      <c r="I3235">
        <v>2022</v>
      </c>
      <c r="J3235">
        <v>8</v>
      </c>
      <c r="K3235" t="s">
        <v>36</v>
      </c>
      <c r="L3235">
        <v>0</v>
      </c>
      <c r="M3235">
        <v>1</v>
      </c>
    </row>
    <row r="3236" spans="1:13" x14ac:dyDescent="0.25">
      <c r="A3236" t="s">
        <v>2319</v>
      </c>
      <c r="B3236" t="s">
        <v>24</v>
      </c>
      <c r="C3236" t="s">
        <v>184</v>
      </c>
      <c r="D3236" t="s">
        <v>68</v>
      </c>
      <c r="E3236">
        <v>54</v>
      </c>
      <c r="F3236">
        <v>0.09</v>
      </c>
      <c r="G3236">
        <v>42</v>
      </c>
      <c r="H3236" s="1">
        <v>44784</v>
      </c>
      <c r="I3236">
        <v>2022</v>
      </c>
      <c r="J3236">
        <v>8</v>
      </c>
      <c r="K3236" t="s">
        <v>30</v>
      </c>
      <c r="L3236">
        <v>0</v>
      </c>
      <c r="M3236">
        <v>1</v>
      </c>
    </row>
    <row r="3237" spans="1:13" x14ac:dyDescent="0.25">
      <c r="A3237" t="s">
        <v>1833</v>
      </c>
      <c r="B3237" t="s">
        <v>35</v>
      </c>
      <c r="C3237" t="s">
        <v>812</v>
      </c>
      <c r="D3237" t="s">
        <v>46</v>
      </c>
      <c r="E3237">
        <v>30</v>
      </c>
      <c r="F3237" t="s">
        <v>21</v>
      </c>
      <c r="G3237">
        <v>204</v>
      </c>
      <c r="H3237" s="1">
        <v>44784</v>
      </c>
      <c r="I3237">
        <v>2022</v>
      </c>
      <c r="J3237">
        <v>8</v>
      </c>
      <c r="K3237" t="s">
        <v>36</v>
      </c>
      <c r="L3237" t="s">
        <v>21</v>
      </c>
      <c r="M3237">
        <v>1</v>
      </c>
    </row>
    <row r="3238" spans="1:13" x14ac:dyDescent="0.25">
      <c r="A3238" t="s">
        <v>2320</v>
      </c>
      <c r="B3238" t="s">
        <v>45</v>
      </c>
      <c r="C3238" t="s">
        <v>42</v>
      </c>
      <c r="D3238" t="s">
        <v>46</v>
      </c>
      <c r="E3238">
        <v>7</v>
      </c>
      <c r="F3238" t="s">
        <v>21</v>
      </c>
      <c r="G3238">
        <v>26</v>
      </c>
      <c r="H3238" s="1">
        <v>44784</v>
      </c>
      <c r="I3238">
        <v>2022</v>
      </c>
      <c r="J3238">
        <v>8</v>
      </c>
      <c r="K3238" t="s">
        <v>30</v>
      </c>
      <c r="L3238" t="s">
        <v>21</v>
      </c>
      <c r="M3238">
        <v>1</v>
      </c>
    </row>
    <row r="3239" spans="1:13" x14ac:dyDescent="0.25">
      <c r="A3239" t="s">
        <v>2321</v>
      </c>
      <c r="B3239" t="s">
        <v>77</v>
      </c>
      <c r="C3239" t="s">
        <v>14</v>
      </c>
      <c r="D3239" t="s">
        <v>15</v>
      </c>
      <c r="E3239" t="s">
        <v>21</v>
      </c>
      <c r="F3239">
        <v>0.02</v>
      </c>
      <c r="G3239">
        <v>24</v>
      </c>
      <c r="H3239" s="1">
        <v>44784</v>
      </c>
      <c r="I3239">
        <v>2022</v>
      </c>
      <c r="J3239">
        <v>8</v>
      </c>
      <c r="K3239" t="s">
        <v>30</v>
      </c>
      <c r="L3239">
        <v>0</v>
      </c>
      <c r="M3239">
        <v>1</v>
      </c>
    </row>
    <row r="3240" spans="1:13" x14ac:dyDescent="0.25">
      <c r="A3240" t="s">
        <v>1405</v>
      </c>
      <c r="B3240" t="s">
        <v>106</v>
      </c>
      <c r="C3240" t="s">
        <v>230</v>
      </c>
      <c r="D3240" t="s">
        <v>33</v>
      </c>
      <c r="E3240">
        <v>47</v>
      </c>
      <c r="F3240">
        <v>0.1</v>
      </c>
      <c r="G3240">
        <v>40</v>
      </c>
      <c r="H3240" s="1">
        <v>44783</v>
      </c>
      <c r="I3240">
        <v>2022</v>
      </c>
      <c r="J3240">
        <v>8</v>
      </c>
      <c r="K3240" t="s">
        <v>30</v>
      </c>
      <c r="L3240">
        <v>0</v>
      </c>
      <c r="M3240">
        <v>1</v>
      </c>
    </row>
    <row r="3241" spans="1:13" x14ac:dyDescent="0.25">
      <c r="A3241" t="s">
        <v>1545</v>
      </c>
      <c r="B3241" t="s">
        <v>54</v>
      </c>
      <c r="C3241" t="s">
        <v>80</v>
      </c>
      <c r="D3241" t="s">
        <v>46</v>
      </c>
      <c r="E3241">
        <v>30</v>
      </c>
      <c r="F3241">
        <v>0.12</v>
      </c>
      <c r="G3241">
        <v>105</v>
      </c>
      <c r="H3241" s="1">
        <v>44783</v>
      </c>
      <c r="I3241">
        <v>2022</v>
      </c>
      <c r="J3241">
        <v>8</v>
      </c>
      <c r="K3241" t="s">
        <v>36</v>
      </c>
      <c r="L3241">
        <v>0</v>
      </c>
      <c r="M3241">
        <v>1</v>
      </c>
    </row>
    <row r="3242" spans="1:13" x14ac:dyDescent="0.25">
      <c r="A3242" t="s">
        <v>2080</v>
      </c>
      <c r="B3242" t="s">
        <v>91</v>
      </c>
      <c r="C3242" t="s">
        <v>14</v>
      </c>
      <c r="D3242" t="s">
        <v>33</v>
      </c>
      <c r="E3242" t="s">
        <v>21</v>
      </c>
      <c r="F3242">
        <v>0.2</v>
      </c>
      <c r="G3242">
        <v>160</v>
      </c>
      <c r="H3242" s="1">
        <v>44783</v>
      </c>
      <c r="I3242">
        <v>2022</v>
      </c>
      <c r="J3242">
        <v>8</v>
      </c>
      <c r="K3242" t="s">
        <v>36</v>
      </c>
      <c r="L3242">
        <v>0</v>
      </c>
      <c r="M3242">
        <v>1</v>
      </c>
    </row>
    <row r="3243" spans="1:13" x14ac:dyDescent="0.25">
      <c r="A3243" t="s">
        <v>2322</v>
      </c>
      <c r="B3243" t="s">
        <v>54</v>
      </c>
      <c r="C3243" t="s">
        <v>80</v>
      </c>
      <c r="D3243" t="s">
        <v>46</v>
      </c>
      <c r="E3243" t="s">
        <v>21</v>
      </c>
      <c r="F3243">
        <v>1</v>
      </c>
      <c r="G3243">
        <v>238</v>
      </c>
      <c r="H3243" s="1">
        <v>44783</v>
      </c>
      <c r="I3243">
        <v>2022</v>
      </c>
      <c r="J3243">
        <v>8</v>
      </c>
      <c r="K3243" t="s">
        <v>36</v>
      </c>
      <c r="L3243">
        <v>1</v>
      </c>
      <c r="M3243">
        <v>1</v>
      </c>
    </row>
    <row r="3244" spans="1:13" x14ac:dyDescent="0.25">
      <c r="A3244" t="s">
        <v>2323</v>
      </c>
      <c r="B3244" t="s">
        <v>35</v>
      </c>
      <c r="C3244" t="s">
        <v>14</v>
      </c>
      <c r="D3244" t="s">
        <v>55</v>
      </c>
      <c r="E3244" t="s">
        <v>21</v>
      </c>
      <c r="F3244">
        <v>0.2</v>
      </c>
      <c r="G3244">
        <v>301</v>
      </c>
      <c r="H3244" s="1">
        <v>44783</v>
      </c>
      <c r="I3244">
        <v>2022</v>
      </c>
      <c r="J3244">
        <v>8</v>
      </c>
      <c r="K3244" t="s">
        <v>36</v>
      </c>
      <c r="L3244">
        <v>0</v>
      </c>
      <c r="M3244">
        <v>1</v>
      </c>
    </row>
    <row r="3245" spans="1:13" x14ac:dyDescent="0.25">
      <c r="A3245" t="s">
        <v>2324</v>
      </c>
      <c r="B3245" t="s">
        <v>35</v>
      </c>
      <c r="C3245" t="s">
        <v>14</v>
      </c>
      <c r="D3245" t="s">
        <v>15</v>
      </c>
      <c r="E3245">
        <v>800</v>
      </c>
      <c r="F3245">
        <v>0.2</v>
      </c>
      <c r="G3245">
        <v>75</v>
      </c>
      <c r="H3245" s="1">
        <v>44782</v>
      </c>
      <c r="I3245">
        <v>2022</v>
      </c>
      <c r="J3245">
        <v>8</v>
      </c>
      <c r="K3245" t="s">
        <v>30</v>
      </c>
      <c r="L3245">
        <v>0</v>
      </c>
      <c r="M3245">
        <v>1</v>
      </c>
    </row>
    <row r="3246" spans="1:13" x14ac:dyDescent="0.25">
      <c r="A3246" t="s">
        <v>340</v>
      </c>
      <c r="B3246" t="s">
        <v>54</v>
      </c>
      <c r="C3246" t="s">
        <v>174</v>
      </c>
      <c r="D3246" t="s">
        <v>46</v>
      </c>
      <c r="E3246">
        <v>400</v>
      </c>
      <c r="F3246">
        <v>0.3</v>
      </c>
      <c r="G3246">
        <v>300</v>
      </c>
      <c r="H3246" s="1">
        <v>44782</v>
      </c>
      <c r="I3246">
        <v>2022</v>
      </c>
      <c r="J3246">
        <v>8</v>
      </c>
      <c r="K3246" t="s">
        <v>36</v>
      </c>
      <c r="L3246">
        <v>0</v>
      </c>
      <c r="M3246">
        <v>1</v>
      </c>
    </row>
    <row r="3247" spans="1:13" x14ac:dyDescent="0.25">
      <c r="A3247" t="s">
        <v>2325</v>
      </c>
      <c r="B3247" t="s">
        <v>140</v>
      </c>
      <c r="C3247" t="s">
        <v>14</v>
      </c>
      <c r="D3247" t="s">
        <v>15</v>
      </c>
      <c r="E3247">
        <v>270</v>
      </c>
      <c r="F3247">
        <v>0.04</v>
      </c>
      <c r="G3247">
        <v>1100</v>
      </c>
      <c r="H3247" s="1">
        <v>44782</v>
      </c>
      <c r="I3247">
        <v>2022</v>
      </c>
      <c r="J3247">
        <v>8</v>
      </c>
      <c r="K3247" t="s">
        <v>26</v>
      </c>
      <c r="L3247">
        <v>0</v>
      </c>
      <c r="M3247">
        <v>1</v>
      </c>
    </row>
    <row r="3248" spans="1:13" x14ac:dyDescent="0.25">
      <c r="A3248" t="s">
        <v>2326</v>
      </c>
      <c r="B3248" t="s">
        <v>35</v>
      </c>
      <c r="C3248" t="s">
        <v>14</v>
      </c>
      <c r="D3248" t="s">
        <v>15</v>
      </c>
      <c r="E3248">
        <v>130</v>
      </c>
      <c r="F3248">
        <v>0.25</v>
      </c>
      <c r="G3248">
        <v>533</v>
      </c>
      <c r="H3248" s="1">
        <v>44782</v>
      </c>
      <c r="I3248">
        <v>2022</v>
      </c>
      <c r="J3248">
        <v>8</v>
      </c>
      <c r="K3248" t="s">
        <v>36</v>
      </c>
      <c r="L3248">
        <v>0</v>
      </c>
      <c r="M3248">
        <v>1</v>
      </c>
    </row>
    <row r="3249" spans="1:13" x14ac:dyDescent="0.25">
      <c r="A3249" t="s">
        <v>129</v>
      </c>
      <c r="B3249" t="s">
        <v>54</v>
      </c>
      <c r="C3249" t="s">
        <v>29</v>
      </c>
      <c r="D3249" t="s">
        <v>15</v>
      </c>
      <c r="E3249">
        <v>100</v>
      </c>
      <c r="F3249" t="s">
        <v>21</v>
      </c>
      <c r="G3249">
        <v>58</v>
      </c>
      <c r="H3249" s="1">
        <v>44782</v>
      </c>
      <c r="I3249">
        <v>2022</v>
      </c>
      <c r="J3249">
        <v>8</v>
      </c>
      <c r="K3249" t="s">
        <v>30</v>
      </c>
      <c r="L3249" t="s">
        <v>21</v>
      </c>
      <c r="M3249">
        <v>1</v>
      </c>
    </row>
    <row r="3250" spans="1:13" x14ac:dyDescent="0.25">
      <c r="A3250" t="s">
        <v>2327</v>
      </c>
      <c r="B3250" t="s">
        <v>24</v>
      </c>
      <c r="C3250" t="s">
        <v>230</v>
      </c>
      <c r="D3250" t="s">
        <v>111</v>
      </c>
      <c r="E3250">
        <v>60</v>
      </c>
      <c r="F3250">
        <v>0.03</v>
      </c>
      <c r="G3250">
        <v>338</v>
      </c>
      <c r="H3250" s="1">
        <v>44782</v>
      </c>
      <c r="I3250">
        <v>2022</v>
      </c>
      <c r="J3250">
        <v>8</v>
      </c>
      <c r="K3250" t="s">
        <v>36</v>
      </c>
      <c r="L3250">
        <v>0</v>
      </c>
      <c r="M3250">
        <v>1</v>
      </c>
    </row>
    <row r="3251" spans="1:13" x14ac:dyDescent="0.25">
      <c r="A3251" t="s">
        <v>852</v>
      </c>
      <c r="B3251" t="s">
        <v>77</v>
      </c>
      <c r="C3251" t="s">
        <v>14</v>
      </c>
      <c r="D3251" t="s">
        <v>55</v>
      </c>
      <c r="E3251">
        <v>60</v>
      </c>
      <c r="F3251" t="s">
        <v>21</v>
      </c>
      <c r="G3251">
        <v>504</v>
      </c>
      <c r="H3251" s="1">
        <v>44782</v>
      </c>
      <c r="I3251">
        <v>2022</v>
      </c>
      <c r="J3251">
        <v>8</v>
      </c>
      <c r="K3251" t="s">
        <v>36</v>
      </c>
      <c r="L3251" t="s">
        <v>21</v>
      </c>
      <c r="M3251">
        <v>1</v>
      </c>
    </row>
    <row r="3252" spans="1:13" x14ac:dyDescent="0.25">
      <c r="A3252" t="s">
        <v>1418</v>
      </c>
      <c r="B3252" t="s">
        <v>18</v>
      </c>
      <c r="C3252" t="s">
        <v>42</v>
      </c>
      <c r="D3252" t="s">
        <v>22</v>
      </c>
      <c r="E3252">
        <v>50</v>
      </c>
      <c r="F3252">
        <v>0.17</v>
      </c>
      <c r="G3252">
        <v>165</v>
      </c>
      <c r="H3252" s="1">
        <v>44782</v>
      </c>
      <c r="I3252">
        <v>2022</v>
      </c>
      <c r="J3252">
        <v>8</v>
      </c>
      <c r="K3252" t="s">
        <v>36</v>
      </c>
      <c r="L3252">
        <v>0</v>
      </c>
      <c r="M3252">
        <v>1</v>
      </c>
    </row>
    <row r="3253" spans="1:13" x14ac:dyDescent="0.25">
      <c r="A3253" t="s">
        <v>2328</v>
      </c>
      <c r="B3253" t="s">
        <v>24</v>
      </c>
      <c r="C3253" t="s">
        <v>14</v>
      </c>
      <c r="D3253" t="s">
        <v>46</v>
      </c>
      <c r="E3253">
        <v>48</v>
      </c>
      <c r="F3253">
        <v>0.3</v>
      </c>
      <c r="G3253">
        <v>114</v>
      </c>
      <c r="H3253" s="1">
        <v>44782</v>
      </c>
      <c r="I3253">
        <v>2022</v>
      </c>
      <c r="J3253">
        <v>8</v>
      </c>
      <c r="K3253" t="s">
        <v>36</v>
      </c>
      <c r="L3253">
        <v>0</v>
      </c>
      <c r="M3253">
        <v>1</v>
      </c>
    </row>
    <row r="3254" spans="1:13" x14ac:dyDescent="0.25">
      <c r="A3254" t="s">
        <v>1186</v>
      </c>
      <c r="B3254" t="s">
        <v>35</v>
      </c>
      <c r="C3254" t="s">
        <v>174</v>
      </c>
      <c r="D3254" t="s">
        <v>15</v>
      </c>
      <c r="E3254">
        <v>40</v>
      </c>
      <c r="F3254" t="s">
        <v>21</v>
      </c>
      <c r="G3254">
        <v>237</v>
      </c>
      <c r="H3254" s="1">
        <v>44782</v>
      </c>
      <c r="I3254">
        <v>2022</v>
      </c>
      <c r="J3254">
        <v>8</v>
      </c>
      <c r="K3254" t="s">
        <v>36</v>
      </c>
      <c r="L3254" t="s">
        <v>21</v>
      </c>
      <c r="M3254">
        <v>1</v>
      </c>
    </row>
    <row r="3255" spans="1:13" x14ac:dyDescent="0.25">
      <c r="A3255" t="s">
        <v>2329</v>
      </c>
      <c r="B3255" t="s">
        <v>99</v>
      </c>
      <c r="C3255" t="s">
        <v>174</v>
      </c>
      <c r="D3255" t="s">
        <v>33</v>
      </c>
      <c r="E3255">
        <v>12</v>
      </c>
      <c r="F3255" t="s">
        <v>21</v>
      </c>
      <c r="G3255">
        <v>102</v>
      </c>
      <c r="H3255" s="1">
        <v>44782</v>
      </c>
      <c r="I3255">
        <v>2022</v>
      </c>
      <c r="J3255">
        <v>8</v>
      </c>
      <c r="K3255" t="s">
        <v>36</v>
      </c>
      <c r="L3255" t="s">
        <v>21</v>
      </c>
      <c r="M3255">
        <v>1</v>
      </c>
    </row>
    <row r="3256" spans="1:13" x14ac:dyDescent="0.25">
      <c r="A3256" t="s">
        <v>2330</v>
      </c>
      <c r="B3256" t="s">
        <v>35</v>
      </c>
      <c r="C3256" t="s">
        <v>14</v>
      </c>
      <c r="D3256" t="s">
        <v>15</v>
      </c>
      <c r="E3256" t="s">
        <v>21</v>
      </c>
      <c r="F3256">
        <v>0.12</v>
      </c>
      <c r="G3256">
        <v>272</v>
      </c>
      <c r="H3256" s="1">
        <v>44782</v>
      </c>
      <c r="I3256">
        <v>2022</v>
      </c>
      <c r="J3256">
        <v>8</v>
      </c>
      <c r="K3256" t="s">
        <v>36</v>
      </c>
      <c r="L3256">
        <v>0</v>
      </c>
      <c r="M3256">
        <v>1</v>
      </c>
    </row>
    <row r="3257" spans="1:13" x14ac:dyDescent="0.25">
      <c r="A3257" t="s">
        <v>2331</v>
      </c>
      <c r="B3257" t="s">
        <v>77</v>
      </c>
      <c r="C3257" t="s">
        <v>14</v>
      </c>
      <c r="D3257" t="s">
        <v>22</v>
      </c>
      <c r="E3257" t="s">
        <v>21</v>
      </c>
      <c r="F3257">
        <v>0.15</v>
      </c>
      <c r="G3257">
        <v>814</v>
      </c>
      <c r="H3257" s="1">
        <v>44782</v>
      </c>
      <c r="I3257">
        <v>2022</v>
      </c>
      <c r="J3257">
        <v>8</v>
      </c>
      <c r="K3257" t="s">
        <v>36</v>
      </c>
      <c r="L3257">
        <v>0</v>
      </c>
      <c r="M3257">
        <v>1</v>
      </c>
    </row>
    <row r="3258" spans="1:13" x14ac:dyDescent="0.25">
      <c r="A3258" t="s">
        <v>2332</v>
      </c>
      <c r="B3258" t="s">
        <v>95</v>
      </c>
      <c r="C3258" t="s">
        <v>14</v>
      </c>
      <c r="D3258" t="s">
        <v>49</v>
      </c>
      <c r="E3258" t="s">
        <v>21</v>
      </c>
      <c r="F3258">
        <v>1</v>
      </c>
      <c r="G3258">
        <v>7</v>
      </c>
      <c r="H3258" s="1">
        <v>44782</v>
      </c>
      <c r="I3258">
        <v>2022</v>
      </c>
      <c r="J3258">
        <v>8</v>
      </c>
      <c r="K3258" t="s">
        <v>16</v>
      </c>
      <c r="L3258">
        <v>1</v>
      </c>
      <c r="M3258">
        <v>1</v>
      </c>
    </row>
    <row r="3259" spans="1:13" x14ac:dyDescent="0.25">
      <c r="A3259" t="s">
        <v>382</v>
      </c>
      <c r="B3259" t="s">
        <v>32</v>
      </c>
      <c r="C3259" t="s">
        <v>14</v>
      </c>
      <c r="D3259" t="s">
        <v>15</v>
      </c>
      <c r="E3259" t="s">
        <v>21</v>
      </c>
      <c r="F3259">
        <v>0.1</v>
      </c>
      <c r="G3259">
        <v>166</v>
      </c>
      <c r="H3259" s="1">
        <v>44782</v>
      </c>
      <c r="I3259">
        <v>2022</v>
      </c>
      <c r="J3259">
        <v>8</v>
      </c>
      <c r="K3259" t="s">
        <v>36</v>
      </c>
      <c r="L3259">
        <v>0</v>
      </c>
      <c r="M3259">
        <v>1</v>
      </c>
    </row>
    <row r="3260" spans="1:13" x14ac:dyDescent="0.25">
      <c r="A3260" t="s">
        <v>1129</v>
      </c>
      <c r="B3260" t="s">
        <v>66</v>
      </c>
      <c r="C3260" t="s">
        <v>14</v>
      </c>
      <c r="D3260" t="s">
        <v>15</v>
      </c>
      <c r="E3260" t="s">
        <v>21</v>
      </c>
      <c r="F3260" t="s">
        <v>21</v>
      </c>
      <c r="G3260">
        <v>504</v>
      </c>
      <c r="H3260" s="1">
        <v>44782</v>
      </c>
      <c r="I3260">
        <v>2022</v>
      </c>
      <c r="J3260">
        <v>8</v>
      </c>
      <c r="K3260" t="s">
        <v>36</v>
      </c>
      <c r="L3260" t="s">
        <v>21</v>
      </c>
      <c r="M3260">
        <v>0</v>
      </c>
    </row>
    <row r="3261" spans="1:13" x14ac:dyDescent="0.25">
      <c r="A3261" t="s">
        <v>2333</v>
      </c>
      <c r="B3261" t="s">
        <v>95</v>
      </c>
      <c r="C3261" t="s">
        <v>14</v>
      </c>
      <c r="D3261" t="s">
        <v>15</v>
      </c>
      <c r="E3261" t="s">
        <v>21</v>
      </c>
      <c r="F3261" t="s">
        <v>21</v>
      </c>
      <c r="G3261">
        <v>478</v>
      </c>
      <c r="H3261" s="1">
        <v>44782</v>
      </c>
      <c r="I3261">
        <v>2022</v>
      </c>
      <c r="J3261">
        <v>8</v>
      </c>
      <c r="K3261" t="s">
        <v>36</v>
      </c>
      <c r="L3261" t="s">
        <v>21</v>
      </c>
      <c r="M3261">
        <v>0</v>
      </c>
    </row>
    <row r="3262" spans="1:13" x14ac:dyDescent="0.25">
      <c r="A3262" t="s">
        <v>126</v>
      </c>
      <c r="B3262" t="s">
        <v>24</v>
      </c>
      <c r="C3262" t="s">
        <v>14</v>
      </c>
      <c r="D3262" t="s">
        <v>15</v>
      </c>
      <c r="E3262">
        <v>500</v>
      </c>
      <c r="F3262">
        <v>0.15</v>
      </c>
      <c r="G3262">
        <v>1400</v>
      </c>
      <c r="H3262" s="1">
        <v>44781</v>
      </c>
      <c r="I3262">
        <v>2022</v>
      </c>
      <c r="J3262">
        <v>8</v>
      </c>
      <c r="K3262" t="s">
        <v>26</v>
      </c>
      <c r="L3262">
        <v>0</v>
      </c>
      <c r="M3262">
        <v>1</v>
      </c>
    </row>
    <row r="3263" spans="1:13" x14ac:dyDescent="0.25">
      <c r="A3263" t="s">
        <v>1723</v>
      </c>
      <c r="B3263" t="s">
        <v>117</v>
      </c>
      <c r="C3263" t="s">
        <v>230</v>
      </c>
      <c r="D3263" t="s">
        <v>43</v>
      </c>
      <c r="E3263">
        <v>500</v>
      </c>
      <c r="F3263">
        <v>0.15</v>
      </c>
      <c r="G3263">
        <v>507</v>
      </c>
      <c r="H3263" s="1">
        <v>44781</v>
      </c>
      <c r="I3263">
        <v>2022</v>
      </c>
      <c r="J3263">
        <v>8</v>
      </c>
      <c r="K3263" t="s">
        <v>36</v>
      </c>
      <c r="L3263">
        <v>0</v>
      </c>
      <c r="M3263">
        <v>1</v>
      </c>
    </row>
    <row r="3264" spans="1:13" x14ac:dyDescent="0.25">
      <c r="A3264" t="s">
        <v>939</v>
      </c>
      <c r="B3264" t="s">
        <v>66</v>
      </c>
      <c r="C3264" t="s">
        <v>14</v>
      </c>
      <c r="D3264" t="s">
        <v>15</v>
      </c>
      <c r="E3264">
        <v>337</v>
      </c>
      <c r="F3264" t="s">
        <v>21</v>
      </c>
      <c r="G3264">
        <v>1300</v>
      </c>
      <c r="H3264" s="1">
        <v>44781</v>
      </c>
      <c r="I3264">
        <v>2022</v>
      </c>
      <c r="J3264">
        <v>8</v>
      </c>
      <c r="K3264" t="s">
        <v>26</v>
      </c>
      <c r="L3264" t="s">
        <v>21</v>
      </c>
      <c r="M3264">
        <v>1</v>
      </c>
    </row>
    <row r="3265" spans="1:13" x14ac:dyDescent="0.25">
      <c r="A3265" t="s">
        <v>2334</v>
      </c>
      <c r="B3265" t="s">
        <v>18</v>
      </c>
      <c r="C3265" t="s">
        <v>14</v>
      </c>
      <c r="D3265" t="s">
        <v>15</v>
      </c>
      <c r="E3265">
        <v>63</v>
      </c>
      <c r="F3265" t="s">
        <v>21</v>
      </c>
      <c r="G3265">
        <v>535</v>
      </c>
      <c r="H3265" s="1">
        <v>44781</v>
      </c>
      <c r="I3265">
        <v>2022</v>
      </c>
      <c r="J3265">
        <v>8</v>
      </c>
      <c r="K3265" t="s">
        <v>36</v>
      </c>
      <c r="L3265" t="s">
        <v>21</v>
      </c>
      <c r="M3265">
        <v>1</v>
      </c>
    </row>
    <row r="3266" spans="1:13" x14ac:dyDescent="0.25">
      <c r="A3266" t="s">
        <v>2335</v>
      </c>
      <c r="B3266" t="s">
        <v>38</v>
      </c>
      <c r="C3266" t="s">
        <v>14</v>
      </c>
      <c r="D3266" t="s">
        <v>55</v>
      </c>
      <c r="E3266">
        <v>36</v>
      </c>
      <c r="F3266" t="s">
        <v>21</v>
      </c>
      <c r="G3266">
        <v>188</v>
      </c>
      <c r="H3266" s="1">
        <v>44781</v>
      </c>
      <c r="I3266">
        <v>2022</v>
      </c>
      <c r="J3266">
        <v>8</v>
      </c>
      <c r="K3266" t="s">
        <v>36</v>
      </c>
      <c r="L3266" t="s">
        <v>21</v>
      </c>
      <c r="M3266">
        <v>1</v>
      </c>
    </row>
    <row r="3267" spans="1:13" x14ac:dyDescent="0.25">
      <c r="A3267" t="s">
        <v>721</v>
      </c>
      <c r="B3267" t="s">
        <v>54</v>
      </c>
      <c r="C3267" t="s">
        <v>29</v>
      </c>
      <c r="D3267" t="s">
        <v>15</v>
      </c>
      <c r="E3267">
        <v>20</v>
      </c>
      <c r="F3267">
        <v>0.05</v>
      </c>
      <c r="G3267">
        <v>76</v>
      </c>
      <c r="H3267" s="1">
        <v>44781</v>
      </c>
      <c r="I3267">
        <v>2022</v>
      </c>
      <c r="J3267">
        <v>8</v>
      </c>
      <c r="K3267" t="s">
        <v>30</v>
      </c>
      <c r="L3267">
        <v>0</v>
      </c>
      <c r="M3267">
        <v>1</v>
      </c>
    </row>
    <row r="3268" spans="1:13" x14ac:dyDescent="0.25">
      <c r="A3268" t="s">
        <v>2336</v>
      </c>
      <c r="B3268" t="s">
        <v>95</v>
      </c>
      <c r="C3268" t="s">
        <v>14</v>
      </c>
      <c r="D3268" t="s">
        <v>55</v>
      </c>
      <c r="E3268" t="s">
        <v>21</v>
      </c>
      <c r="F3268">
        <v>0.15</v>
      </c>
      <c r="G3268">
        <v>120</v>
      </c>
      <c r="H3268" s="1">
        <v>44781</v>
      </c>
      <c r="I3268">
        <v>2022</v>
      </c>
      <c r="J3268">
        <v>8</v>
      </c>
      <c r="K3268" t="s">
        <v>36</v>
      </c>
      <c r="L3268">
        <v>0</v>
      </c>
      <c r="M3268">
        <v>1</v>
      </c>
    </row>
    <row r="3269" spans="1:13" x14ac:dyDescent="0.25">
      <c r="A3269" t="s">
        <v>2296</v>
      </c>
      <c r="B3269" t="s">
        <v>38</v>
      </c>
      <c r="C3269" t="s">
        <v>14</v>
      </c>
      <c r="D3269" t="s">
        <v>194</v>
      </c>
      <c r="E3269" t="s">
        <v>21</v>
      </c>
      <c r="F3269" t="s">
        <v>21</v>
      </c>
      <c r="G3269">
        <v>1000</v>
      </c>
      <c r="H3269" s="1">
        <v>44781</v>
      </c>
      <c r="I3269">
        <v>2022</v>
      </c>
      <c r="J3269">
        <v>8</v>
      </c>
      <c r="K3269" t="s">
        <v>26</v>
      </c>
      <c r="L3269" t="s">
        <v>21</v>
      </c>
      <c r="M3269">
        <v>0</v>
      </c>
    </row>
    <row r="3270" spans="1:13" x14ac:dyDescent="0.25">
      <c r="A3270" t="s">
        <v>585</v>
      </c>
      <c r="B3270" t="s">
        <v>18</v>
      </c>
      <c r="C3270" t="s">
        <v>14</v>
      </c>
      <c r="D3270" t="s">
        <v>20</v>
      </c>
      <c r="E3270">
        <v>140</v>
      </c>
      <c r="F3270">
        <v>0.1</v>
      </c>
      <c r="G3270">
        <v>30</v>
      </c>
      <c r="H3270" s="1">
        <v>44778</v>
      </c>
      <c r="I3270">
        <v>2022</v>
      </c>
      <c r="J3270">
        <v>8</v>
      </c>
      <c r="K3270" t="s">
        <v>30</v>
      </c>
      <c r="L3270">
        <v>0</v>
      </c>
      <c r="M3270">
        <v>1</v>
      </c>
    </row>
    <row r="3271" spans="1:13" x14ac:dyDescent="0.25">
      <c r="A3271" t="s">
        <v>2337</v>
      </c>
      <c r="B3271" t="s">
        <v>24</v>
      </c>
      <c r="C3271" t="s">
        <v>174</v>
      </c>
      <c r="D3271" t="s">
        <v>33</v>
      </c>
      <c r="E3271">
        <v>50</v>
      </c>
      <c r="F3271">
        <v>0.1</v>
      </c>
      <c r="G3271">
        <v>28</v>
      </c>
      <c r="H3271" s="1">
        <v>44778</v>
      </c>
      <c r="I3271">
        <v>2022</v>
      </c>
      <c r="J3271">
        <v>8</v>
      </c>
      <c r="K3271" t="s">
        <v>30</v>
      </c>
      <c r="L3271">
        <v>0</v>
      </c>
      <c r="M3271">
        <v>1</v>
      </c>
    </row>
    <row r="3272" spans="1:13" x14ac:dyDescent="0.25">
      <c r="A3272" t="s">
        <v>2338</v>
      </c>
      <c r="B3272" t="s">
        <v>54</v>
      </c>
      <c r="C3272" t="s">
        <v>174</v>
      </c>
      <c r="D3272" t="s">
        <v>68</v>
      </c>
      <c r="E3272">
        <v>31</v>
      </c>
      <c r="F3272">
        <v>0.17</v>
      </c>
      <c r="G3272">
        <v>42</v>
      </c>
      <c r="H3272" s="1">
        <v>44778</v>
      </c>
      <c r="I3272">
        <v>2022</v>
      </c>
      <c r="J3272">
        <v>8</v>
      </c>
      <c r="K3272" t="s">
        <v>30</v>
      </c>
      <c r="L3272">
        <v>0</v>
      </c>
      <c r="M3272">
        <v>1</v>
      </c>
    </row>
    <row r="3273" spans="1:13" x14ac:dyDescent="0.25">
      <c r="A3273" t="s">
        <v>1098</v>
      </c>
      <c r="B3273" t="s">
        <v>117</v>
      </c>
      <c r="C3273" t="s">
        <v>14</v>
      </c>
      <c r="D3273" t="s">
        <v>33</v>
      </c>
      <c r="E3273" t="s">
        <v>21</v>
      </c>
      <c r="F3273" t="s">
        <v>21</v>
      </c>
      <c r="G3273">
        <v>76</v>
      </c>
      <c r="H3273" s="1">
        <v>44778</v>
      </c>
      <c r="I3273">
        <v>2022</v>
      </c>
      <c r="J3273">
        <v>8</v>
      </c>
      <c r="K3273" t="s">
        <v>30</v>
      </c>
      <c r="L3273" t="s">
        <v>21</v>
      </c>
      <c r="M3273">
        <v>0</v>
      </c>
    </row>
    <row r="3274" spans="1:13" x14ac:dyDescent="0.25">
      <c r="A3274" t="s">
        <v>1149</v>
      </c>
      <c r="B3274" t="s">
        <v>89</v>
      </c>
      <c r="C3274" t="s">
        <v>14</v>
      </c>
      <c r="D3274" t="s">
        <v>55</v>
      </c>
      <c r="E3274" t="s">
        <v>21</v>
      </c>
      <c r="F3274" t="s">
        <v>21</v>
      </c>
      <c r="G3274">
        <v>497</v>
      </c>
      <c r="H3274" s="1">
        <v>44778</v>
      </c>
      <c r="I3274">
        <v>2022</v>
      </c>
      <c r="J3274">
        <v>8</v>
      </c>
      <c r="K3274" t="s">
        <v>36</v>
      </c>
      <c r="L3274" t="s">
        <v>21</v>
      </c>
      <c r="M3274">
        <v>0</v>
      </c>
    </row>
    <row r="3275" spans="1:13" x14ac:dyDescent="0.25">
      <c r="A3275" t="s">
        <v>1988</v>
      </c>
      <c r="B3275" t="s">
        <v>77</v>
      </c>
      <c r="C3275" t="s">
        <v>14</v>
      </c>
      <c r="D3275" t="s">
        <v>15</v>
      </c>
      <c r="E3275">
        <v>250</v>
      </c>
      <c r="F3275">
        <v>0.13</v>
      </c>
      <c r="G3275">
        <v>679</v>
      </c>
      <c r="H3275" s="1">
        <v>44777</v>
      </c>
      <c r="I3275">
        <v>2022</v>
      </c>
      <c r="J3275">
        <v>8</v>
      </c>
      <c r="K3275" t="s">
        <v>36</v>
      </c>
      <c r="L3275">
        <v>0</v>
      </c>
      <c r="M3275">
        <v>1</v>
      </c>
    </row>
    <row r="3276" spans="1:13" x14ac:dyDescent="0.25">
      <c r="A3276" t="s">
        <v>2339</v>
      </c>
      <c r="B3276" t="s">
        <v>24</v>
      </c>
      <c r="C3276" t="s">
        <v>174</v>
      </c>
      <c r="D3276" t="s">
        <v>33</v>
      </c>
      <c r="E3276">
        <v>216</v>
      </c>
      <c r="F3276">
        <v>0.17</v>
      </c>
      <c r="G3276" t="s">
        <v>21</v>
      </c>
      <c r="H3276" s="1">
        <v>44777</v>
      </c>
      <c r="I3276">
        <v>2022</v>
      </c>
      <c r="J3276">
        <v>8</v>
      </c>
      <c r="K3276" t="s">
        <v>22</v>
      </c>
      <c r="L3276">
        <v>0</v>
      </c>
      <c r="M3276">
        <v>1</v>
      </c>
    </row>
    <row r="3277" spans="1:13" x14ac:dyDescent="0.25">
      <c r="A3277" t="s">
        <v>690</v>
      </c>
      <c r="B3277" t="s">
        <v>18</v>
      </c>
      <c r="C3277" t="s">
        <v>14</v>
      </c>
      <c r="D3277" t="s">
        <v>22</v>
      </c>
      <c r="E3277">
        <v>200</v>
      </c>
      <c r="F3277">
        <v>0.17</v>
      </c>
      <c r="G3277">
        <v>652</v>
      </c>
      <c r="H3277" s="1">
        <v>44777</v>
      </c>
      <c r="I3277">
        <v>2022</v>
      </c>
      <c r="J3277">
        <v>8</v>
      </c>
      <c r="K3277" t="s">
        <v>36</v>
      </c>
      <c r="L3277">
        <v>0</v>
      </c>
      <c r="M3277">
        <v>1</v>
      </c>
    </row>
    <row r="3278" spans="1:13" x14ac:dyDescent="0.25">
      <c r="A3278" t="s">
        <v>2340</v>
      </c>
      <c r="B3278" t="s">
        <v>35</v>
      </c>
      <c r="C3278" t="s">
        <v>14</v>
      </c>
      <c r="D3278" t="s">
        <v>15</v>
      </c>
      <c r="E3278">
        <v>100</v>
      </c>
      <c r="F3278">
        <v>0.08</v>
      </c>
      <c r="G3278">
        <v>242</v>
      </c>
      <c r="H3278" s="1">
        <v>44777</v>
      </c>
      <c r="I3278">
        <v>2022</v>
      </c>
      <c r="J3278">
        <v>8</v>
      </c>
      <c r="K3278" t="s">
        <v>36</v>
      </c>
      <c r="L3278">
        <v>0</v>
      </c>
      <c r="M3278">
        <v>1</v>
      </c>
    </row>
    <row r="3279" spans="1:13" x14ac:dyDescent="0.25">
      <c r="A3279" t="s">
        <v>1885</v>
      </c>
      <c r="B3279" t="s">
        <v>106</v>
      </c>
      <c r="C3279" t="s">
        <v>48</v>
      </c>
      <c r="D3279" t="s">
        <v>111</v>
      </c>
      <c r="E3279">
        <v>80</v>
      </c>
      <c r="F3279">
        <v>0.04</v>
      </c>
      <c r="G3279">
        <v>166</v>
      </c>
      <c r="H3279" s="1">
        <v>44777</v>
      </c>
      <c r="I3279">
        <v>2022</v>
      </c>
      <c r="J3279">
        <v>8</v>
      </c>
      <c r="K3279" t="s">
        <v>36</v>
      </c>
      <c r="L3279">
        <v>0</v>
      </c>
      <c r="M3279">
        <v>1</v>
      </c>
    </row>
    <row r="3280" spans="1:13" x14ac:dyDescent="0.25">
      <c r="A3280" t="s">
        <v>221</v>
      </c>
      <c r="B3280" t="s">
        <v>89</v>
      </c>
      <c r="C3280" t="s">
        <v>14</v>
      </c>
      <c r="D3280" t="s">
        <v>20</v>
      </c>
      <c r="E3280">
        <v>80</v>
      </c>
      <c r="F3280" t="s">
        <v>21</v>
      </c>
      <c r="G3280">
        <v>85</v>
      </c>
      <c r="H3280" s="1">
        <v>44777</v>
      </c>
      <c r="I3280">
        <v>2022</v>
      </c>
      <c r="J3280">
        <v>8</v>
      </c>
      <c r="K3280" t="s">
        <v>30</v>
      </c>
      <c r="L3280" t="s">
        <v>21</v>
      </c>
      <c r="M3280">
        <v>1</v>
      </c>
    </row>
    <row r="3281" spans="1:13" x14ac:dyDescent="0.25">
      <c r="A3281" t="s">
        <v>2341</v>
      </c>
      <c r="B3281" t="s">
        <v>106</v>
      </c>
      <c r="C3281" t="s">
        <v>14</v>
      </c>
      <c r="D3281" t="s">
        <v>68</v>
      </c>
      <c r="E3281">
        <v>73</v>
      </c>
      <c r="F3281">
        <v>0.33</v>
      </c>
      <c r="G3281">
        <v>20</v>
      </c>
      <c r="H3281" s="1">
        <v>44777</v>
      </c>
      <c r="I3281">
        <v>2022</v>
      </c>
      <c r="J3281">
        <v>8</v>
      </c>
      <c r="K3281" t="s">
        <v>30</v>
      </c>
      <c r="L3281">
        <v>0</v>
      </c>
      <c r="M3281">
        <v>1</v>
      </c>
    </row>
    <row r="3282" spans="1:13" x14ac:dyDescent="0.25">
      <c r="A3282" t="s">
        <v>1513</v>
      </c>
      <c r="B3282" t="s">
        <v>533</v>
      </c>
      <c r="C3282" t="s">
        <v>174</v>
      </c>
      <c r="D3282" t="s">
        <v>33</v>
      </c>
      <c r="E3282">
        <v>70</v>
      </c>
      <c r="F3282">
        <v>0.12</v>
      </c>
      <c r="G3282">
        <v>163</v>
      </c>
      <c r="H3282" s="1">
        <v>44777</v>
      </c>
      <c r="I3282">
        <v>2022</v>
      </c>
      <c r="J3282">
        <v>8</v>
      </c>
      <c r="K3282" t="s">
        <v>36</v>
      </c>
      <c r="L3282">
        <v>0</v>
      </c>
      <c r="M3282">
        <v>1</v>
      </c>
    </row>
    <row r="3283" spans="1:13" x14ac:dyDescent="0.25">
      <c r="A3283" t="s">
        <v>1846</v>
      </c>
      <c r="B3283" t="s">
        <v>89</v>
      </c>
      <c r="C3283" t="s">
        <v>14</v>
      </c>
      <c r="D3283" t="s">
        <v>15</v>
      </c>
      <c r="E3283">
        <v>50</v>
      </c>
      <c r="F3283" t="s">
        <v>21</v>
      </c>
      <c r="G3283">
        <v>44</v>
      </c>
      <c r="H3283" s="1">
        <v>44777</v>
      </c>
      <c r="I3283">
        <v>2022</v>
      </c>
      <c r="J3283">
        <v>8</v>
      </c>
      <c r="K3283" t="s">
        <v>30</v>
      </c>
      <c r="L3283" t="s">
        <v>21</v>
      </c>
      <c r="M3283">
        <v>1</v>
      </c>
    </row>
    <row r="3284" spans="1:13" x14ac:dyDescent="0.25">
      <c r="A3284" t="s">
        <v>1718</v>
      </c>
      <c r="B3284" t="s">
        <v>35</v>
      </c>
      <c r="C3284" t="s">
        <v>14</v>
      </c>
      <c r="D3284" t="s">
        <v>46</v>
      </c>
      <c r="E3284" t="s">
        <v>21</v>
      </c>
      <c r="F3284">
        <v>0.16</v>
      </c>
      <c r="G3284">
        <v>100</v>
      </c>
      <c r="H3284" s="1">
        <v>44777</v>
      </c>
      <c r="I3284">
        <v>2022</v>
      </c>
      <c r="J3284">
        <v>8</v>
      </c>
      <c r="K3284" t="s">
        <v>36</v>
      </c>
      <c r="L3284">
        <v>0</v>
      </c>
      <c r="M3284">
        <v>1</v>
      </c>
    </row>
    <row r="3285" spans="1:13" x14ac:dyDescent="0.25">
      <c r="A3285" t="s">
        <v>2342</v>
      </c>
      <c r="B3285" t="s">
        <v>77</v>
      </c>
      <c r="C3285" t="s">
        <v>230</v>
      </c>
      <c r="D3285" t="s">
        <v>33</v>
      </c>
      <c r="E3285" t="s">
        <v>21</v>
      </c>
      <c r="F3285">
        <v>0.2</v>
      </c>
      <c r="G3285">
        <v>290</v>
      </c>
      <c r="H3285" s="1">
        <v>44777</v>
      </c>
      <c r="I3285">
        <v>2022</v>
      </c>
      <c r="J3285">
        <v>8</v>
      </c>
      <c r="K3285" t="s">
        <v>36</v>
      </c>
      <c r="L3285">
        <v>0</v>
      </c>
      <c r="M3285">
        <v>1</v>
      </c>
    </row>
    <row r="3286" spans="1:13" x14ac:dyDescent="0.25">
      <c r="A3286" t="s">
        <v>2343</v>
      </c>
      <c r="B3286" t="s">
        <v>18</v>
      </c>
      <c r="C3286" t="s">
        <v>14</v>
      </c>
      <c r="D3286" t="s">
        <v>20</v>
      </c>
      <c r="E3286" t="s">
        <v>21</v>
      </c>
      <c r="F3286" t="s">
        <v>21</v>
      </c>
      <c r="G3286">
        <v>59</v>
      </c>
      <c r="H3286" s="1">
        <v>44777</v>
      </c>
      <c r="I3286">
        <v>2022</v>
      </c>
      <c r="J3286">
        <v>8</v>
      </c>
      <c r="K3286" t="s">
        <v>30</v>
      </c>
      <c r="L3286" t="s">
        <v>21</v>
      </c>
      <c r="M3286">
        <v>0</v>
      </c>
    </row>
    <row r="3287" spans="1:13" x14ac:dyDescent="0.25">
      <c r="A3287" t="s">
        <v>1989</v>
      </c>
      <c r="B3287" t="s">
        <v>13</v>
      </c>
      <c r="C3287" t="s">
        <v>14</v>
      </c>
      <c r="D3287" t="s">
        <v>20</v>
      </c>
      <c r="E3287" t="s">
        <v>21</v>
      </c>
      <c r="F3287">
        <v>0.1</v>
      </c>
      <c r="G3287" t="s">
        <v>21</v>
      </c>
      <c r="H3287" s="1">
        <v>44777</v>
      </c>
      <c r="I3287">
        <v>2022</v>
      </c>
      <c r="J3287">
        <v>8</v>
      </c>
      <c r="K3287" t="s">
        <v>22</v>
      </c>
      <c r="L3287">
        <v>0</v>
      </c>
      <c r="M3287">
        <v>1</v>
      </c>
    </row>
    <row r="3288" spans="1:13" x14ac:dyDescent="0.25">
      <c r="A3288" t="s">
        <v>2344</v>
      </c>
      <c r="B3288" t="s">
        <v>106</v>
      </c>
      <c r="C3288" t="s">
        <v>25</v>
      </c>
      <c r="D3288" t="s">
        <v>33</v>
      </c>
      <c r="E3288" t="s">
        <v>21</v>
      </c>
      <c r="F3288">
        <v>0.3</v>
      </c>
      <c r="G3288">
        <v>20</v>
      </c>
      <c r="H3288" s="1">
        <v>44777</v>
      </c>
      <c r="I3288">
        <v>2022</v>
      </c>
      <c r="J3288">
        <v>8</v>
      </c>
      <c r="K3288" t="s">
        <v>30</v>
      </c>
      <c r="L3288">
        <v>0</v>
      </c>
      <c r="M3288">
        <v>1</v>
      </c>
    </row>
    <row r="3289" spans="1:13" x14ac:dyDescent="0.25">
      <c r="A3289" t="s">
        <v>2345</v>
      </c>
      <c r="B3289" t="s">
        <v>35</v>
      </c>
      <c r="C3289" t="s">
        <v>14</v>
      </c>
      <c r="D3289" t="s">
        <v>46</v>
      </c>
      <c r="E3289">
        <v>149</v>
      </c>
      <c r="F3289" t="s">
        <v>21</v>
      </c>
      <c r="G3289">
        <v>244</v>
      </c>
      <c r="H3289" s="1">
        <v>44776</v>
      </c>
      <c r="I3289">
        <v>2022</v>
      </c>
      <c r="J3289">
        <v>8</v>
      </c>
      <c r="K3289" t="s">
        <v>36</v>
      </c>
      <c r="L3289" t="s">
        <v>21</v>
      </c>
      <c r="M3289">
        <v>1</v>
      </c>
    </row>
    <row r="3290" spans="1:13" x14ac:dyDescent="0.25">
      <c r="A3290" t="s">
        <v>706</v>
      </c>
      <c r="B3290" t="s">
        <v>54</v>
      </c>
      <c r="C3290" t="s">
        <v>174</v>
      </c>
      <c r="D3290" t="s">
        <v>68</v>
      </c>
      <c r="E3290">
        <v>47</v>
      </c>
      <c r="F3290">
        <v>0.2</v>
      </c>
      <c r="G3290">
        <v>39</v>
      </c>
      <c r="H3290" s="1">
        <v>44776</v>
      </c>
      <c r="I3290">
        <v>2022</v>
      </c>
      <c r="J3290">
        <v>8</v>
      </c>
      <c r="K3290" t="s">
        <v>30</v>
      </c>
      <c r="L3290">
        <v>0</v>
      </c>
      <c r="M3290">
        <v>1</v>
      </c>
    </row>
    <row r="3291" spans="1:13" x14ac:dyDescent="0.25">
      <c r="A3291" t="s">
        <v>1081</v>
      </c>
      <c r="B3291" t="s">
        <v>95</v>
      </c>
      <c r="C3291" t="s">
        <v>14</v>
      </c>
      <c r="D3291" t="s">
        <v>15</v>
      </c>
      <c r="E3291">
        <v>40</v>
      </c>
      <c r="F3291">
        <v>0.04</v>
      </c>
      <c r="G3291">
        <v>122</v>
      </c>
      <c r="H3291" s="1">
        <v>44776</v>
      </c>
      <c r="I3291">
        <v>2022</v>
      </c>
      <c r="J3291">
        <v>8</v>
      </c>
      <c r="K3291" t="s">
        <v>36</v>
      </c>
      <c r="L3291">
        <v>0</v>
      </c>
      <c r="M3291">
        <v>1</v>
      </c>
    </row>
    <row r="3292" spans="1:13" x14ac:dyDescent="0.25">
      <c r="A3292" t="s">
        <v>2346</v>
      </c>
      <c r="B3292" t="s">
        <v>40</v>
      </c>
      <c r="C3292" t="s">
        <v>14</v>
      </c>
      <c r="D3292" t="s">
        <v>33</v>
      </c>
      <c r="E3292">
        <v>13</v>
      </c>
      <c r="F3292" t="s">
        <v>21</v>
      </c>
      <c r="G3292">
        <v>39</v>
      </c>
      <c r="H3292" s="1">
        <v>44776</v>
      </c>
      <c r="I3292">
        <v>2022</v>
      </c>
      <c r="J3292">
        <v>8</v>
      </c>
      <c r="K3292" t="s">
        <v>30</v>
      </c>
      <c r="L3292" t="s">
        <v>21</v>
      </c>
      <c r="M3292">
        <v>1</v>
      </c>
    </row>
    <row r="3293" spans="1:13" x14ac:dyDescent="0.25">
      <c r="A3293" t="s">
        <v>2347</v>
      </c>
      <c r="B3293" t="s">
        <v>66</v>
      </c>
      <c r="C3293" t="s">
        <v>48</v>
      </c>
      <c r="D3293" t="s">
        <v>111</v>
      </c>
      <c r="E3293" t="s">
        <v>21</v>
      </c>
      <c r="F3293" t="s">
        <v>21</v>
      </c>
      <c r="G3293">
        <v>497</v>
      </c>
      <c r="H3293" s="1">
        <v>44776</v>
      </c>
      <c r="I3293">
        <v>2022</v>
      </c>
      <c r="J3293">
        <v>8</v>
      </c>
      <c r="K3293" t="s">
        <v>36</v>
      </c>
      <c r="L3293" t="s">
        <v>21</v>
      </c>
      <c r="M3293">
        <v>0</v>
      </c>
    </row>
    <row r="3294" spans="1:13" x14ac:dyDescent="0.25">
      <c r="A3294" t="s">
        <v>2348</v>
      </c>
      <c r="B3294" t="s">
        <v>140</v>
      </c>
      <c r="C3294" t="s">
        <v>14</v>
      </c>
      <c r="D3294" t="s">
        <v>20</v>
      </c>
      <c r="E3294" t="s">
        <v>21</v>
      </c>
      <c r="F3294">
        <v>0.15</v>
      </c>
      <c r="G3294">
        <v>189</v>
      </c>
      <c r="H3294" s="1">
        <v>44776</v>
      </c>
      <c r="I3294">
        <v>2022</v>
      </c>
      <c r="J3294">
        <v>8</v>
      </c>
      <c r="K3294" t="s">
        <v>36</v>
      </c>
      <c r="L3294">
        <v>0</v>
      </c>
      <c r="M3294">
        <v>1</v>
      </c>
    </row>
    <row r="3295" spans="1:13" x14ac:dyDescent="0.25">
      <c r="A3295" t="s">
        <v>1446</v>
      </c>
      <c r="B3295" t="s">
        <v>18</v>
      </c>
      <c r="C3295" t="s">
        <v>83</v>
      </c>
      <c r="D3295" t="s">
        <v>22</v>
      </c>
      <c r="E3295" t="s">
        <v>21</v>
      </c>
      <c r="F3295">
        <v>0.2</v>
      </c>
      <c r="G3295">
        <v>542</v>
      </c>
      <c r="H3295" s="1">
        <v>44776</v>
      </c>
      <c r="I3295">
        <v>2022</v>
      </c>
      <c r="J3295">
        <v>8</v>
      </c>
      <c r="K3295" t="s">
        <v>36</v>
      </c>
      <c r="L3295">
        <v>0</v>
      </c>
      <c r="M3295">
        <v>1</v>
      </c>
    </row>
    <row r="3296" spans="1:13" x14ac:dyDescent="0.25">
      <c r="A3296" t="s">
        <v>2349</v>
      </c>
      <c r="B3296" t="s">
        <v>54</v>
      </c>
      <c r="C3296" t="s">
        <v>1294</v>
      </c>
      <c r="D3296" t="s">
        <v>81</v>
      </c>
      <c r="E3296" t="s">
        <v>21</v>
      </c>
      <c r="F3296">
        <v>0.15</v>
      </c>
      <c r="G3296">
        <v>9</v>
      </c>
      <c r="H3296" s="1">
        <v>44776</v>
      </c>
      <c r="I3296">
        <v>2022</v>
      </c>
      <c r="J3296">
        <v>8</v>
      </c>
      <c r="K3296" t="s">
        <v>16</v>
      </c>
      <c r="L3296">
        <v>0</v>
      </c>
      <c r="M3296">
        <v>1</v>
      </c>
    </row>
    <row r="3297" spans="1:13" x14ac:dyDescent="0.25">
      <c r="A3297" t="s">
        <v>76</v>
      </c>
      <c r="B3297" t="s">
        <v>77</v>
      </c>
      <c r="C3297" t="s">
        <v>14</v>
      </c>
      <c r="D3297" t="s">
        <v>15</v>
      </c>
      <c r="E3297">
        <v>713</v>
      </c>
      <c r="F3297">
        <v>0.23</v>
      </c>
      <c r="G3297">
        <v>5600</v>
      </c>
      <c r="H3297" s="1">
        <v>44775</v>
      </c>
      <c r="I3297">
        <v>2022</v>
      </c>
      <c r="J3297">
        <v>8</v>
      </c>
      <c r="K3297" t="s">
        <v>26</v>
      </c>
      <c r="L3297">
        <v>0</v>
      </c>
      <c r="M3297">
        <v>1</v>
      </c>
    </row>
    <row r="3298" spans="1:13" x14ac:dyDescent="0.25">
      <c r="A3298" t="s">
        <v>1337</v>
      </c>
      <c r="B3298" t="s">
        <v>28</v>
      </c>
      <c r="C3298" t="s">
        <v>14</v>
      </c>
      <c r="D3298" t="s">
        <v>15</v>
      </c>
      <c r="E3298">
        <v>115</v>
      </c>
      <c r="F3298">
        <v>0.37</v>
      </c>
      <c r="G3298">
        <v>342</v>
      </c>
      <c r="H3298" s="1">
        <v>44775</v>
      </c>
      <c r="I3298">
        <v>2022</v>
      </c>
      <c r="J3298">
        <v>8</v>
      </c>
      <c r="K3298" t="s">
        <v>36</v>
      </c>
      <c r="L3298">
        <v>0</v>
      </c>
      <c r="M3298">
        <v>1</v>
      </c>
    </row>
    <row r="3299" spans="1:13" x14ac:dyDescent="0.25">
      <c r="A3299" t="s">
        <v>1979</v>
      </c>
      <c r="B3299" t="s">
        <v>106</v>
      </c>
      <c r="C3299" t="s">
        <v>48</v>
      </c>
      <c r="D3299" t="s">
        <v>111</v>
      </c>
      <c r="E3299">
        <v>100</v>
      </c>
      <c r="F3299" t="s">
        <v>21</v>
      </c>
      <c r="G3299">
        <v>292</v>
      </c>
      <c r="H3299" s="1">
        <v>44775</v>
      </c>
      <c r="I3299">
        <v>2022</v>
      </c>
      <c r="J3299">
        <v>8</v>
      </c>
      <c r="K3299" t="s">
        <v>36</v>
      </c>
      <c r="L3299" t="s">
        <v>21</v>
      </c>
      <c r="M3299">
        <v>1</v>
      </c>
    </row>
    <row r="3300" spans="1:13" x14ac:dyDescent="0.25">
      <c r="A3300" t="s">
        <v>2350</v>
      </c>
      <c r="B3300" t="s">
        <v>117</v>
      </c>
      <c r="C3300" t="s">
        <v>14</v>
      </c>
      <c r="D3300" t="s">
        <v>22</v>
      </c>
      <c r="E3300">
        <v>90</v>
      </c>
      <c r="F3300" t="s">
        <v>21</v>
      </c>
      <c r="G3300">
        <v>107</v>
      </c>
      <c r="H3300" s="1">
        <v>44775</v>
      </c>
      <c r="I3300">
        <v>2022</v>
      </c>
      <c r="J3300">
        <v>8</v>
      </c>
      <c r="K3300" t="s">
        <v>36</v>
      </c>
      <c r="L3300" t="s">
        <v>21</v>
      </c>
      <c r="M3300">
        <v>1</v>
      </c>
    </row>
    <row r="3301" spans="1:13" x14ac:dyDescent="0.25">
      <c r="A3301" t="s">
        <v>2351</v>
      </c>
      <c r="B3301" t="s">
        <v>114</v>
      </c>
      <c r="C3301" t="s">
        <v>14</v>
      </c>
      <c r="D3301" t="s">
        <v>46</v>
      </c>
      <c r="E3301">
        <v>80</v>
      </c>
      <c r="F3301">
        <v>0.25</v>
      </c>
      <c r="G3301">
        <v>175</v>
      </c>
      <c r="H3301" s="1">
        <v>44775</v>
      </c>
      <c r="I3301">
        <v>2022</v>
      </c>
      <c r="J3301">
        <v>8</v>
      </c>
      <c r="K3301" t="s">
        <v>36</v>
      </c>
      <c r="L3301">
        <v>0</v>
      </c>
      <c r="M3301">
        <v>1</v>
      </c>
    </row>
    <row r="3302" spans="1:13" x14ac:dyDescent="0.25">
      <c r="A3302" t="s">
        <v>586</v>
      </c>
      <c r="B3302" t="s">
        <v>99</v>
      </c>
      <c r="C3302" t="s">
        <v>14</v>
      </c>
      <c r="D3302" t="s">
        <v>194</v>
      </c>
      <c r="E3302">
        <v>60</v>
      </c>
      <c r="F3302">
        <v>0.05</v>
      </c>
      <c r="G3302">
        <v>489</v>
      </c>
      <c r="H3302" s="1">
        <v>44775</v>
      </c>
      <c r="I3302">
        <v>2022</v>
      </c>
      <c r="J3302">
        <v>8</v>
      </c>
      <c r="K3302" t="s">
        <v>36</v>
      </c>
      <c r="L3302">
        <v>0</v>
      </c>
      <c r="M3302">
        <v>1</v>
      </c>
    </row>
    <row r="3303" spans="1:13" x14ac:dyDescent="0.25">
      <c r="A3303" t="s">
        <v>1255</v>
      </c>
      <c r="B3303" t="s">
        <v>117</v>
      </c>
      <c r="C3303" t="s">
        <v>184</v>
      </c>
      <c r="D3303" t="s">
        <v>33</v>
      </c>
      <c r="E3303">
        <v>54</v>
      </c>
      <c r="F3303">
        <v>0.2</v>
      </c>
      <c r="G3303">
        <v>26</v>
      </c>
      <c r="H3303" s="1">
        <v>44775</v>
      </c>
      <c r="I3303">
        <v>2022</v>
      </c>
      <c r="J3303">
        <v>8</v>
      </c>
      <c r="K3303" t="s">
        <v>30</v>
      </c>
      <c r="L3303">
        <v>0</v>
      </c>
      <c r="M3303">
        <v>1</v>
      </c>
    </row>
    <row r="3304" spans="1:13" x14ac:dyDescent="0.25">
      <c r="A3304" t="s">
        <v>2352</v>
      </c>
      <c r="B3304" t="s">
        <v>40</v>
      </c>
      <c r="C3304" t="s">
        <v>14</v>
      </c>
      <c r="D3304" t="s">
        <v>20</v>
      </c>
      <c r="E3304">
        <v>40</v>
      </c>
      <c r="F3304" t="s">
        <v>21</v>
      </c>
      <c r="G3304">
        <v>71</v>
      </c>
      <c r="H3304" s="1">
        <v>44775</v>
      </c>
      <c r="I3304">
        <v>2022</v>
      </c>
      <c r="J3304">
        <v>8</v>
      </c>
      <c r="K3304" t="s">
        <v>30</v>
      </c>
      <c r="L3304" t="s">
        <v>21</v>
      </c>
      <c r="M3304">
        <v>1</v>
      </c>
    </row>
    <row r="3305" spans="1:13" x14ac:dyDescent="0.25">
      <c r="A3305" t="s">
        <v>1255</v>
      </c>
      <c r="B3305" t="s">
        <v>117</v>
      </c>
      <c r="C3305" t="s">
        <v>184</v>
      </c>
      <c r="D3305" t="s">
        <v>33</v>
      </c>
      <c r="E3305">
        <v>30</v>
      </c>
      <c r="F3305">
        <v>0.1</v>
      </c>
      <c r="G3305">
        <v>26</v>
      </c>
      <c r="H3305" s="1">
        <v>44775</v>
      </c>
      <c r="I3305">
        <v>2022</v>
      </c>
      <c r="J3305">
        <v>8</v>
      </c>
      <c r="K3305" t="s">
        <v>30</v>
      </c>
      <c r="L3305">
        <v>0</v>
      </c>
      <c r="M3305">
        <v>1</v>
      </c>
    </row>
    <row r="3306" spans="1:13" x14ac:dyDescent="0.25">
      <c r="A3306" t="s">
        <v>2353</v>
      </c>
      <c r="B3306" t="s">
        <v>114</v>
      </c>
      <c r="C3306" t="s">
        <v>14</v>
      </c>
      <c r="D3306" t="s">
        <v>33</v>
      </c>
      <c r="E3306">
        <v>23</v>
      </c>
      <c r="F3306">
        <v>0.3</v>
      </c>
      <c r="G3306">
        <v>75</v>
      </c>
      <c r="H3306" s="1">
        <v>44775</v>
      </c>
      <c r="I3306">
        <v>2022</v>
      </c>
      <c r="J3306">
        <v>8</v>
      </c>
      <c r="K3306" t="s">
        <v>30</v>
      </c>
      <c r="L3306">
        <v>0</v>
      </c>
      <c r="M3306">
        <v>1</v>
      </c>
    </row>
    <row r="3307" spans="1:13" x14ac:dyDescent="0.25">
      <c r="A3307" t="s">
        <v>262</v>
      </c>
      <c r="B3307" t="s">
        <v>24</v>
      </c>
      <c r="C3307" t="s">
        <v>14</v>
      </c>
      <c r="D3307" t="s">
        <v>111</v>
      </c>
      <c r="E3307">
        <v>19</v>
      </c>
      <c r="F3307">
        <v>0.08</v>
      </c>
      <c r="G3307">
        <v>266</v>
      </c>
      <c r="H3307" s="1">
        <v>44775</v>
      </c>
      <c r="I3307">
        <v>2022</v>
      </c>
      <c r="J3307">
        <v>8</v>
      </c>
      <c r="K3307" t="s">
        <v>36</v>
      </c>
      <c r="L3307">
        <v>0</v>
      </c>
      <c r="M3307">
        <v>1</v>
      </c>
    </row>
    <row r="3308" spans="1:13" x14ac:dyDescent="0.25">
      <c r="A3308" t="s">
        <v>1918</v>
      </c>
      <c r="B3308" t="s">
        <v>35</v>
      </c>
      <c r="C3308" t="s">
        <v>14</v>
      </c>
      <c r="D3308" t="s">
        <v>15</v>
      </c>
      <c r="E3308" t="s">
        <v>21</v>
      </c>
      <c r="F3308">
        <v>0.1</v>
      </c>
      <c r="G3308">
        <v>530</v>
      </c>
      <c r="H3308" s="1">
        <v>44775</v>
      </c>
      <c r="I3308">
        <v>2022</v>
      </c>
      <c r="J3308">
        <v>8</v>
      </c>
      <c r="K3308" t="s">
        <v>36</v>
      </c>
      <c r="L3308">
        <v>0</v>
      </c>
      <c r="M3308">
        <v>1</v>
      </c>
    </row>
    <row r="3309" spans="1:13" x14ac:dyDescent="0.25">
      <c r="A3309" t="s">
        <v>2354</v>
      </c>
      <c r="B3309" t="s">
        <v>32</v>
      </c>
      <c r="C3309" t="s">
        <v>14</v>
      </c>
      <c r="D3309" t="s">
        <v>15</v>
      </c>
      <c r="E3309" t="s">
        <v>21</v>
      </c>
      <c r="F3309" t="s">
        <v>21</v>
      </c>
      <c r="G3309">
        <v>151</v>
      </c>
      <c r="H3309" s="1">
        <v>44775</v>
      </c>
      <c r="I3309">
        <v>2022</v>
      </c>
      <c r="J3309">
        <v>8</v>
      </c>
      <c r="K3309" t="s">
        <v>36</v>
      </c>
      <c r="L3309" t="s">
        <v>21</v>
      </c>
      <c r="M3309">
        <v>0</v>
      </c>
    </row>
    <row r="3310" spans="1:13" x14ac:dyDescent="0.25">
      <c r="A3310" t="s">
        <v>2355</v>
      </c>
      <c r="B3310" t="s">
        <v>77</v>
      </c>
      <c r="C3310" t="s">
        <v>230</v>
      </c>
      <c r="D3310" t="s">
        <v>46</v>
      </c>
      <c r="E3310">
        <v>58</v>
      </c>
      <c r="F3310">
        <v>0.5</v>
      </c>
      <c r="G3310">
        <v>58</v>
      </c>
      <c r="H3310" s="1">
        <v>44774</v>
      </c>
      <c r="I3310">
        <v>2022</v>
      </c>
      <c r="J3310">
        <v>8</v>
      </c>
      <c r="K3310" t="s">
        <v>30</v>
      </c>
      <c r="L3310">
        <v>0</v>
      </c>
      <c r="M3310">
        <v>1</v>
      </c>
    </row>
    <row r="3311" spans="1:13" x14ac:dyDescent="0.25">
      <c r="A3311" t="s">
        <v>2356</v>
      </c>
      <c r="B3311" t="s">
        <v>106</v>
      </c>
      <c r="C3311" t="s">
        <v>14</v>
      </c>
      <c r="D3311" t="s">
        <v>49</v>
      </c>
      <c r="E3311" t="s">
        <v>21</v>
      </c>
      <c r="F3311" t="s">
        <v>21</v>
      </c>
      <c r="G3311">
        <v>1</v>
      </c>
      <c r="H3311" s="1">
        <v>44774</v>
      </c>
      <c r="I3311">
        <v>2022</v>
      </c>
      <c r="J3311">
        <v>8</v>
      </c>
      <c r="K3311" t="s">
        <v>16</v>
      </c>
      <c r="L3311" t="s">
        <v>21</v>
      </c>
      <c r="M3311">
        <v>0</v>
      </c>
    </row>
    <row r="3312" spans="1:13" x14ac:dyDescent="0.25">
      <c r="A3312" t="s">
        <v>1860</v>
      </c>
      <c r="B3312" t="s">
        <v>95</v>
      </c>
      <c r="C3312" t="s">
        <v>48</v>
      </c>
      <c r="D3312" t="s">
        <v>55</v>
      </c>
      <c r="E3312" t="s">
        <v>21</v>
      </c>
      <c r="F3312" t="s">
        <v>21</v>
      </c>
      <c r="G3312">
        <v>194</v>
      </c>
      <c r="H3312" s="1">
        <v>44774</v>
      </c>
      <c r="I3312">
        <v>2022</v>
      </c>
      <c r="J3312">
        <v>8</v>
      </c>
      <c r="K3312" t="s">
        <v>36</v>
      </c>
      <c r="L3312" t="s">
        <v>21</v>
      </c>
      <c r="M3312">
        <v>0</v>
      </c>
    </row>
    <row r="3313" spans="1:13" x14ac:dyDescent="0.25">
      <c r="A3313" t="s">
        <v>2357</v>
      </c>
      <c r="B3313" t="s">
        <v>32</v>
      </c>
      <c r="C3313" t="s">
        <v>80</v>
      </c>
      <c r="D3313" t="s">
        <v>22</v>
      </c>
      <c r="E3313" t="s">
        <v>21</v>
      </c>
      <c r="F3313" t="s">
        <v>21</v>
      </c>
      <c r="G3313" t="s">
        <v>21</v>
      </c>
      <c r="H3313" s="1">
        <v>44774</v>
      </c>
      <c r="I3313">
        <v>2022</v>
      </c>
      <c r="J3313">
        <v>8</v>
      </c>
      <c r="K3313" t="s">
        <v>22</v>
      </c>
      <c r="L3313" t="s">
        <v>21</v>
      </c>
      <c r="M3313">
        <v>0</v>
      </c>
    </row>
    <row r="3314" spans="1:13" x14ac:dyDescent="0.25">
      <c r="A3314" t="s">
        <v>60</v>
      </c>
      <c r="B3314" t="s">
        <v>13</v>
      </c>
      <c r="C3314" t="s">
        <v>14</v>
      </c>
      <c r="D3314" t="s">
        <v>15</v>
      </c>
      <c r="E3314" t="s">
        <v>21</v>
      </c>
      <c r="F3314" t="s">
        <v>21</v>
      </c>
      <c r="G3314" t="s">
        <v>21</v>
      </c>
      <c r="H3314" s="1">
        <v>44774</v>
      </c>
      <c r="I3314">
        <v>2022</v>
      </c>
      <c r="J3314">
        <v>8</v>
      </c>
      <c r="K3314" t="s">
        <v>22</v>
      </c>
      <c r="L3314" t="s">
        <v>21</v>
      </c>
      <c r="M3314">
        <v>0</v>
      </c>
    </row>
    <row r="3315" spans="1:13" x14ac:dyDescent="0.25">
      <c r="A3315" t="s">
        <v>2358</v>
      </c>
      <c r="B3315" t="s">
        <v>66</v>
      </c>
      <c r="C3315" t="s">
        <v>14</v>
      </c>
      <c r="D3315" t="s">
        <v>68</v>
      </c>
      <c r="E3315" t="s">
        <v>21</v>
      </c>
      <c r="F3315">
        <v>1</v>
      </c>
      <c r="G3315">
        <v>20</v>
      </c>
      <c r="H3315" s="1">
        <v>44774</v>
      </c>
      <c r="I3315">
        <v>2022</v>
      </c>
      <c r="J3315">
        <v>8</v>
      </c>
      <c r="K3315" t="s">
        <v>30</v>
      </c>
      <c r="L3315">
        <v>1</v>
      </c>
      <c r="M3315">
        <v>1</v>
      </c>
    </row>
    <row r="3316" spans="1:13" x14ac:dyDescent="0.25">
      <c r="A3316" t="s">
        <v>2359</v>
      </c>
      <c r="B3316" t="s">
        <v>13</v>
      </c>
      <c r="C3316" t="s">
        <v>137</v>
      </c>
      <c r="D3316" t="s">
        <v>68</v>
      </c>
      <c r="E3316" t="s">
        <v>21</v>
      </c>
      <c r="F3316" t="s">
        <v>21</v>
      </c>
      <c r="G3316">
        <v>10</v>
      </c>
      <c r="H3316" s="1">
        <v>44774</v>
      </c>
      <c r="I3316">
        <v>2022</v>
      </c>
      <c r="J3316">
        <v>8</v>
      </c>
      <c r="K3316" t="s">
        <v>30</v>
      </c>
      <c r="L3316" t="s">
        <v>21</v>
      </c>
      <c r="M3316">
        <v>0</v>
      </c>
    </row>
    <row r="3317" spans="1:13" x14ac:dyDescent="0.25">
      <c r="A3317" t="s">
        <v>2360</v>
      </c>
      <c r="B3317" t="s">
        <v>54</v>
      </c>
      <c r="C3317" t="s">
        <v>42</v>
      </c>
      <c r="D3317" t="s">
        <v>33</v>
      </c>
      <c r="E3317">
        <v>75</v>
      </c>
      <c r="F3317">
        <v>1</v>
      </c>
      <c r="G3317">
        <v>18</v>
      </c>
      <c r="H3317" s="1">
        <v>44773</v>
      </c>
      <c r="I3317">
        <v>2022</v>
      </c>
      <c r="J3317">
        <v>7</v>
      </c>
      <c r="K3317" t="s">
        <v>30</v>
      </c>
      <c r="L3317">
        <v>1</v>
      </c>
      <c r="M3317">
        <v>1</v>
      </c>
    </row>
    <row r="3318" spans="1:13" x14ac:dyDescent="0.25">
      <c r="A3318" t="s">
        <v>2172</v>
      </c>
      <c r="B3318" t="s">
        <v>40</v>
      </c>
      <c r="C3318" t="s">
        <v>29</v>
      </c>
      <c r="D3318" t="s">
        <v>49</v>
      </c>
      <c r="E3318">
        <v>16</v>
      </c>
      <c r="F3318">
        <v>0.32</v>
      </c>
      <c r="G3318">
        <v>15</v>
      </c>
      <c r="H3318" s="1">
        <v>44773</v>
      </c>
      <c r="I3318">
        <v>2022</v>
      </c>
      <c r="J3318">
        <v>7</v>
      </c>
      <c r="K3318" t="s">
        <v>30</v>
      </c>
      <c r="L3318">
        <v>0</v>
      </c>
      <c r="M3318">
        <v>1</v>
      </c>
    </row>
    <row r="3319" spans="1:13" x14ac:dyDescent="0.25">
      <c r="A3319" t="s">
        <v>2361</v>
      </c>
      <c r="B3319" t="s">
        <v>54</v>
      </c>
      <c r="C3319" t="s">
        <v>14</v>
      </c>
      <c r="E3319" t="s">
        <v>21</v>
      </c>
      <c r="F3319">
        <v>0.5</v>
      </c>
      <c r="G3319" t="s">
        <v>21</v>
      </c>
      <c r="H3319" s="1">
        <v>44773</v>
      </c>
      <c r="I3319">
        <v>2022</v>
      </c>
      <c r="J3319">
        <v>7</v>
      </c>
      <c r="K3319" t="s">
        <v>22</v>
      </c>
      <c r="L3319">
        <v>0</v>
      </c>
      <c r="M3319">
        <v>1</v>
      </c>
    </row>
    <row r="3320" spans="1:13" x14ac:dyDescent="0.25">
      <c r="A3320" t="s">
        <v>790</v>
      </c>
      <c r="B3320" t="s">
        <v>66</v>
      </c>
      <c r="C3320" t="s">
        <v>48</v>
      </c>
      <c r="D3320" t="s">
        <v>429</v>
      </c>
      <c r="E3320">
        <v>1000</v>
      </c>
      <c r="F3320" t="s">
        <v>21</v>
      </c>
      <c r="G3320">
        <v>5000</v>
      </c>
      <c r="H3320" s="1">
        <v>44771</v>
      </c>
      <c r="I3320">
        <v>2022</v>
      </c>
      <c r="J3320">
        <v>7</v>
      </c>
      <c r="K3320" t="s">
        <v>26</v>
      </c>
      <c r="L3320" t="s">
        <v>21</v>
      </c>
      <c r="M3320">
        <v>1</v>
      </c>
    </row>
    <row r="3321" spans="1:13" x14ac:dyDescent="0.25">
      <c r="A3321" t="s">
        <v>2362</v>
      </c>
      <c r="B3321" t="s">
        <v>77</v>
      </c>
      <c r="C3321" t="s">
        <v>174</v>
      </c>
      <c r="D3321" t="s">
        <v>46</v>
      </c>
      <c r="E3321">
        <v>125</v>
      </c>
      <c r="F3321">
        <v>0.25</v>
      </c>
      <c r="G3321">
        <v>681</v>
      </c>
      <c r="H3321" s="1">
        <v>44771</v>
      </c>
      <c r="I3321">
        <v>2022</v>
      </c>
      <c r="J3321">
        <v>7</v>
      </c>
      <c r="K3321" t="s">
        <v>36</v>
      </c>
      <c r="L3321">
        <v>0</v>
      </c>
      <c r="M3321">
        <v>1</v>
      </c>
    </row>
    <row r="3322" spans="1:13" x14ac:dyDescent="0.25">
      <c r="A3322" t="s">
        <v>2363</v>
      </c>
      <c r="B3322" t="s">
        <v>95</v>
      </c>
      <c r="C3322" t="s">
        <v>14</v>
      </c>
      <c r="D3322" t="s">
        <v>55</v>
      </c>
      <c r="E3322">
        <v>50</v>
      </c>
      <c r="F3322" t="s">
        <v>21</v>
      </c>
      <c r="G3322">
        <v>229</v>
      </c>
      <c r="H3322" s="1">
        <v>44771</v>
      </c>
      <c r="I3322">
        <v>2022</v>
      </c>
      <c r="J3322">
        <v>7</v>
      </c>
      <c r="K3322" t="s">
        <v>36</v>
      </c>
      <c r="L3322" t="s">
        <v>21</v>
      </c>
      <c r="M3322">
        <v>1</v>
      </c>
    </row>
    <row r="3323" spans="1:13" x14ac:dyDescent="0.25">
      <c r="A3323" t="s">
        <v>2364</v>
      </c>
      <c r="B3323" t="s">
        <v>95</v>
      </c>
      <c r="C3323" t="s">
        <v>14</v>
      </c>
      <c r="D3323" t="s">
        <v>33</v>
      </c>
      <c r="E3323">
        <v>43</v>
      </c>
      <c r="F3323" t="s">
        <v>21</v>
      </c>
      <c r="G3323">
        <v>58</v>
      </c>
      <c r="H3323" s="1">
        <v>44771</v>
      </c>
      <c r="I3323">
        <v>2022</v>
      </c>
      <c r="J3323">
        <v>7</v>
      </c>
      <c r="K3323" t="s">
        <v>30</v>
      </c>
      <c r="L3323" t="s">
        <v>21</v>
      </c>
      <c r="M3323">
        <v>1</v>
      </c>
    </row>
    <row r="3324" spans="1:13" x14ac:dyDescent="0.25">
      <c r="A3324" t="s">
        <v>2365</v>
      </c>
      <c r="B3324" t="s">
        <v>54</v>
      </c>
      <c r="C3324" t="s">
        <v>14</v>
      </c>
      <c r="D3324" t="s">
        <v>46</v>
      </c>
      <c r="E3324">
        <v>40</v>
      </c>
      <c r="F3324">
        <v>0.06</v>
      </c>
      <c r="G3324">
        <v>65</v>
      </c>
      <c r="H3324" s="1">
        <v>44771</v>
      </c>
      <c r="I3324">
        <v>2022</v>
      </c>
      <c r="J3324">
        <v>7</v>
      </c>
      <c r="K3324" t="s">
        <v>30</v>
      </c>
      <c r="L3324">
        <v>0</v>
      </c>
      <c r="M3324">
        <v>1</v>
      </c>
    </row>
    <row r="3325" spans="1:13" x14ac:dyDescent="0.25">
      <c r="A3325" t="s">
        <v>2366</v>
      </c>
      <c r="B3325" t="s">
        <v>73</v>
      </c>
      <c r="C3325" t="s">
        <v>174</v>
      </c>
      <c r="D3325" t="s">
        <v>22</v>
      </c>
      <c r="E3325">
        <v>22</v>
      </c>
      <c r="F3325" t="s">
        <v>21</v>
      </c>
      <c r="G3325">
        <v>11</v>
      </c>
      <c r="H3325" s="1">
        <v>44771</v>
      </c>
      <c r="I3325">
        <v>2022</v>
      </c>
      <c r="J3325">
        <v>7</v>
      </c>
      <c r="K3325" t="s">
        <v>30</v>
      </c>
      <c r="L3325" t="s">
        <v>21</v>
      </c>
      <c r="M3325">
        <v>1</v>
      </c>
    </row>
    <row r="3326" spans="1:13" x14ac:dyDescent="0.25">
      <c r="A3326" t="s">
        <v>2367</v>
      </c>
      <c r="B3326" t="s">
        <v>52</v>
      </c>
      <c r="C3326" t="s">
        <v>1926</v>
      </c>
      <c r="D3326" t="s">
        <v>22</v>
      </c>
      <c r="E3326" t="s">
        <v>21</v>
      </c>
      <c r="F3326" t="s">
        <v>21</v>
      </c>
      <c r="G3326">
        <v>11</v>
      </c>
      <c r="H3326" s="1">
        <v>44771</v>
      </c>
      <c r="I3326">
        <v>2022</v>
      </c>
      <c r="J3326">
        <v>7</v>
      </c>
      <c r="K3326" t="s">
        <v>30</v>
      </c>
      <c r="L3326" t="s">
        <v>21</v>
      </c>
      <c r="M3326">
        <v>0</v>
      </c>
    </row>
    <row r="3327" spans="1:13" x14ac:dyDescent="0.25">
      <c r="A3327" t="s">
        <v>2368</v>
      </c>
      <c r="B3327" t="s">
        <v>95</v>
      </c>
      <c r="C3327" t="s">
        <v>657</v>
      </c>
      <c r="D3327" t="s">
        <v>15</v>
      </c>
      <c r="E3327" t="s">
        <v>21</v>
      </c>
      <c r="F3327" t="s">
        <v>21</v>
      </c>
      <c r="G3327">
        <v>1700</v>
      </c>
      <c r="H3327" s="1">
        <v>44771</v>
      </c>
      <c r="I3327">
        <v>2022</v>
      </c>
      <c r="J3327">
        <v>7</v>
      </c>
      <c r="K3327" t="s">
        <v>26</v>
      </c>
      <c r="L3327" t="s">
        <v>21</v>
      </c>
      <c r="M3327">
        <v>0</v>
      </c>
    </row>
    <row r="3328" spans="1:13" x14ac:dyDescent="0.25">
      <c r="A3328" t="s">
        <v>2369</v>
      </c>
      <c r="B3328" t="s">
        <v>91</v>
      </c>
      <c r="C3328" t="s">
        <v>42</v>
      </c>
      <c r="D3328" t="s">
        <v>22</v>
      </c>
      <c r="E3328" t="s">
        <v>21</v>
      </c>
      <c r="F3328">
        <v>1</v>
      </c>
      <c r="G3328">
        <v>6</v>
      </c>
      <c r="H3328" s="1">
        <v>44771</v>
      </c>
      <c r="I3328">
        <v>2022</v>
      </c>
      <c r="J3328">
        <v>7</v>
      </c>
      <c r="K3328" t="s">
        <v>16</v>
      </c>
      <c r="L3328">
        <v>1</v>
      </c>
      <c r="M3328">
        <v>1</v>
      </c>
    </row>
    <row r="3329" spans="1:13" x14ac:dyDescent="0.25">
      <c r="A3329" t="s">
        <v>2101</v>
      </c>
      <c r="B3329" t="s">
        <v>91</v>
      </c>
      <c r="C3329" t="s">
        <v>14</v>
      </c>
      <c r="D3329" t="s">
        <v>46</v>
      </c>
      <c r="E3329">
        <v>136</v>
      </c>
      <c r="F3329" t="s">
        <v>21</v>
      </c>
      <c r="G3329">
        <v>405</v>
      </c>
      <c r="H3329" s="1">
        <v>44770</v>
      </c>
      <c r="I3329">
        <v>2022</v>
      </c>
      <c r="J3329">
        <v>7</v>
      </c>
      <c r="K3329" t="s">
        <v>36</v>
      </c>
      <c r="L3329" t="s">
        <v>21</v>
      </c>
      <c r="M3329">
        <v>1</v>
      </c>
    </row>
    <row r="3330" spans="1:13" x14ac:dyDescent="0.25">
      <c r="A3330" t="s">
        <v>1876</v>
      </c>
      <c r="B3330" t="s">
        <v>106</v>
      </c>
      <c r="C3330" t="s">
        <v>14</v>
      </c>
      <c r="D3330" t="s">
        <v>33</v>
      </c>
      <c r="E3330">
        <v>60</v>
      </c>
      <c r="F3330">
        <v>0.33</v>
      </c>
      <c r="G3330">
        <v>51</v>
      </c>
      <c r="H3330" s="1">
        <v>44770</v>
      </c>
      <c r="I3330">
        <v>2022</v>
      </c>
      <c r="J3330">
        <v>7</v>
      </c>
      <c r="K3330" t="s">
        <v>30</v>
      </c>
      <c r="L3330">
        <v>0</v>
      </c>
      <c r="M3330">
        <v>1</v>
      </c>
    </row>
    <row r="3331" spans="1:13" x14ac:dyDescent="0.25">
      <c r="A3331" t="s">
        <v>2370</v>
      </c>
      <c r="B3331" t="s">
        <v>77</v>
      </c>
      <c r="C3331" t="s">
        <v>14</v>
      </c>
      <c r="D3331" t="s">
        <v>20</v>
      </c>
      <c r="E3331">
        <v>60</v>
      </c>
      <c r="F3331">
        <v>0.2</v>
      </c>
      <c r="G3331">
        <v>510</v>
      </c>
      <c r="H3331" s="1">
        <v>44770</v>
      </c>
      <c r="I3331">
        <v>2022</v>
      </c>
      <c r="J3331">
        <v>7</v>
      </c>
      <c r="K3331" t="s">
        <v>36</v>
      </c>
      <c r="L3331">
        <v>0</v>
      </c>
      <c r="M3331">
        <v>1</v>
      </c>
    </row>
    <row r="3332" spans="1:13" x14ac:dyDescent="0.25">
      <c r="A3332" t="s">
        <v>1599</v>
      </c>
      <c r="B3332" t="s">
        <v>77</v>
      </c>
      <c r="C3332" t="s">
        <v>256</v>
      </c>
      <c r="D3332" t="s">
        <v>15</v>
      </c>
      <c r="E3332">
        <v>45</v>
      </c>
      <c r="F3332" t="s">
        <v>21</v>
      </c>
      <c r="G3332">
        <v>130</v>
      </c>
      <c r="H3332" s="1">
        <v>44770</v>
      </c>
      <c r="I3332">
        <v>2022</v>
      </c>
      <c r="J3332">
        <v>7</v>
      </c>
      <c r="K3332" t="s">
        <v>36</v>
      </c>
      <c r="L3332" t="s">
        <v>21</v>
      </c>
      <c r="M3332">
        <v>1</v>
      </c>
    </row>
    <row r="3333" spans="1:13" x14ac:dyDescent="0.25">
      <c r="A3333" t="s">
        <v>2371</v>
      </c>
      <c r="B3333" t="s">
        <v>24</v>
      </c>
      <c r="C3333" t="s">
        <v>14</v>
      </c>
      <c r="D3333" t="s">
        <v>15</v>
      </c>
      <c r="E3333">
        <v>23</v>
      </c>
      <c r="F3333" t="s">
        <v>21</v>
      </c>
      <c r="G3333">
        <v>202</v>
      </c>
      <c r="H3333" s="1">
        <v>44770</v>
      </c>
      <c r="I3333">
        <v>2022</v>
      </c>
      <c r="J3333">
        <v>7</v>
      </c>
      <c r="K3333" t="s">
        <v>36</v>
      </c>
      <c r="L3333" t="s">
        <v>21</v>
      </c>
      <c r="M3333">
        <v>1</v>
      </c>
    </row>
    <row r="3334" spans="1:13" x14ac:dyDescent="0.25">
      <c r="A3334" t="s">
        <v>2372</v>
      </c>
      <c r="B3334" t="s">
        <v>18</v>
      </c>
      <c r="C3334" t="s">
        <v>174</v>
      </c>
      <c r="D3334" t="s">
        <v>49</v>
      </c>
      <c r="E3334">
        <v>22</v>
      </c>
      <c r="F3334" t="s">
        <v>21</v>
      </c>
      <c r="G3334">
        <v>1</v>
      </c>
      <c r="H3334" s="1">
        <v>44770</v>
      </c>
      <c r="I3334">
        <v>2022</v>
      </c>
      <c r="J3334">
        <v>7</v>
      </c>
      <c r="K3334" t="s">
        <v>16</v>
      </c>
      <c r="L3334" t="s">
        <v>21</v>
      </c>
      <c r="M3334">
        <v>1</v>
      </c>
    </row>
    <row r="3335" spans="1:13" x14ac:dyDescent="0.25">
      <c r="A3335" t="s">
        <v>460</v>
      </c>
      <c r="B3335" t="s">
        <v>106</v>
      </c>
      <c r="C3335" t="s">
        <v>14</v>
      </c>
      <c r="D3335" t="s">
        <v>15</v>
      </c>
      <c r="E3335" t="s">
        <v>21</v>
      </c>
      <c r="F3335">
        <v>0.2</v>
      </c>
      <c r="G3335">
        <v>426</v>
      </c>
      <c r="H3335" s="1">
        <v>44770</v>
      </c>
      <c r="I3335">
        <v>2022</v>
      </c>
      <c r="J3335">
        <v>7</v>
      </c>
      <c r="K3335" t="s">
        <v>36</v>
      </c>
      <c r="L3335">
        <v>0</v>
      </c>
      <c r="M3335">
        <v>1</v>
      </c>
    </row>
    <row r="3336" spans="1:13" x14ac:dyDescent="0.25">
      <c r="A3336" t="s">
        <v>2373</v>
      </c>
      <c r="B3336" t="s">
        <v>24</v>
      </c>
      <c r="C3336" t="s">
        <v>48</v>
      </c>
      <c r="D3336" t="s">
        <v>68</v>
      </c>
      <c r="E3336" t="s">
        <v>21</v>
      </c>
      <c r="F3336" t="s">
        <v>21</v>
      </c>
      <c r="G3336">
        <v>12</v>
      </c>
      <c r="H3336" s="1">
        <v>44770</v>
      </c>
      <c r="I3336">
        <v>2022</v>
      </c>
      <c r="J3336">
        <v>7</v>
      </c>
      <c r="K3336" t="s">
        <v>30</v>
      </c>
      <c r="L3336" t="s">
        <v>21</v>
      </c>
      <c r="M3336">
        <v>0</v>
      </c>
    </row>
    <row r="3337" spans="1:13" x14ac:dyDescent="0.25">
      <c r="A3337" t="s">
        <v>2374</v>
      </c>
      <c r="B3337" t="s">
        <v>99</v>
      </c>
      <c r="C3337" t="s">
        <v>14</v>
      </c>
      <c r="D3337" t="s">
        <v>68</v>
      </c>
      <c r="E3337" t="s">
        <v>21</v>
      </c>
      <c r="F3337" t="s">
        <v>21</v>
      </c>
      <c r="G3337">
        <v>12</v>
      </c>
      <c r="H3337" s="1">
        <v>44770</v>
      </c>
      <c r="I3337">
        <v>2022</v>
      </c>
      <c r="J3337">
        <v>7</v>
      </c>
      <c r="K3337" t="s">
        <v>30</v>
      </c>
      <c r="L3337" t="s">
        <v>21</v>
      </c>
      <c r="M3337">
        <v>0</v>
      </c>
    </row>
    <row r="3338" spans="1:13" x14ac:dyDescent="0.25">
      <c r="A3338" t="s">
        <v>2375</v>
      </c>
      <c r="B3338" t="s">
        <v>13</v>
      </c>
      <c r="C3338" t="s">
        <v>14</v>
      </c>
      <c r="D3338" t="s">
        <v>55</v>
      </c>
      <c r="E3338" t="s">
        <v>21</v>
      </c>
      <c r="F3338">
        <v>0.19</v>
      </c>
      <c r="G3338">
        <v>72</v>
      </c>
      <c r="H3338" s="1">
        <v>44770</v>
      </c>
      <c r="I3338">
        <v>2022</v>
      </c>
      <c r="J3338">
        <v>7</v>
      </c>
      <c r="K3338" t="s">
        <v>30</v>
      </c>
      <c r="L3338">
        <v>0</v>
      </c>
      <c r="M3338">
        <v>1</v>
      </c>
    </row>
    <row r="3339" spans="1:13" x14ac:dyDescent="0.25">
      <c r="A3339" t="s">
        <v>2376</v>
      </c>
      <c r="B3339" t="s">
        <v>32</v>
      </c>
      <c r="C3339" t="s">
        <v>14</v>
      </c>
      <c r="D3339" t="s">
        <v>20</v>
      </c>
      <c r="E3339" t="s">
        <v>21</v>
      </c>
      <c r="F3339" t="s">
        <v>21</v>
      </c>
      <c r="G3339">
        <v>17</v>
      </c>
      <c r="H3339" s="1">
        <v>44770</v>
      </c>
      <c r="I3339">
        <v>2022</v>
      </c>
      <c r="J3339">
        <v>7</v>
      </c>
      <c r="K3339" t="s">
        <v>30</v>
      </c>
      <c r="L3339" t="s">
        <v>21</v>
      </c>
      <c r="M3339">
        <v>0</v>
      </c>
    </row>
    <row r="3340" spans="1:13" x14ac:dyDescent="0.25">
      <c r="A3340" t="s">
        <v>2377</v>
      </c>
      <c r="B3340" t="s">
        <v>217</v>
      </c>
      <c r="C3340" t="s">
        <v>14</v>
      </c>
      <c r="D3340" t="s">
        <v>22</v>
      </c>
      <c r="E3340" t="s">
        <v>21</v>
      </c>
      <c r="F3340">
        <v>0.2</v>
      </c>
      <c r="G3340">
        <v>491</v>
      </c>
      <c r="H3340" s="1">
        <v>44770</v>
      </c>
      <c r="I3340">
        <v>2022</v>
      </c>
      <c r="J3340">
        <v>7</v>
      </c>
      <c r="K3340" t="s">
        <v>36</v>
      </c>
      <c r="L3340">
        <v>0</v>
      </c>
      <c r="M3340">
        <v>1</v>
      </c>
    </row>
    <row r="3341" spans="1:13" x14ac:dyDescent="0.25">
      <c r="A3341" t="s">
        <v>85</v>
      </c>
      <c r="B3341" t="s">
        <v>66</v>
      </c>
      <c r="C3341" t="s">
        <v>14</v>
      </c>
      <c r="D3341" t="s">
        <v>15</v>
      </c>
      <c r="E3341">
        <v>840</v>
      </c>
      <c r="F3341">
        <v>0.06</v>
      </c>
      <c r="G3341">
        <v>10700</v>
      </c>
      <c r="H3341" s="1">
        <v>44769</v>
      </c>
      <c r="I3341">
        <v>2022</v>
      </c>
      <c r="J3341">
        <v>7</v>
      </c>
      <c r="K3341" t="s">
        <v>26</v>
      </c>
      <c r="L3341">
        <v>0</v>
      </c>
      <c r="M3341">
        <v>1</v>
      </c>
    </row>
    <row r="3342" spans="1:13" x14ac:dyDescent="0.25">
      <c r="A3342" t="s">
        <v>556</v>
      </c>
      <c r="B3342" t="s">
        <v>32</v>
      </c>
      <c r="C3342" t="s">
        <v>14</v>
      </c>
      <c r="D3342" t="s">
        <v>43</v>
      </c>
      <c r="E3342">
        <v>39</v>
      </c>
      <c r="F3342">
        <v>0.02</v>
      </c>
      <c r="G3342">
        <v>307</v>
      </c>
      <c r="H3342" s="1">
        <v>44769</v>
      </c>
      <c r="I3342">
        <v>2022</v>
      </c>
      <c r="J3342">
        <v>7</v>
      </c>
      <c r="K3342" t="s">
        <v>36</v>
      </c>
      <c r="L3342">
        <v>0</v>
      </c>
      <c r="M3342">
        <v>1</v>
      </c>
    </row>
    <row r="3343" spans="1:13" x14ac:dyDescent="0.25">
      <c r="A3343" t="s">
        <v>2378</v>
      </c>
      <c r="B3343" t="s">
        <v>52</v>
      </c>
      <c r="C3343" t="s">
        <v>174</v>
      </c>
      <c r="D3343" t="s">
        <v>22</v>
      </c>
      <c r="E3343">
        <v>30</v>
      </c>
      <c r="F3343">
        <v>0.24</v>
      </c>
      <c r="G3343">
        <v>98</v>
      </c>
      <c r="H3343" s="1">
        <v>44769</v>
      </c>
      <c r="I3343">
        <v>2022</v>
      </c>
      <c r="J3343">
        <v>7</v>
      </c>
      <c r="K3343" t="s">
        <v>30</v>
      </c>
      <c r="L3343">
        <v>0</v>
      </c>
      <c r="M3343">
        <v>1</v>
      </c>
    </row>
    <row r="3344" spans="1:13" x14ac:dyDescent="0.25">
      <c r="A3344" t="s">
        <v>110</v>
      </c>
      <c r="B3344" t="s">
        <v>54</v>
      </c>
      <c r="C3344" t="s">
        <v>29</v>
      </c>
      <c r="D3344" t="s">
        <v>111</v>
      </c>
      <c r="E3344">
        <v>30</v>
      </c>
      <c r="F3344">
        <v>0.04</v>
      </c>
      <c r="G3344">
        <v>60</v>
      </c>
      <c r="H3344" s="1">
        <v>44769</v>
      </c>
      <c r="I3344">
        <v>2022</v>
      </c>
      <c r="J3344">
        <v>7</v>
      </c>
      <c r="K3344" t="s">
        <v>30</v>
      </c>
      <c r="L3344">
        <v>0</v>
      </c>
      <c r="M3344">
        <v>1</v>
      </c>
    </row>
    <row r="3345" spans="1:13" x14ac:dyDescent="0.25">
      <c r="A3345" t="s">
        <v>173</v>
      </c>
      <c r="B3345" t="s">
        <v>24</v>
      </c>
      <c r="C3345" t="s">
        <v>174</v>
      </c>
      <c r="D3345" t="s">
        <v>15</v>
      </c>
      <c r="E3345">
        <v>1000</v>
      </c>
      <c r="F3345">
        <v>0.1</v>
      </c>
      <c r="G3345">
        <v>122</v>
      </c>
      <c r="H3345" s="1">
        <v>44768</v>
      </c>
      <c r="I3345">
        <v>2022</v>
      </c>
      <c r="J3345">
        <v>7</v>
      </c>
      <c r="K3345" t="s">
        <v>36</v>
      </c>
      <c r="L3345">
        <v>0</v>
      </c>
      <c r="M3345">
        <v>1</v>
      </c>
    </row>
    <row r="3346" spans="1:13" x14ac:dyDescent="0.25">
      <c r="A3346" t="s">
        <v>1047</v>
      </c>
      <c r="B3346" t="s">
        <v>91</v>
      </c>
      <c r="C3346" t="s">
        <v>83</v>
      </c>
      <c r="D3346" t="s">
        <v>22</v>
      </c>
      <c r="E3346">
        <v>90</v>
      </c>
      <c r="F3346" t="s">
        <v>21</v>
      </c>
      <c r="G3346">
        <v>214</v>
      </c>
      <c r="H3346" s="1">
        <v>44768</v>
      </c>
      <c r="I3346">
        <v>2022</v>
      </c>
      <c r="J3346">
        <v>7</v>
      </c>
      <c r="K3346" t="s">
        <v>36</v>
      </c>
      <c r="L3346" t="s">
        <v>21</v>
      </c>
      <c r="M3346">
        <v>1</v>
      </c>
    </row>
    <row r="3347" spans="1:13" x14ac:dyDescent="0.25">
      <c r="A3347" t="s">
        <v>358</v>
      </c>
      <c r="B3347" t="s">
        <v>13</v>
      </c>
      <c r="C3347" t="s">
        <v>29</v>
      </c>
      <c r="D3347" t="s">
        <v>15</v>
      </c>
      <c r="E3347">
        <v>60</v>
      </c>
      <c r="F3347">
        <v>0.08</v>
      </c>
      <c r="G3347">
        <v>111</v>
      </c>
      <c r="H3347" s="1">
        <v>44768</v>
      </c>
      <c r="I3347">
        <v>2022</v>
      </c>
      <c r="J3347">
        <v>7</v>
      </c>
      <c r="K3347" t="s">
        <v>36</v>
      </c>
      <c r="L3347">
        <v>0</v>
      </c>
      <c r="M3347">
        <v>1</v>
      </c>
    </row>
    <row r="3348" spans="1:13" x14ac:dyDescent="0.25">
      <c r="A3348" t="s">
        <v>2379</v>
      </c>
      <c r="B3348" t="s">
        <v>77</v>
      </c>
      <c r="C3348" t="s">
        <v>42</v>
      </c>
      <c r="D3348" t="s">
        <v>33</v>
      </c>
      <c r="E3348">
        <v>40</v>
      </c>
      <c r="F3348">
        <v>0.17</v>
      </c>
      <c r="G3348">
        <v>41</v>
      </c>
      <c r="H3348" s="1">
        <v>44768</v>
      </c>
      <c r="I3348">
        <v>2022</v>
      </c>
      <c r="J3348">
        <v>7</v>
      </c>
      <c r="K3348" t="s">
        <v>30</v>
      </c>
      <c r="L3348">
        <v>0</v>
      </c>
      <c r="M3348">
        <v>1</v>
      </c>
    </row>
    <row r="3349" spans="1:13" x14ac:dyDescent="0.25">
      <c r="A3349" t="s">
        <v>503</v>
      </c>
      <c r="B3349" t="s">
        <v>54</v>
      </c>
      <c r="C3349" t="s">
        <v>14</v>
      </c>
      <c r="D3349" t="s">
        <v>15</v>
      </c>
      <c r="E3349">
        <v>38</v>
      </c>
      <c r="F3349">
        <v>0.03</v>
      </c>
      <c r="G3349">
        <v>394</v>
      </c>
      <c r="H3349" s="1">
        <v>44768</v>
      </c>
      <c r="I3349">
        <v>2022</v>
      </c>
      <c r="J3349">
        <v>7</v>
      </c>
      <c r="K3349" t="s">
        <v>36</v>
      </c>
      <c r="L3349">
        <v>0</v>
      </c>
      <c r="M3349">
        <v>1</v>
      </c>
    </row>
    <row r="3350" spans="1:13" x14ac:dyDescent="0.25">
      <c r="A3350" t="s">
        <v>2380</v>
      </c>
      <c r="B3350" t="s">
        <v>45</v>
      </c>
      <c r="C3350" t="s">
        <v>14</v>
      </c>
      <c r="D3350" t="s">
        <v>68</v>
      </c>
      <c r="E3350">
        <v>23</v>
      </c>
      <c r="F3350">
        <v>0.3</v>
      </c>
      <c r="G3350">
        <v>22</v>
      </c>
      <c r="H3350" s="1">
        <v>44768</v>
      </c>
      <c r="I3350">
        <v>2022</v>
      </c>
      <c r="J3350">
        <v>7</v>
      </c>
      <c r="K3350" t="s">
        <v>30</v>
      </c>
      <c r="L3350">
        <v>0</v>
      </c>
      <c r="M3350">
        <v>1</v>
      </c>
    </row>
    <row r="3351" spans="1:13" x14ac:dyDescent="0.25">
      <c r="A3351" t="s">
        <v>1666</v>
      </c>
      <c r="B3351" t="s">
        <v>52</v>
      </c>
      <c r="C3351" t="s">
        <v>42</v>
      </c>
      <c r="D3351" t="s">
        <v>46</v>
      </c>
      <c r="E3351">
        <v>20</v>
      </c>
      <c r="F3351">
        <v>0.06</v>
      </c>
      <c r="G3351">
        <v>279</v>
      </c>
      <c r="H3351" s="1">
        <v>44768</v>
      </c>
      <c r="I3351">
        <v>2022</v>
      </c>
      <c r="J3351">
        <v>7</v>
      </c>
      <c r="K3351" t="s">
        <v>36</v>
      </c>
      <c r="L3351">
        <v>0</v>
      </c>
      <c r="M3351">
        <v>1</v>
      </c>
    </row>
    <row r="3352" spans="1:13" x14ac:dyDescent="0.25">
      <c r="A3352" t="s">
        <v>1489</v>
      </c>
      <c r="B3352" t="s">
        <v>13</v>
      </c>
      <c r="C3352" t="s">
        <v>14</v>
      </c>
      <c r="D3352" t="s">
        <v>20</v>
      </c>
      <c r="E3352">
        <v>80</v>
      </c>
      <c r="F3352" t="s">
        <v>21</v>
      </c>
      <c r="G3352">
        <v>974</v>
      </c>
      <c r="H3352" s="1">
        <v>44767</v>
      </c>
      <c r="I3352">
        <v>2022</v>
      </c>
      <c r="J3352">
        <v>7</v>
      </c>
      <c r="K3352" t="s">
        <v>36</v>
      </c>
      <c r="L3352" t="s">
        <v>21</v>
      </c>
      <c r="M3352">
        <v>1</v>
      </c>
    </row>
    <row r="3353" spans="1:13" x14ac:dyDescent="0.25">
      <c r="A3353" t="s">
        <v>1550</v>
      </c>
      <c r="B3353" t="s">
        <v>35</v>
      </c>
      <c r="C3353" t="s">
        <v>14</v>
      </c>
      <c r="D3353" t="s">
        <v>15</v>
      </c>
      <c r="E3353">
        <v>25</v>
      </c>
      <c r="F3353">
        <v>0.09</v>
      </c>
      <c r="G3353">
        <v>409</v>
      </c>
      <c r="H3353" s="1">
        <v>44767</v>
      </c>
      <c r="I3353">
        <v>2022</v>
      </c>
      <c r="J3353">
        <v>7</v>
      </c>
      <c r="K3353" t="s">
        <v>36</v>
      </c>
      <c r="L3353">
        <v>0</v>
      </c>
      <c r="M3353">
        <v>1</v>
      </c>
    </row>
    <row r="3354" spans="1:13" x14ac:dyDescent="0.25">
      <c r="A3354" t="s">
        <v>2381</v>
      </c>
      <c r="B3354" t="s">
        <v>35</v>
      </c>
      <c r="C3354" t="s">
        <v>14</v>
      </c>
      <c r="D3354" t="s">
        <v>111</v>
      </c>
      <c r="E3354" t="s">
        <v>21</v>
      </c>
      <c r="F3354">
        <v>0.06</v>
      </c>
      <c r="G3354">
        <v>272</v>
      </c>
      <c r="H3354" s="1">
        <v>44767</v>
      </c>
      <c r="I3354">
        <v>2022</v>
      </c>
      <c r="J3354">
        <v>7</v>
      </c>
      <c r="K3354" t="s">
        <v>36</v>
      </c>
      <c r="L3354">
        <v>0</v>
      </c>
      <c r="M3354">
        <v>1</v>
      </c>
    </row>
    <row r="3355" spans="1:13" x14ac:dyDescent="0.25">
      <c r="A3355" t="s">
        <v>2382</v>
      </c>
      <c r="B3355" t="s">
        <v>89</v>
      </c>
      <c r="C3355" t="s">
        <v>29</v>
      </c>
      <c r="D3355" t="s">
        <v>20</v>
      </c>
      <c r="E3355">
        <v>120</v>
      </c>
      <c r="F3355">
        <v>1</v>
      </c>
      <c r="G3355">
        <v>18</v>
      </c>
      <c r="H3355" s="1">
        <v>44766</v>
      </c>
      <c r="I3355">
        <v>2022</v>
      </c>
      <c r="J3355">
        <v>7</v>
      </c>
      <c r="K3355" t="s">
        <v>30</v>
      </c>
      <c r="L3355">
        <v>1</v>
      </c>
      <c r="M3355">
        <v>1</v>
      </c>
    </row>
    <row r="3356" spans="1:13" x14ac:dyDescent="0.25">
      <c r="A3356" t="s">
        <v>2383</v>
      </c>
      <c r="B3356" t="s">
        <v>35</v>
      </c>
      <c r="C3356" t="s">
        <v>42</v>
      </c>
      <c r="D3356" t="s">
        <v>46</v>
      </c>
      <c r="E3356">
        <v>50</v>
      </c>
      <c r="F3356">
        <v>0.2</v>
      </c>
      <c r="G3356">
        <v>69</v>
      </c>
      <c r="H3356" s="1">
        <v>44764</v>
      </c>
      <c r="I3356">
        <v>2022</v>
      </c>
      <c r="J3356">
        <v>7</v>
      </c>
      <c r="K3356" t="s">
        <v>30</v>
      </c>
      <c r="L3356">
        <v>0</v>
      </c>
      <c r="M3356">
        <v>1</v>
      </c>
    </row>
    <row r="3357" spans="1:13" x14ac:dyDescent="0.25">
      <c r="A3357" t="s">
        <v>2384</v>
      </c>
      <c r="B3357" t="s">
        <v>40</v>
      </c>
      <c r="C3357" t="s">
        <v>14</v>
      </c>
      <c r="D3357" t="s">
        <v>33</v>
      </c>
      <c r="E3357">
        <v>45</v>
      </c>
      <c r="F3357" t="s">
        <v>21</v>
      </c>
      <c r="G3357">
        <v>58</v>
      </c>
      <c r="H3357" s="1">
        <v>44764</v>
      </c>
      <c r="I3357">
        <v>2022</v>
      </c>
      <c r="J3357">
        <v>7</v>
      </c>
      <c r="K3357" t="s">
        <v>30</v>
      </c>
      <c r="L3357" t="s">
        <v>21</v>
      </c>
      <c r="M3357">
        <v>1</v>
      </c>
    </row>
    <row r="3358" spans="1:13" x14ac:dyDescent="0.25">
      <c r="A3358" t="s">
        <v>1461</v>
      </c>
      <c r="B3358" t="s">
        <v>77</v>
      </c>
      <c r="C3358" t="s">
        <v>230</v>
      </c>
      <c r="D3358" t="s">
        <v>68</v>
      </c>
      <c r="E3358">
        <v>28</v>
      </c>
      <c r="F3358">
        <v>0.22</v>
      </c>
      <c r="G3358">
        <v>15</v>
      </c>
      <c r="H3358" s="1">
        <v>44764</v>
      </c>
      <c r="I3358">
        <v>2022</v>
      </c>
      <c r="J3358">
        <v>7</v>
      </c>
      <c r="K3358" t="s">
        <v>30</v>
      </c>
      <c r="L3358">
        <v>0</v>
      </c>
      <c r="M3358">
        <v>1</v>
      </c>
    </row>
    <row r="3359" spans="1:13" x14ac:dyDescent="0.25">
      <c r="A3359" t="s">
        <v>2385</v>
      </c>
      <c r="B3359" t="s">
        <v>35</v>
      </c>
      <c r="C3359" t="s">
        <v>14</v>
      </c>
      <c r="D3359" t="s">
        <v>55</v>
      </c>
      <c r="E3359">
        <v>15</v>
      </c>
      <c r="F3359">
        <v>0.05</v>
      </c>
      <c r="G3359">
        <v>328</v>
      </c>
      <c r="H3359" s="1">
        <v>44764</v>
      </c>
      <c r="I3359">
        <v>2022</v>
      </c>
      <c r="J3359">
        <v>7</v>
      </c>
      <c r="K3359" t="s">
        <v>36</v>
      </c>
      <c r="L3359">
        <v>0</v>
      </c>
      <c r="M3359">
        <v>1</v>
      </c>
    </row>
    <row r="3360" spans="1:13" x14ac:dyDescent="0.25">
      <c r="A3360" t="s">
        <v>2386</v>
      </c>
      <c r="B3360" t="s">
        <v>28</v>
      </c>
      <c r="C3360" t="s">
        <v>14</v>
      </c>
      <c r="D3360" t="s">
        <v>22</v>
      </c>
      <c r="E3360" t="s">
        <v>21</v>
      </c>
      <c r="F3360" t="s">
        <v>21</v>
      </c>
      <c r="G3360" t="s">
        <v>21</v>
      </c>
      <c r="H3360" s="1">
        <v>44764</v>
      </c>
      <c r="I3360">
        <v>2022</v>
      </c>
      <c r="J3360">
        <v>7</v>
      </c>
      <c r="K3360" t="s">
        <v>22</v>
      </c>
      <c r="L3360" t="s">
        <v>21</v>
      </c>
      <c r="M3360">
        <v>0</v>
      </c>
    </row>
    <row r="3361" spans="1:13" x14ac:dyDescent="0.25">
      <c r="A3361" t="s">
        <v>2387</v>
      </c>
      <c r="B3361" t="s">
        <v>24</v>
      </c>
      <c r="C3361" t="s">
        <v>14</v>
      </c>
      <c r="D3361" t="s">
        <v>33</v>
      </c>
      <c r="E3361" t="s">
        <v>21</v>
      </c>
      <c r="F3361">
        <v>0.05</v>
      </c>
      <c r="G3361">
        <v>137</v>
      </c>
      <c r="H3361" s="1">
        <v>44764</v>
      </c>
      <c r="I3361">
        <v>2022</v>
      </c>
      <c r="J3361">
        <v>7</v>
      </c>
      <c r="K3361" t="s">
        <v>36</v>
      </c>
      <c r="L3361">
        <v>0</v>
      </c>
      <c r="M3361">
        <v>1</v>
      </c>
    </row>
    <row r="3362" spans="1:13" x14ac:dyDescent="0.25">
      <c r="A3362" t="s">
        <v>2388</v>
      </c>
      <c r="B3362" t="s">
        <v>35</v>
      </c>
      <c r="C3362" t="s">
        <v>14</v>
      </c>
      <c r="D3362" t="s">
        <v>15</v>
      </c>
      <c r="E3362" t="s">
        <v>21</v>
      </c>
      <c r="F3362" t="s">
        <v>21</v>
      </c>
      <c r="G3362">
        <v>178</v>
      </c>
      <c r="H3362" s="1">
        <v>44764</v>
      </c>
      <c r="I3362">
        <v>2022</v>
      </c>
      <c r="J3362">
        <v>7</v>
      </c>
      <c r="K3362" t="s">
        <v>36</v>
      </c>
      <c r="L3362" t="s">
        <v>21</v>
      </c>
      <c r="M3362">
        <v>0</v>
      </c>
    </row>
    <row r="3363" spans="1:13" x14ac:dyDescent="0.25">
      <c r="A3363" t="s">
        <v>2389</v>
      </c>
      <c r="B3363" t="s">
        <v>99</v>
      </c>
      <c r="C3363" t="s">
        <v>14</v>
      </c>
      <c r="D3363" t="s">
        <v>55</v>
      </c>
      <c r="E3363" t="s">
        <v>21</v>
      </c>
      <c r="F3363" t="s">
        <v>21</v>
      </c>
      <c r="G3363">
        <v>200</v>
      </c>
      <c r="H3363" s="1">
        <v>44764</v>
      </c>
      <c r="I3363">
        <v>2022</v>
      </c>
      <c r="J3363">
        <v>7</v>
      </c>
      <c r="K3363" t="s">
        <v>36</v>
      </c>
      <c r="L3363" t="s">
        <v>21</v>
      </c>
      <c r="M3363">
        <v>0</v>
      </c>
    </row>
    <row r="3364" spans="1:13" x14ac:dyDescent="0.25">
      <c r="A3364" t="s">
        <v>2390</v>
      </c>
      <c r="B3364" t="s">
        <v>114</v>
      </c>
      <c r="C3364" t="s">
        <v>14</v>
      </c>
      <c r="D3364" t="s">
        <v>20</v>
      </c>
      <c r="E3364" t="s">
        <v>21</v>
      </c>
      <c r="F3364" t="s">
        <v>21</v>
      </c>
      <c r="G3364">
        <v>62</v>
      </c>
      <c r="H3364" s="1">
        <v>44764</v>
      </c>
      <c r="I3364">
        <v>2022</v>
      </c>
      <c r="J3364">
        <v>7</v>
      </c>
      <c r="K3364" t="s">
        <v>30</v>
      </c>
      <c r="L3364" t="s">
        <v>21</v>
      </c>
      <c r="M3364">
        <v>0</v>
      </c>
    </row>
    <row r="3365" spans="1:13" x14ac:dyDescent="0.25">
      <c r="A3365" t="s">
        <v>1870</v>
      </c>
      <c r="B3365" t="s">
        <v>52</v>
      </c>
      <c r="C3365" t="s">
        <v>80</v>
      </c>
      <c r="D3365" t="s">
        <v>55</v>
      </c>
      <c r="E3365">
        <v>150</v>
      </c>
      <c r="F3365">
        <v>0.25</v>
      </c>
      <c r="G3365">
        <v>490</v>
      </c>
      <c r="H3365" s="1">
        <v>44763</v>
      </c>
      <c r="I3365">
        <v>2022</v>
      </c>
      <c r="J3365">
        <v>7</v>
      </c>
      <c r="K3365" t="s">
        <v>36</v>
      </c>
      <c r="L3365">
        <v>0</v>
      </c>
      <c r="M3365">
        <v>1</v>
      </c>
    </row>
    <row r="3366" spans="1:13" x14ac:dyDescent="0.25">
      <c r="A3366" t="s">
        <v>2173</v>
      </c>
      <c r="B3366" t="s">
        <v>32</v>
      </c>
      <c r="C3366" t="s">
        <v>14</v>
      </c>
      <c r="D3366" t="s">
        <v>55</v>
      </c>
      <c r="E3366">
        <v>140</v>
      </c>
      <c r="F3366">
        <v>0.35</v>
      </c>
      <c r="G3366" t="s">
        <v>21</v>
      </c>
      <c r="H3366" s="1">
        <v>44763</v>
      </c>
      <c r="I3366">
        <v>2022</v>
      </c>
      <c r="J3366">
        <v>7</v>
      </c>
      <c r="K3366" t="s">
        <v>22</v>
      </c>
      <c r="L3366">
        <v>0</v>
      </c>
      <c r="M3366">
        <v>1</v>
      </c>
    </row>
    <row r="3367" spans="1:13" x14ac:dyDescent="0.25">
      <c r="A3367" t="s">
        <v>2391</v>
      </c>
      <c r="B3367" t="s">
        <v>28</v>
      </c>
      <c r="C3367" t="s">
        <v>14</v>
      </c>
      <c r="D3367" t="s">
        <v>15</v>
      </c>
      <c r="E3367">
        <v>130</v>
      </c>
      <c r="F3367">
        <v>0.22</v>
      </c>
      <c r="G3367" t="s">
        <v>21</v>
      </c>
      <c r="H3367" s="1">
        <v>44763</v>
      </c>
      <c r="I3367">
        <v>2022</v>
      </c>
      <c r="J3367">
        <v>7</v>
      </c>
      <c r="K3367" t="s">
        <v>22</v>
      </c>
      <c r="L3367">
        <v>0</v>
      </c>
      <c r="M3367">
        <v>1</v>
      </c>
    </row>
    <row r="3368" spans="1:13" x14ac:dyDescent="0.25">
      <c r="A3368" t="s">
        <v>1892</v>
      </c>
      <c r="B3368" t="s">
        <v>207</v>
      </c>
      <c r="C3368" t="s">
        <v>14</v>
      </c>
      <c r="D3368" t="s">
        <v>43</v>
      </c>
      <c r="E3368">
        <v>95</v>
      </c>
      <c r="F3368">
        <v>0.15</v>
      </c>
      <c r="G3368">
        <v>404</v>
      </c>
      <c r="H3368" s="1">
        <v>44763</v>
      </c>
      <c r="I3368">
        <v>2022</v>
      </c>
      <c r="J3368">
        <v>7</v>
      </c>
      <c r="K3368" t="s">
        <v>36</v>
      </c>
      <c r="L3368">
        <v>0</v>
      </c>
      <c r="M3368">
        <v>1</v>
      </c>
    </row>
    <row r="3369" spans="1:13" x14ac:dyDescent="0.25">
      <c r="A3369" t="s">
        <v>691</v>
      </c>
      <c r="B3369" t="s">
        <v>66</v>
      </c>
      <c r="C3369" t="s">
        <v>14</v>
      </c>
      <c r="D3369" t="s">
        <v>55</v>
      </c>
      <c r="E3369">
        <v>63</v>
      </c>
      <c r="F3369">
        <v>0.1</v>
      </c>
      <c r="G3369">
        <v>329</v>
      </c>
      <c r="H3369" s="1">
        <v>44763</v>
      </c>
      <c r="I3369">
        <v>2022</v>
      </c>
      <c r="J3369">
        <v>7</v>
      </c>
      <c r="K3369" t="s">
        <v>36</v>
      </c>
      <c r="L3369">
        <v>0</v>
      </c>
      <c r="M3369">
        <v>1</v>
      </c>
    </row>
    <row r="3370" spans="1:13" x14ac:dyDescent="0.25">
      <c r="A3370" t="s">
        <v>2392</v>
      </c>
      <c r="B3370" t="s">
        <v>95</v>
      </c>
      <c r="C3370" t="s">
        <v>14</v>
      </c>
      <c r="D3370" t="s">
        <v>33</v>
      </c>
      <c r="E3370">
        <v>60</v>
      </c>
      <c r="F3370">
        <v>0.33</v>
      </c>
      <c r="G3370">
        <v>72</v>
      </c>
      <c r="H3370" s="1">
        <v>44763</v>
      </c>
      <c r="I3370">
        <v>2022</v>
      </c>
      <c r="J3370">
        <v>7</v>
      </c>
      <c r="K3370" t="s">
        <v>30</v>
      </c>
      <c r="L3370">
        <v>0</v>
      </c>
      <c r="M3370">
        <v>1</v>
      </c>
    </row>
    <row r="3371" spans="1:13" x14ac:dyDescent="0.25">
      <c r="A3371" t="s">
        <v>542</v>
      </c>
      <c r="B3371" t="s">
        <v>35</v>
      </c>
      <c r="C3371" t="s">
        <v>14</v>
      </c>
      <c r="D3371" t="s">
        <v>33</v>
      </c>
      <c r="E3371">
        <v>11</v>
      </c>
      <c r="F3371">
        <v>0.05</v>
      </c>
      <c r="G3371">
        <v>42</v>
      </c>
      <c r="H3371" s="1">
        <v>44763</v>
      </c>
      <c r="I3371">
        <v>2022</v>
      </c>
      <c r="J3371">
        <v>7</v>
      </c>
      <c r="K3371" t="s">
        <v>30</v>
      </c>
      <c r="L3371">
        <v>0</v>
      </c>
      <c r="M3371">
        <v>1</v>
      </c>
    </row>
    <row r="3372" spans="1:13" x14ac:dyDescent="0.25">
      <c r="A3372" t="s">
        <v>797</v>
      </c>
      <c r="B3372" t="s">
        <v>35</v>
      </c>
      <c r="C3372" t="s">
        <v>14</v>
      </c>
      <c r="D3372" t="s">
        <v>111</v>
      </c>
      <c r="E3372" t="s">
        <v>21</v>
      </c>
      <c r="F3372">
        <v>0.1</v>
      </c>
      <c r="G3372">
        <v>247</v>
      </c>
      <c r="H3372" s="1">
        <v>44763</v>
      </c>
      <c r="I3372">
        <v>2022</v>
      </c>
      <c r="J3372">
        <v>7</v>
      </c>
      <c r="K3372" t="s">
        <v>36</v>
      </c>
      <c r="L3372">
        <v>0</v>
      </c>
      <c r="M3372">
        <v>1</v>
      </c>
    </row>
    <row r="3373" spans="1:13" x14ac:dyDescent="0.25">
      <c r="A3373" t="s">
        <v>2393</v>
      </c>
      <c r="B3373" t="s">
        <v>89</v>
      </c>
      <c r="C3373" t="s">
        <v>14</v>
      </c>
      <c r="D3373" t="s">
        <v>33</v>
      </c>
      <c r="E3373" t="s">
        <v>21</v>
      </c>
      <c r="F3373" t="s">
        <v>21</v>
      </c>
      <c r="G3373">
        <v>45</v>
      </c>
      <c r="H3373" s="1">
        <v>44763</v>
      </c>
      <c r="I3373">
        <v>2022</v>
      </c>
      <c r="J3373">
        <v>7</v>
      </c>
      <c r="K3373" t="s">
        <v>30</v>
      </c>
      <c r="L3373" t="s">
        <v>21</v>
      </c>
      <c r="M3373">
        <v>0</v>
      </c>
    </row>
    <row r="3374" spans="1:13" x14ac:dyDescent="0.25">
      <c r="A3374" t="s">
        <v>995</v>
      </c>
      <c r="B3374" t="s">
        <v>114</v>
      </c>
      <c r="C3374" t="s">
        <v>14</v>
      </c>
      <c r="D3374" t="s">
        <v>43</v>
      </c>
      <c r="E3374" t="s">
        <v>21</v>
      </c>
      <c r="F3374">
        <v>0.5</v>
      </c>
      <c r="G3374">
        <v>356</v>
      </c>
      <c r="H3374" s="1">
        <v>44763</v>
      </c>
      <c r="I3374">
        <v>2022</v>
      </c>
      <c r="J3374">
        <v>7</v>
      </c>
      <c r="K3374" t="s">
        <v>36</v>
      </c>
      <c r="L3374">
        <v>0</v>
      </c>
      <c r="M3374">
        <v>1</v>
      </c>
    </row>
    <row r="3375" spans="1:13" x14ac:dyDescent="0.25">
      <c r="A3375" t="s">
        <v>1426</v>
      </c>
      <c r="B3375" t="s">
        <v>114</v>
      </c>
      <c r="C3375" t="s">
        <v>14</v>
      </c>
      <c r="D3375" t="s">
        <v>46</v>
      </c>
      <c r="E3375" t="s">
        <v>21</v>
      </c>
      <c r="F3375" t="s">
        <v>21</v>
      </c>
      <c r="G3375">
        <v>192</v>
      </c>
      <c r="H3375" s="1">
        <v>44763</v>
      </c>
      <c r="I3375">
        <v>2022</v>
      </c>
      <c r="J3375">
        <v>7</v>
      </c>
      <c r="K3375" t="s">
        <v>36</v>
      </c>
      <c r="L3375" t="s">
        <v>21</v>
      </c>
      <c r="M3375">
        <v>0</v>
      </c>
    </row>
    <row r="3376" spans="1:13" x14ac:dyDescent="0.25">
      <c r="A3376" t="s">
        <v>2394</v>
      </c>
      <c r="B3376" t="s">
        <v>13</v>
      </c>
      <c r="C3376" t="s">
        <v>14</v>
      </c>
      <c r="D3376" t="s">
        <v>81</v>
      </c>
      <c r="E3376" t="s">
        <v>21</v>
      </c>
      <c r="F3376" t="s">
        <v>21</v>
      </c>
      <c r="G3376" t="s">
        <v>21</v>
      </c>
      <c r="H3376" s="1">
        <v>44763</v>
      </c>
      <c r="I3376">
        <v>2022</v>
      </c>
      <c r="J3376">
        <v>7</v>
      </c>
      <c r="K3376" t="s">
        <v>22</v>
      </c>
      <c r="L3376" t="s">
        <v>21</v>
      </c>
      <c r="M3376">
        <v>0</v>
      </c>
    </row>
    <row r="3377" spans="1:13" x14ac:dyDescent="0.25">
      <c r="A3377" t="s">
        <v>2395</v>
      </c>
      <c r="B3377" t="s">
        <v>95</v>
      </c>
      <c r="C3377" t="s">
        <v>74</v>
      </c>
      <c r="D3377" t="s">
        <v>15</v>
      </c>
      <c r="E3377">
        <v>390</v>
      </c>
      <c r="F3377" t="s">
        <v>21</v>
      </c>
      <c r="G3377">
        <v>2800</v>
      </c>
      <c r="H3377" s="1">
        <v>44762</v>
      </c>
      <c r="I3377">
        <v>2022</v>
      </c>
      <c r="J3377">
        <v>7</v>
      </c>
      <c r="K3377" t="s">
        <v>26</v>
      </c>
      <c r="L3377" t="s">
        <v>21</v>
      </c>
      <c r="M3377">
        <v>1</v>
      </c>
    </row>
    <row r="3378" spans="1:13" x14ac:dyDescent="0.25">
      <c r="A3378" t="s">
        <v>1012</v>
      </c>
      <c r="B3378" t="s">
        <v>91</v>
      </c>
      <c r="C3378" t="s">
        <v>14</v>
      </c>
      <c r="D3378" t="s">
        <v>46</v>
      </c>
      <c r="E3378">
        <v>200</v>
      </c>
      <c r="F3378">
        <v>0.2</v>
      </c>
      <c r="G3378">
        <v>310</v>
      </c>
      <c r="H3378" s="1">
        <v>44762</v>
      </c>
      <c r="I3378">
        <v>2022</v>
      </c>
      <c r="J3378">
        <v>7</v>
      </c>
      <c r="K3378" t="s">
        <v>36</v>
      </c>
      <c r="L3378">
        <v>0</v>
      </c>
      <c r="M3378">
        <v>1</v>
      </c>
    </row>
    <row r="3379" spans="1:13" x14ac:dyDescent="0.25">
      <c r="A3379" t="s">
        <v>1470</v>
      </c>
      <c r="B3379" t="s">
        <v>77</v>
      </c>
      <c r="C3379" t="s">
        <v>14</v>
      </c>
      <c r="D3379" t="s">
        <v>111</v>
      </c>
      <c r="E3379">
        <v>75</v>
      </c>
      <c r="F3379" t="s">
        <v>21</v>
      </c>
      <c r="G3379">
        <v>992</v>
      </c>
      <c r="H3379" s="1">
        <v>44762</v>
      </c>
      <c r="I3379">
        <v>2022</v>
      </c>
      <c r="J3379">
        <v>7</v>
      </c>
      <c r="K3379" t="s">
        <v>36</v>
      </c>
      <c r="L3379" t="s">
        <v>21</v>
      </c>
      <c r="M3379">
        <v>1</v>
      </c>
    </row>
    <row r="3380" spans="1:13" x14ac:dyDescent="0.25">
      <c r="A3380" t="s">
        <v>2396</v>
      </c>
      <c r="B3380" t="s">
        <v>13</v>
      </c>
      <c r="C3380" t="s">
        <v>14</v>
      </c>
      <c r="D3380" t="s">
        <v>46</v>
      </c>
      <c r="E3380">
        <v>60</v>
      </c>
      <c r="F3380" t="s">
        <v>21</v>
      </c>
      <c r="G3380">
        <v>48</v>
      </c>
      <c r="H3380" s="1">
        <v>44762</v>
      </c>
      <c r="I3380">
        <v>2022</v>
      </c>
      <c r="J3380">
        <v>7</v>
      </c>
      <c r="K3380" t="s">
        <v>30</v>
      </c>
      <c r="L3380" t="s">
        <v>21</v>
      </c>
      <c r="M3380">
        <v>1</v>
      </c>
    </row>
    <row r="3381" spans="1:13" x14ac:dyDescent="0.25">
      <c r="A3381" t="s">
        <v>651</v>
      </c>
      <c r="B3381" t="s">
        <v>66</v>
      </c>
      <c r="C3381" t="s">
        <v>14</v>
      </c>
      <c r="D3381" t="s">
        <v>15</v>
      </c>
      <c r="E3381">
        <v>60</v>
      </c>
      <c r="F3381">
        <v>0.02</v>
      </c>
      <c r="G3381">
        <v>4900</v>
      </c>
      <c r="H3381" s="1">
        <v>44762</v>
      </c>
      <c r="I3381">
        <v>2022</v>
      </c>
      <c r="J3381">
        <v>7</v>
      </c>
      <c r="K3381" t="s">
        <v>26</v>
      </c>
      <c r="L3381">
        <v>0</v>
      </c>
      <c r="M3381">
        <v>1</v>
      </c>
    </row>
    <row r="3382" spans="1:13" x14ac:dyDescent="0.25">
      <c r="A3382" t="s">
        <v>2397</v>
      </c>
      <c r="B3382" t="s">
        <v>99</v>
      </c>
      <c r="C3382" t="s">
        <v>174</v>
      </c>
      <c r="D3382" t="s">
        <v>46</v>
      </c>
      <c r="E3382">
        <v>57</v>
      </c>
      <c r="F3382">
        <v>0.16</v>
      </c>
      <c r="G3382">
        <v>125</v>
      </c>
      <c r="H3382" s="1">
        <v>44762</v>
      </c>
      <c r="I3382">
        <v>2022</v>
      </c>
      <c r="J3382">
        <v>7</v>
      </c>
      <c r="K3382" t="s">
        <v>36</v>
      </c>
      <c r="L3382">
        <v>0</v>
      </c>
      <c r="M3382">
        <v>1</v>
      </c>
    </row>
    <row r="3383" spans="1:13" x14ac:dyDescent="0.25">
      <c r="A3383" t="s">
        <v>104</v>
      </c>
      <c r="B3383" t="s">
        <v>13</v>
      </c>
      <c r="C3383" t="s">
        <v>29</v>
      </c>
      <c r="D3383" t="s">
        <v>22</v>
      </c>
      <c r="E3383">
        <v>30</v>
      </c>
      <c r="F3383">
        <v>0.2</v>
      </c>
      <c r="G3383">
        <v>51</v>
      </c>
      <c r="H3383" s="1">
        <v>44762</v>
      </c>
      <c r="I3383">
        <v>2022</v>
      </c>
      <c r="J3383">
        <v>7</v>
      </c>
      <c r="K3383" t="s">
        <v>30</v>
      </c>
      <c r="L3383">
        <v>0</v>
      </c>
      <c r="M3383">
        <v>1</v>
      </c>
    </row>
    <row r="3384" spans="1:13" x14ac:dyDescent="0.25">
      <c r="A3384" t="s">
        <v>2398</v>
      </c>
      <c r="B3384" t="s">
        <v>32</v>
      </c>
      <c r="C3384" t="s">
        <v>14</v>
      </c>
      <c r="D3384" t="s">
        <v>55</v>
      </c>
      <c r="E3384">
        <v>23</v>
      </c>
      <c r="F3384" t="s">
        <v>21</v>
      </c>
      <c r="G3384">
        <v>159</v>
      </c>
      <c r="H3384" s="1">
        <v>44762</v>
      </c>
      <c r="I3384">
        <v>2022</v>
      </c>
      <c r="J3384">
        <v>7</v>
      </c>
      <c r="K3384" t="s">
        <v>36</v>
      </c>
      <c r="L3384" t="s">
        <v>21</v>
      </c>
      <c r="M3384">
        <v>1</v>
      </c>
    </row>
    <row r="3385" spans="1:13" x14ac:dyDescent="0.25">
      <c r="A3385" t="s">
        <v>2399</v>
      </c>
      <c r="B3385" t="s">
        <v>99</v>
      </c>
      <c r="C3385" t="s">
        <v>174</v>
      </c>
      <c r="D3385" t="s">
        <v>33</v>
      </c>
      <c r="E3385">
        <v>15</v>
      </c>
      <c r="F3385">
        <v>0.09</v>
      </c>
      <c r="G3385">
        <v>58</v>
      </c>
      <c r="H3385" s="1">
        <v>44762</v>
      </c>
      <c r="I3385">
        <v>2022</v>
      </c>
      <c r="J3385">
        <v>7</v>
      </c>
      <c r="K3385" t="s">
        <v>30</v>
      </c>
      <c r="L3385">
        <v>0</v>
      </c>
      <c r="M3385">
        <v>1</v>
      </c>
    </row>
    <row r="3386" spans="1:13" x14ac:dyDescent="0.25">
      <c r="A3386" t="s">
        <v>2400</v>
      </c>
      <c r="B3386" t="s">
        <v>40</v>
      </c>
      <c r="C3386" t="s">
        <v>14</v>
      </c>
      <c r="D3386" t="s">
        <v>49</v>
      </c>
      <c r="E3386">
        <v>13</v>
      </c>
      <c r="F3386" t="s">
        <v>21</v>
      </c>
      <c r="G3386">
        <v>1</v>
      </c>
      <c r="H3386" s="1">
        <v>44762</v>
      </c>
      <c r="I3386">
        <v>2022</v>
      </c>
      <c r="J3386">
        <v>7</v>
      </c>
      <c r="K3386" t="s">
        <v>16</v>
      </c>
      <c r="L3386" t="s">
        <v>21</v>
      </c>
      <c r="M3386">
        <v>1</v>
      </c>
    </row>
    <row r="3387" spans="1:13" x14ac:dyDescent="0.25">
      <c r="A3387" t="s">
        <v>1014</v>
      </c>
      <c r="B3387" t="s">
        <v>35</v>
      </c>
      <c r="C3387" t="s">
        <v>14</v>
      </c>
      <c r="D3387" t="s">
        <v>15</v>
      </c>
      <c r="E3387">
        <v>1000</v>
      </c>
      <c r="F3387" t="s">
        <v>21</v>
      </c>
      <c r="G3387">
        <v>2000</v>
      </c>
      <c r="H3387" s="1">
        <v>44761</v>
      </c>
      <c r="I3387">
        <v>2022</v>
      </c>
      <c r="J3387">
        <v>7</v>
      </c>
      <c r="K3387" t="s">
        <v>26</v>
      </c>
      <c r="L3387" t="s">
        <v>21</v>
      </c>
      <c r="M3387">
        <v>1</v>
      </c>
    </row>
    <row r="3388" spans="1:13" x14ac:dyDescent="0.25">
      <c r="A3388" t="s">
        <v>1088</v>
      </c>
      <c r="B3388" t="s">
        <v>35</v>
      </c>
      <c r="C3388" t="s">
        <v>14</v>
      </c>
      <c r="D3388" t="s">
        <v>347</v>
      </c>
      <c r="E3388">
        <v>450</v>
      </c>
      <c r="F3388">
        <v>0.31</v>
      </c>
      <c r="G3388">
        <v>856</v>
      </c>
      <c r="H3388" s="1">
        <v>44761</v>
      </c>
      <c r="I3388">
        <v>2022</v>
      </c>
      <c r="J3388">
        <v>7</v>
      </c>
      <c r="K3388" t="s">
        <v>36</v>
      </c>
      <c r="L3388">
        <v>0</v>
      </c>
      <c r="M3388">
        <v>1</v>
      </c>
    </row>
    <row r="3389" spans="1:13" x14ac:dyDescent="0.25">
      <c r="A3389" t="s">
        <v>2401</v>
      </c>
      <c r="B3389" t="s">
        <v>77</v>
      </c>
      <c r="C3389" t="s">
        <v>14</v>
      </c>
      <c r="D3389" t="s">
        <v>111</v>
      </c>
      <c r="E3389">
        <v>38</v>
      </c>
      <c r="F3389" t="s">
        <v>21</v>
      </c>
      <c r="G3389">
        <v>323</v>
      </c>
      <c r="H3389" s="1">
        <v>44761</v>
      </c>
      <c r="I3389">
        <v>2022</v>
      </c>
      <c r="J3389">
        <v>7</v>
      </c>
      <c r="K3389" t="s">
        <v>36</v>
      </c>
      <c r="L3389" t="s">
        <v>21</v>
      </c>
      <c r="M3389">
        <v>1</v>
      </c>
    </row>
    <row r="3390" spans="1:13" x14ac:dyDescent="0.25">
      <c r="A3390" t="s">
        <v>2402</v>
      </c>
      <c r="B3390" t="s">
        <v>24</v>
      </c>
      <c r="C3390" t="s">
        <v>83</v>
      </c>
      <c r="D3390" t="s">
        <v>22</v>
      </c>
      <c r="E3390">
        <v>28</v>
      </c>
      <c r="F3390" t="s">
        <v>21</v>
      </c>
      <c r="G3390">
        <v>766</v>
      </c>
      <c r="H3390" s="1">
        <v>44761</v>
      </c>
      <c r="I3390">
        <v>2022</v>
      </c>
      <c r="J3390">
        <v>7</v>
      </c>
      <c r="K3390" t="s">
        <v>36</v>
      </c>
      <c r="L3390" t="s">
        <v>21</v>
      </c>
      <c r="M3390">
        <v>1</v>
      </c>
    </row>
    <row r="3391" spans="1:13" x14ac:dyDescent="0.25">
      <c r="A3391" t="s">
        <v>2403</v>
      </c>
      <c r="B3391" t="s">
        <v>40</v>
      </c>
      <c r="C3391" t="s">
        <v>80</v>
      </c>
      <c r="D3391" t="s">
        <v>22</v>
      </c>
      <c r="E3391">
        <v>28</v>
      </c>
      <c r="F3391">
        <v>0.2</v>
      </c>
      <c r="G3391" t="s">
        <v>21</v>
      </c>
      <c r="H3391" s="1">
        <v>44761</v>
      </c>
      <c r="I3391">
        <v>2022</v>
      </c>
      <c r="J3391">
        <v>7</v>
      </c>
      <c r="K3391" t="s">
        <v>22</v>
      </c>
      <c r="L3391">
        <v>0</v>
      </c>
      <c r="M3391">
        <v>1</v>
      </c>
    </row>
    <row r="3392" spans="1:13" x14ac:dyDescent="0.25">
      <c r="A3392" t="s">
        <v>2404</v>
      </c>
      <c r="B3392" t="s">
        <v>35</v>
      </c>
      <c r="C3392" t="s">
        <v>14</v>
      </c>
      <c r="D3392" t="s">
        <v>55</v>
      </c>
      <c r="E3392" t="s">
        <v>21</v>
      </c>
      <c r="F3392">
        <v>0.13</v>
      </c>
      <c r="G3392">
        <v>570</v>
      </c>
      <c r="H3392" s="1">
        <v>44761</v>
      </c>
      <c r="I3392">
        <v>2022</v>
      </c>
      <c r="J3392">
        <v>7</v>
      </c>
      <c r="K3392" t="s">
        <v>36</v>
      </c>
      <c r="L3392">
        <v>0</v>
      </c>
      <c r="M3392">
        <v>1</v>
      </c>
    </row>
    <row r="3393" spans="1:13" x14ac:dyDescent="0.25">
      <c r="A3393" t="s">
        <v>2405</v>
      </c>
      <c r="B3393" t="s">
        <v>35</v>
      </c>
      <c r="C3393" t="s">
        <v>14</v>
      </c>
      <c r="D3393" t="s">
        <v>46</v>
      </c>
      <c r="E3393">
        <v>94</v>
      </c>
      <c r="F3393" t="s">
        <v>21</v>
      </c>
      <c r="G3393">
        <v>200</v>
      </c>
      <c r="H3393" s="1">
        <v>44760</v>
      </c>
      <c r="I3393">
        <v>2022</v>
      </c>
      <c r="J3393">
        <v>7</v>
      </c>
      <c r="K3393" t="s">
        <v>36</v>
      </c>
      <c r="L3393" t="s">
        <v>21</v>
      </c>
      <c r="M3393">
        <v>1</v>
      </c>
    </row>
    <row r="3394" spans="1:13" x14ac:dyDescent="0.25">
      <c r="A3394" t="s">
        <v>224</v>
      </c>
      <c r="B3394" t="s">
        <v>52</v>
      </c>
      <c r="C3394" t="s">
        <v>14</v>
      </c>
      <c r="D3394" t="s">
        <v>22</v>
      </c>
      <c r="E3394">
        <v>68</v>
      </c>
      <c r="F3394">
        <v>7.0000000000000007E-2</v>
      </c>
      <c r="G3394">
        <v>423</v>
      </c>
      <c r="H3394" s="1">
        <v>44760</v>
      </c>
      <c r="I3394">
        <v>2022</v>
      </c>
      <c r="J3394">
        <v>7</v>
      </c>
      <c r="K3394" t="s">
        <v>36</v>
      </c>
      <c r="L3394">
        <v>0</v>
      </c>
      <c r="M3394">
        <v>1</v>
      </c>
    </row>
    <row r="3395" spans="1:13" x14ac:dyDescent="0.25">
      <c r="A3395" t="s">
        <v>307</v>
      </c>
      <c r="B3395" t="s">
        <v>54</v>
      </c>
      <c r="C3395" t="s">
        <v>14</v>
      </c>
      <c r="D3395" t="s">
        <v>33</v>
      </c>
      <c r="E3395">
        <v>30</v>
      </c>
      <c r="F3395">
        <v>0.1</v>
      </c>
      <c r="G3395">
        <v>245</v>
      </c>
      <c r="H3395" s="1">
        <v>44760</v>
      </c>
      <c r="I3395">
        <v>2022</v>
      </c>
      <c r="J3395">
        <v>7</v>
      </c>
      <c r="K3395" t="s">
        <v>36</v>
      </c>
      <c r="L3395">
        <v>0</v>
      </c>
      <c r="M3395">
        <v>1</v>
      </c>
    </row>
    <row r="3396" spans="1:13" x14ac:dyDescent="0.25">
      <c r="A3396" t="s">
        <v>1999</v>
      </c>
      <c r="B3396" t="s">
        <v>35</v>
      </c>
      <c r="C3396" t="s">
        <v>14</v>
      </c>
      <c r="D3396" t="s">
        <v>33</v>
      </c>
      <c r="E3396" t="s">
        <v>21</v>
      </c>
      <c r="F3396" t="s">
        <v>21</v>
      </c>
      <c r="G3396">
        <v>323</v>
      </c>
      <c r="H3396" s="1">
        <v>44760</v>
      </c>
      <c r="I3396">
        <v>2022</v>
      </c>
      <c r="J3396">
        <v>7</v>
      </c>
      <c r="K3396" t="s">
        <v>36</v>
      </c>
      <c r="L3396" t="s">
        <v>21</v>
      </c>
      <c r="M3396">
        <v>0</v>
      </c>
    </row>
    <row r="3397" spans="1:13" x14ac:dyDescent="0.25">
      <c r="A3397" t="s">
        <v>1954</v>
      </c>
      <c r="B3397" t="s">
        <v>95</v>
      </c>
      <c r="C3397" t="s">
        <v>14</v>
      </c>
      <c r="D3397" t="s">
        <v>20</v>
      </c>
      <c r="E3397" t="s">
        <v>21</v>
      </c>
      <c r="F3397">
        <v>0.25</v>
      </c>
      <c r="G3397">
        <v>107</v>
      </c>
      <c r="H3397" s="1">
        <v>44760</v>
      </c>
      <c r="I3397">
        <v>2022</v>
      </c>
      <c r="J3397">
        <v>7</v>
      </c>
      <c r="K3397" t="s">
        <v>36</v>
      </c>
      <c r="L3397">
        <v>0</v>
      </c>
      <c r="M3397">
        <v>1</v>
      </c>
    </row>
    <row r="3398" spans="1:13" x14ac:dyDescent="0.25">
      <c r="A3398" t="s">
        <v>1812</v>
      </c>
      <c r="B3398" t="s">
        <v>207</v>
      </c>
      <c r="C3398" t="s">
        <v>14</v>
      </c>
      <c r="D3398" t="s">
        <v>55</v>
      </c>
      <c r="E3398" t="s">
        <v>21</v>
      </c>
      <c r="F3398">
        <v>0.35</v>
      </c>
      <c r="G3398">
        <v>269</v>
      </c>
      <c r="H3398" s="1">
        <v>44760</v>
      </c>
      <c r="I3398">
        <v>2022</v>
      </c>
      <c r="J3398">
        <v>7</v>
      </c>
      <c r="K3398" t="s">
        <v>36</v>
      </c>
      <c r="L3398">
        <v>0</v>
      </c>
      <c r="M3398">
        <v>1</v>
      </c>
    </row>
    <row r="3399" spans="1:13" x14ac:dyDescent="0.25">
      <c r="A3399" t="s">
        <v>17</v>
      </c>
      <c r="B3399" t="s">
        <v>18</v>
      </c>
      <c r="C3399" t="s">
        <v>14</v>
      </c>
      <c r="D3399" t="s">
        <v>20</v>
      </c>
      <c r="E3399" t="s">
        <v>21</v>
      </c>
      <c r="F3399" t="s">
        <v>21</v>
      </c>
      <c r="G3399" t="s">
        <v>21</v>
      </c>
      <c r="H3399" s="1">
        <v>44760</v>
      </c>
      <c r="I3399">
        <v>2022</v>
      </c>
      <c r="J3399">
        <v>7</v>
      </c>
      <c r="K3399" t="s">
        <v>22</v>
      </c>
      <c r="L3399" t="s">
        <v>21</v>
      </c>
      <c r="M3399">
        <v>0</v>
      </c>
    </row>
    <row r="3400" spans="1:13" x14ac:dyDescent="0.25">
      <c r="A3400" t="s">
        <v>210</v>
      </c>
      <c r="B3400" t="s">
        <v>18</v>
      </c>
      <c r="C3400" t="s">
        <v>14</v>
      </c>
      <c r="D3400" t="s">
        <v>15</v>
      </c>
      <c r="E3400" t="s">
        <v>21</v>
      </c>
      <c r="F3400">
        <v>0.06</v>
      </c>
      <c r="G3400">
        <v>450</v>
      </c>
      <c r="H3400" s="1">
        <v>44760</v>
      </c>
      <c r="I3400">
        <v>2022</v>
      </c>
      <c r="J3400">
        <v>7</v>
      </c>
      <c r="K3400" t="s">
        <v>36</v>
      </c>
      <c r="L3400">
        <v>0</v>
      </c>
      <c r="M3400">
        <v>1</v>
      </c>
    </row>
    <row r="3401" spans="1:13" x14ac:dyDescent="0.25">
      <c r="A3401" t="s">
        <v>2406</v>
      </c>
      <c r="B3401" t="s">
        <v>77</v>
      </c>
      <c r="C3401" t="s">
        <v>48</v>
      </c>
      <c r="D3401" t="s">
        <v>68</v>
      </c>
      <c r="E3401">
        <v>100</v>
      </c>
      <c r="F3401">
        <v>0.5</v>
      </c>
      <c r="G3401">
        <v>31</v>
      </c>
      <c r="H3401" s="1">
        <v>44757</v>
      </c>
      <c r="I3401">
        <v>2022</v>
      </c>
      <c r="J3401">
        <v>7</v>
      </c>
      <c r="K3401" t="s">
        <v>30</v>
      </c>
      <c r="L3401">
        <v>0</v>
      </c>
      <c r="M3401">
        <v>1</v>
      </c>
    </row>
    <row r="3402" spans="1:13" x14ac:dyDescent="0.25">
      <c r="A3402" t="s">
        <v>1166</v>
      </c>
      <c r="B3402" t="s">
        <v>117</v>
      </c>
      <c r="C3402" t="s">
        <v>14</v>
      </c>
      <c r="D3402" t="s">
        <v>22</v>
      </c>
      <c r="E3402">
        <v>63</v>
      </c>
      <c r="F3402">
        <v>0.05</v>
      </c>
      <c r="G3402">
        <v>817</v>
      </c>
      <c r="H3402" s="1">
        <v>44757</v>
      </c>
      <c r="I3402">
        <v>2022</v>
      </c>
      <c r="J3402">
        <v>7</v>
      </c>
      <c r="K3402" t="s">
        <v>36</v>
      </c>
      <c r="L3402">
        <v>0</v>
      </c>
      <c r="M3402">
        <v>1</v>
      </c>
    </row>
    <row r="3403" spans="1:13" x14ac:dyDescent="0.25">
      <c r="A3403" t="s">
        <v>2407</v>
      </c>
      <c r="B3403" t="s">
        <v>24</v>
      </c>
      <c r="C3403" t="s">
        <v>80</v>
      </c>
      <c r="D3403" t="s">
        <v>22</v>
      </c>
      <c r="E3403">
        <v>24</v>
      </c>
      <c r="F3403">
        <v>0.2</v>
      </c>
      <c r="G3403">
        <v>265</v>
      </c>
      <c r="H3403" s="1">
        <v>44757</v>
      </c>
      <c r="I3403">
        <v>2022</v>
      </c>
      <c r="J3403">
        <v>7</v>
      </c>
      <c r="K3403" t="s">
        <v>36</v>
      </c>
      <c r="L3403">
        <v>0</v>
      </c>
      <c r="M3403">
        <v>1</v>
      </c>
    </row>
    <row r="3404" spans="1:13" x14ac:dyDescent="0.25">
      <c r="A3404" t="s">
        <v>2408</v>
      </c>
      <c r="B3404" t="s">
        <v>54</v>
      </c>
      <c r="C3404" t="s">
        <v>14</v>
      </c>
      <c r="D3404" t="s">
        <v>68</v>
      </c>
      <c r="E3404">
        <v>23</v>
      </c>
      <c r="F3404" t="s">
        <v>21</v>
      </c>
      <c r="G3404">
        <v>27</v>
      </c>
      <c r="H3404" s="1">
        <v>44757</v>
      </c>
      <c r="I3404">
        <v>2022</v>
      </c>
      <c r="J3404">
        <v>7</v>
      </c>
      <c r="K3404" t="s">
        <v>30</v>
      </c>
      <c r="L3404" t="s">
        <v>21</v>
      </c>
      <c r="M3404">
        <v>1</v>
      </c>
    </row>
    <row r="3405" spans="1:13" x14ac:dyDescent="0.25">
      <c r="A3405" t="s">
        <v>1249</v>
      </c>
      <c r="B3405" t="s">
        <v>18</v>
      </c>
      <c r="C3405" t="s">
        <v>14</v>
      </c>
      <c r="D3405" t="s">
        <v>46</v>
      </c>
      <c r="E3405" t="s">
        <v>21</v>
      </c>
      <c r="F3405">
        <v>0.17</v>
      </c>
      <c r="G3405">
        <v>40</v>
      </c>
      <c r="H3405" s="1">
        <v>44757</v>
      </c>
      <c r="I3405">
        <v>2022</v>
      </c>
      <c r="J3405">
        <v>7</v>
      </c>
      <c r="K3405" t="s">
        <v>30</v>
      </c>
      <c r="L3405">
        <v>0</v>
      </c>
      <c r="M3405">
        <v>1</v>
      </c>
    </row>
    <row r="3406" spans="1:13" x14ac:dyDescent="0.25">
      <c r="A3406" t="s">
        <v>2409</v>
      </c>
      <c r="B3406" t="s">
        <v>77</v>
      </c>
      <c r="C3406" t="s">
        <v>80</v>
      </c>
      <c r="D3406" t="s">
        <v>46</v>
      </c>
      <c r="E3406">
        <v>85</v>
      </c>
      <c r="F3406">
        <v>0.17</v>
      </c>
      <c r="G3406">
        <v>202</v>
      </c>
      <c r="H3406" s="1">
        <v>44756</v>
      </c>
      <c r="I3406">
        <v>2022</v>
      </c>
      <c r="J3406">
        <v>7</v>
      </c>
      <c r="K3406" t="s">
        <v>36</v>
      </c>
      <c r="L3406">
        <v>0</v>
      </c>
      <c r="M3406">
        <v>1</v>
      </c>
    </row>
    <row r="3407" spans="1:13" x14ac:dyDescent="0.25">
      <c r="A3407" t="s">
        <v>2410</v>
      </c>
      <c r="B3407" t="s">
        <v>40</v>
      </c>
      <c r="C3407" t="s">
        <v>14</v>
      </c>
      <c r="D3407" t="s">
        <v>46</v>
      </c>
      <c r="E3407">
        <v>54</v>
      </c>
      <c r="F3407">
        <v>0.15</v>
      </c>
      <c r="G3407">
        <v>115</v>
      </c>
      <c r="H3407" s="1">
        <v>44756</v>
      </c>
      <c r="I3407">
        <v>2022</v>
      </c>
      <c r="J3407">
        <v>7</v>
      </c>
      <c r="K3407" t="s">
        <v>36</v>
      </c>
      <c r="L3407">
        <v>0</v>
      </c>
      <c r="M3407">
        <v>1</v>
      </c>
    </row>
    <row r="3408" spans="1:13" x14ac:dyDescent="0.25">
      <c r="A3408" t="s">
        <v>2411</v>
      </c>
      <c r="B3408" t="s">
        <v>52</v>
      </c>
      <c r="C3408" t="s">
        <v>14</v>
      </c>
      <c r="D3408" t="s">
        <v>33</v>
      </c>
      <c r="E3408">
        <v>42</v>
      </c>
      <c r="F3408">
        <v>0.25</v>
      </c>
      <c r="G3408">
        <v>7</v>
      </c>
      <c r="H3408" s="1">
        <v>44756</v>
      </c>
      <c r="I3408">
        <v>2022</v>
      </c>
      <c r="J3408">
        <v>7</v>
      </c>
      <c r="K3408" t="s">
        <v>16</v>
      </c>
      <c r="L3408">
        <v>0</v>
      </c>
      <c r="M3408">
        <v>1</v>
      </c>
    </row>
    <row r="3409" spans="1:13" x14ac:dyDescent="0.25">
      <c r="A3409" t="s">
        <v>2412</v>
      </c>
      <c r="B3409" t="s">
        <v>91</v>
      </c>
      <c r="C3409" t="s">
        <v>14</v>
      </c>
      <c r="D3409" t="s">
        <v>111</v>
      </c>
      <c r="E3409">
        <v>39</v>
      </c>
      <c r="F3409">
        <v>7.0000000000000007E-2</v>
      </c>
      <c r="G3409">
        <v>240</v>
      </c>
      <c r="H3409" s="1">
        <v>44756</v>
      </c>
      <c r="I3409">
        <v>2022</v>
      </c>
      <c r="J3409">
        <v>7</v>
      </c>
      <c r="K3409" t="s">
        <v>36</v>
      </c>
      <c r="L3409">
        <v>0</v>
      </c>
      <c r="M3409">
        <v>1</v>
      </c>
    </row>
    <row r="3410" spans="1:13" x14ac:dyDescent="0.25">
      <c r="A3410" t="s">
        <v>2413</v>
      </c>
      <c r="B3410" t="s">
        <v>35</v>
      </c>
      <c r="C3410" t="s">
        <v>14</v>
      </c>
      <c r="D3410" t="s">
        <v>111</v>
      </c>
      <c r="E3410" t="s">
        <v>21</v>
      </c>
      <c r="F3410" t="s">
        <v>21</v>
      </c>
      <c r="G3410">
        <v>560</v>
      </c>
      <c r="H3410" s="1">
        <v>44756</v>
      </c>
      <c r="I3410">
        <v>2022</v>
      </c>
      <c r="J3410">
        <v>7</v>
      </c>
      <c r="K3410" t="s">
        <v>36</v>
      </c>
      <c r="L3410" t="s">
        <v>21</v>
      </c>
      <c r="M3410">
        <v>0</v>
      </c>
    </row>
    <row r="3411" spans="1:13" x14ac:dyDescent="0.25">
      <c r="A3411" t="s">
        <v>2414</v>
      </c>
      <c r="B3411" t="s">
        <v>533</v>
      </c>
      <c r="C3411" t="s">
        <v>83</v>
      </c>
      <c r="D3411" t="s">
        <v>33</v>
      </c>
      <c r="E3411" t="s">
        <v>21</v>
      </c>
      <c r="F3411" t="s">
        <v>21</v>
      </c>
      <c r="G3411">
        <v>45</v>
      </c>
      <c r="H3411" s="1">
        <v>44756</v>
      </c>
      <c r="I3411">
        <v>2022</v>
      </c>
      <c r="J3411">
        <v>7</v>
      </c>
      <c r="K3411" t="s">
        <v>30</v>
      </c>
      <c r="L3411" t="s">
        <v>21</v>
      </c>
      <c r="M3411">
        <v>0</v>
      </c>
    </row>
    <row r="3412" spans="1:13" x14ac:dyDescent="0.25">
      <c r="A3412" t="s">
        <v>1079</v>
      </c>
      <c r="B3412" t="s">
        <v>52</v>
      </c>
      <c r="C3412" t="s">
        <v>14</v>
      </c>
      <c r="D3412" t="s">
        <v>46</v>
      </c>
      <c r="E3412" t="s">
        <v>21</v>
      </c>
      <c r="F3412">
        <v>0.2</v>
      </c>
      <c r="G3412">
        <v>427</v>
      </c>
      <c r="H3412" s="1">
        <v>44756</v>
      </c>
      <c r="I3412">
        <v>2022</v>
      </c>
      <c r="J3412">
        <v>7</v>
      </c>
      <c r="K3412" t="s">
        <v>36</v>
      </c>
      <c r="L3412">
        <v>0</v>
      </c>
      <c r="M3412">
        <v>1</v>
      </c>
    </row>
    <row r="3413" spans="1:13" x14ac:dyDescent="0.25">
      <c r="A3413" t="s">
        <v>2415</v>
      </c>
      <c r="B3413" t="s">
        <v>77</v>
      </c>
      <c r="C3413" t="s">
        <v>2416</v>
      </c>
      <c r="D3413" t="s">
        <v>68</v>
      </c>
      <c r="E3413">
        <v>300</v>
      </c>
      <c r="F3413">
        <v>0.15</v>
      </c>
      <c r="G3413">
        <v>292</v>
      </c>
      <c r="H3413" s="1">
        <v>44755</v>
      </c>
      <c r="I3413">
        <v>2022</v>
      </c>
      <c r="J3413">
        <v>7</v>
      </c>
      <c r="K3413" t="s">
        <v>36</v>
      </c>
      <c r="L3413">
        <v>0</v>
      </c>
      <c r="M3413">
        <v>1</v>
      </c>
    </row>
    <row r="3414" spans="1:13" x14ac:dyDescent="0.25">
      <c r="A3414" t="s">
        <v>2417</v>
      </c>
      <c r="B3414" t="s">
        <v>207</v>
      </c>
      <c r="C3414" t="s">
        <v>14</v>
      </c>
      <c r="D3414" t="s">
        <v>111</v>
      </c>
      <c r="E3414">
        <v>262</v>
      </c>
      <c r="F3414">
        <v>0.35</v>
      </c>
      <c r="G3414">
        <v>450</v>
      </c>
      <c r="H3414" s="1">
        <v>44755</v>
      </c>
      <c r="I3414">
        <v>2022</v>
      </c>
      <c r="J3414">
        <v>7</v>
      </c>
      <c r="K3414" t="s">
        <v>36</v>
      </c>
      <c r="L3414">
        <v>0</v>
      </c>
      <c r="M3414">
        <v>1</v>
      </c>
    </row>
    <row r="3415" spans="1:13" x14ac:dyDescent="0.25">
      <c r="A3415" t="s">
        <v>808</v>
      </c>
      <c r="B3415" t="s">
        <v>117</v>
      </c>
      <c r="C3415" t="s">
        <v>14</v>
      </c>
      <c r="D3415" t="s">
        <v>46</v>
      </c>
      <c r="E3415">
        <v>120</v>
      </c>
      <c r="F3415">
        <v>0.4</v>
      </c>
      <c r="G3415">
        <v>336</v>
      </c>
      <c r="H3415" s="1">
        <v>44755</v>
      </c>
      <c r="I3415">
        <v>2022</v>
      </c>
      <c r="J3415">
        <v>7</v>
      </c>
      <c r="K3415" t="s">
        <v>36</v>
      </c>
      <c r="L3415">
        <v>0</v>
      </c>
      <c r="M3415">
        <v>1</v>
      </c>
    </row>
    <row r="3416" spans="1:13" x14ac:dyDescent="0.25">
      <c r="A3416" t="s">
        <v>2418</v>
      </c>
      <c r="B3416" t="s">
        <v>114</v>
      </c>
      <c r="C3416" t="s">
        <v>83</v>
      </c>
      <c r="D3416" t="s">
        <v>33</v>
      </c>
      <c r="E3416">
        <v>100</v>
      </c>
      <c r="F3416">
        <v>0.3</v>
      </c>
      <c r="G3416">
        <v>89</v>
      </c>
      <c r="H3416" s="1">
        <v>44755</v>
      </c>
      <c r="I3416">
        <v>2022</v>
      </c>
      <c r="J3416">
        <v>7</v>
      </c>
      <c r="K3416" t="s">
        <v>30</v>
      </c>
      <c r="L3416">
        <v>0</v>
      </c>
      <c r="M3416">
        <v>1</v>
      </c>
    </row>
    <row r="3417" spans="1:13" x14ac:dyDescent="0.25">
      <c r="A3417" t="s">
        <v>830</v>
      </c>
      <c r="B3417" t="s">
        <v>95</v>
      </c>
      <c r="C3417" t="s">
        <v>14</v>
      </c>
      <c r="D3417" t="s">
        <v>46</v>
      </c>
      <c r="E3417">
        <v>100</v>
      </c>
      <c r="F3417">
        <v>0.2</v>
      </c>
      <c r="G3417">
        <v>64</v>
      </c>
      <c r="H3417" s="1">
        <v>44755</v>
      </c>
      <c r="I3417">
        <v>2022</v>
      </c>
      <c r="J3417">
        <v>7</v>
      </c>
      <c r="K3417" t="s">
        <v>30</v>
      </c>
      <c r="L3417">
        <v>0</v>
      </c>
      <c r="M3417">
        <v>1</v>
      </c>
    </row>
    <row r="3418" spans="1:13" x14ac:dyDescent="0.25">
      <c r="A3418" t="s">
        <v>2419</v>
      </c>
      <c r="B3418" t="s">
        <v>24</v>
      </c>
      <c r="C3418" t="s">
        <v>230</v>
      </c>
      <c r="D3418" t="s">
        <v>22</v>
      </c>
      <c r="E3418">
        <v>70</v>
      </c>
      <c r="F3418">
        <v>0.18</v>
      </c>
      <c r="G3418">
        <v>23</v>
      </c>
      <c r="H3418" s="1">
        <v>44755</v>
      </c>
      <c r="I3418">
        <v>2022</v>
      </c>
      <c r="J3418">
        <v>7</v>
      </c>
      <c r="K3418" t="s">
        <v>30</v>
      </c>
      <c r="L3418">
        <v>0</v>
      </c>
      <c r="M3418">
        <v>1</v>
      </c>
    </row>
    <row r="3419" spans="1:13" x14ac:dyDescent="0.25">
      <c r="A3419" t="s">
        <v>1890</v>
      </c>
      <c r="B3419" t="s">
        <v>18</v>
      </c>
      <c r="C3419" t="s">
        <v>14</v>
      </c>
      <c r="D3419" t="s">
        <v>46</v>
      </c>
      <c r="E3419">
        <v>12</v>
      </c>
      <c r="F3419" t="s">
        <v>21</v>
      </c>
      <c r="G3419">
        <v>120</v>
      </c>
      <c r="H3419" s="1">
        <v>44755</v>
      </c>
      <c r="I3419">
        <v>2022</v>
      </c>
      <c r="J3419">
        <v>7</v>
      </c>
      <c r="K3419" t="s">
        <v>36</v>
      </c>
      <c r="L3419" t="s">
        <v>21</v>
      </c>
      <c r="M3419">
        <v>1</v>
      </c>
    </row>
    <row r="3420" spans="1:13" x14ac:dyDescent="0.25">
      <c r="A3420" t="s">
        <v>1463</v>
      </c>
      <c r="B3420" t="s">
        <v>66</v>
      </c>
      <c r="C3420" t="s">
        <v>14</v>
      </c>
      <c r="D3420" t="s">
        <v>55</v>
      </c>
      <c r="E3420">
        <v>7</v>
      </c>
      <c r="F3420" t="s">
        <v>21</v>
      </c>
      <c r="G3420">
        <v>2100</v>
      </c>
      <c r="H3420" s="1">
        <v>44755</v>
      </c>
      <c r="I3420">
        <v>2022</v>
      </c>
      <c r="J3420">
        <v>7</v>
      </c>
      <c r="K3420" t="s">
        <v>26</v>
      </c>
      <c r="L3420" t="s">
        <v>21</v>
      </c>
      <c r="M3420">
        <v>1</v>
      </c>
    </row>
    <row r="3421" spans="1:13" x14ac:dyDescent="0.25">
      <c r="A3421" t="s">
        <v>470</v>
      </c>
      <c r="B3421" t="s">
        <v>66</v>
      </c>
      <c r="C3421" t="s">
        <v>80</v>
      </c>
      <c r="D3421" t="s">
        <v>15</v>
      </c>
      <c r="E3421" t="s">
        <v>21</v>
      </c>
      <c r="F3421">
        <v>0.3</v>
      </c>
      <c r="G3421">
        <v>629</v>
      </c>
      <c r="H3421" s="1">
        <v>44755</v>
      </c>
      <c r="I3421">
        <v>2022</v>
      </c>
      <c r="J3421">
        <v>7</v>
      </c>
      <c r="K3421" t="s">
        <v>36</v>
      </c>
      <c r="L3421">
        <v>0</v>
      </c>
      <c r="M3421">
        <v>1</v>
      </c>
    </row>
    <row r="3422" spans="1:13" x14ac:dyDescent="0.25">
      <c r="A3422" t="s">
        <v>2420</v>
      </c>
      <c r="B3422" t="s">
        <v>77</v>
      </c>
      <c r="C3422" t="s">
        <v>14</v>
      </c>
      <c r="D3422" t="s">
        <v>46</v>
      </c>
      <c r="E3422" t="s">
        <v>21</v>
      </c>
      <c r="F3422" t="s">
        <v>21</v>
      </c>
      <c r="G3422">
        <v>53</v>
      </c>
      <c r="H3422" s="1">
        <v>44755</v>
      </c>
      <c r="I3422">
        <v>2022</v>
      </c>
      <c r="J3422">
        <v>7</v>
      </c>
      <c r="K3422" t="s">
        <v>30</v>
      </c>
      <c r="L3422" t="s">
        <v>21</v>
      </c>
      <c r="M3422">
        <v>0</v>
      </c>
    </row>
    <row r="3423" spans="1:13" x14ac:dyDescent="0.25">
      <c r="A3423" t="s">
        <v>2421</v>
      </c>
      <c r="B3423" t="s">
        <v>13</v>
      </c>
      <c r="C3423" t="s">
        <v>14</v>
      </c>
      <c r="D3423" t="s">
        <v>55</v>
      </c>
      <c r="E3423" t="s">
        <v>21</v>
      </c>
      <c r="F3423">
        <v>0.15</v>
      </c>
      <c r="G3423">
        <v>241</v>
      </c>
      <c r="H3423" s="1">
        <v>44755</v>
      </c>
      <c r="I3423">
        <v>2022</v>
      </c>
      <c r="J3423">
        <v>7</v>
      </c>
      <c r="K3423" t="s">
        <v>36</v>
      </c>
      <c r="L3423">
        <v>0</v>
      </c>
      <c r="M3423">
        <v>1</v>
      </c>
    </row>
    <row r="3424" spans="1:13" x14ac:dyDescent="0.25">
      <c r="A3424" t="s">
        <v>766</v>
      </c>
      <c r="B3424" t="s">
        <v>95</v>
      </c>
      <c r="C3424" t="s">
        <v>14</v>
      </c>
      <c r="D3424" t="s">
        <v>347</v>
      </c>
      <c r="E3424">
        <v>1500</v>
      </c>
      <c r="F3424">
        <v>0.1</v>
      </c>
      <c r="G3424">
        <v>3400</v>
      </c>
      <c r="H3424" s="1">
        <v>44754</v>
      </c>
      <c r="I3424">
        <v>2022</v>
      </c>
      <c r="J3424">
        <v>7</v>
      </c>
      <c r="K3424" t="s">
        <v>26</v>
      </c>
      <c r="L3424">
        <v>0</v>
      </c>
      <c r="M3424">
        <v>1</v>
      </c>
    </row>
    <row r="3425" spans="1:13" x14ac:dyDescent="0.25">
      <c r="A3425" t="s">
        <v>2422</v>
      </c>
      <c r="B3425" t="s">
        <v>95</v>
      </c>
      <c r="C3425" t="s">
        <v>48</v>
      </c>
      <c r="D3425" t="s">
        <v>33</v>
      </c>
      <c r="E3425">
        <v>150</v>
      </c>
      <c r="F3425" t="s">
        <v>21</v>
      </c>
      <c r="G3425">
        <v>63</v>
      </c>
      <c r="H3425" s="1">
        <v>44754</v>
      </c>
      <c r="I3425">
        <v>2022</v>
      </c>
      <c r="J3425">
        <v>7</v>
      </c>
      <c r="K3425" t="s">
        <v>30</v>
      </c>
      <c r="L3425" t="s">
        <v>21</v>
      </c>
      <c r="M3425">
        <v>1</v>
      </c>
    </row>
    <row r="3426" spans="1:13" x14ac:dyDescent="0.25">
      <c r="A3426" t="s">
        <v>2423</v>
      </c>
      <c r="B3426" t="s">
        <v>35</v>
      </c>
      <c r="C3426" t="s">
        <v>80</v>
      </c>
      <c r="D3426" t="s">
        <v>15</v>
      </c>
      <c r="E3426">
        <v>100</v>
      </c>
      <c r="F3426" t="s">
        <v>21</v>
      </c>
      <c r="G3426">
        <v>1100</v>
      </c>
      <c r="H3426" s="1">
        <v>44754</v>
      </c>
      <c r="I3426">
        <v>2022</v>
      </c>
      <c r="J3426">
        <v>7</v>
      </c>
      <c r="K3426" t="s">
        <v>26</v>
      </c>
      <c r="L3426" t="s">
        <v>21</v>
      </c>
      <c r="M3426">
        <v>1</v>
      </c>
    </row>
    <row r="3427" spans="1:13" x14ac:dyDescent="0.25">
      <c r="A3427" t="s">
        <v>1090</v>
      </c>
      <c r="B3427" t="s">
        <v>54</v>
      </c>
      <c r="C3427" t="s">
        <v>14</v>
      </c>
      <c r="D3427" t="s">
        <v>33</v>
      </c>
      <c r="E3427">
        <v>45</v>
      </c>
      <c r="F3427">
        <v>0.12</v>
      </c>
      <c r="G3427">
        <v>153</v>
      </c>
      <c r="H3427" s="1">
        <v>44754</v>
      </c>
      <c r="I3427">
        <v>2022</v>
      </c>
      <c r="J3427">
        <v>7</v>
      </c>
      <c r="K3427" t="s">
        <v>36</v>
      </c>
      <c r="L3427">
        <v>0</v>
      </c>
      <c r="M3427">
        <v>1</v>
      </c>
    </row>
    <row r="3428" spans="1:13" x14ac:dyDescent="0.25">
      <c r="A3428" t="s">
        <v>2424</v>
      </c>
      <c r="B3428" t="s">
        <v>117</v>
      </c>
      <c r="C3428" t="s">
        <v>708</v>
      </c>
      <c r="D3428" t="s">
        <v>33</v>
      </c>
      <c r="E3428" t="s">
        <v>21</v>
      </c>
      <c r="F3428">
        <v>1</v>
      </c>
      <c r="G3428">
        <v>109</v>
      </c>
      <c r="H3428" s="1">
        <v>44754</v>
      </c>
      <c r="I3428">
        <v>2022</v>
      </c>
      <c r="J3428">
        <v>7</v>
      </c>
      <c r="K3428" t="s">
        <v>36</v>
      </c>
      <c r="L3428">
        <v>1</v>
      </c>
      <c r="M3428">
        <v>1</v>
      </c>
    </row>
    <row r="3429" spans="1:13" x14ac:dyDescent="0.25">
      <c r="A3429" t="s">
        <v>12</v>
      </c>
      <c r="B3429" t="s">
        <v>13</v>
      </c>
      <c r="C3429" t="s">
        <v>14</v>
      </c>
      <c r="D3429" t="s">
        <v>15</v>
      </c>
      <c r="E3429" t="s">
        <v>21</v>
      </c>
      <c r="F3429" t="s">
        <v>21</v>
      </c>
      <c r="G3429">
        <v>1</v>
      </c>
      <c r="H3429" s="1">
        <v>44754</v>
      </c>
      <c r="I3429">
        <v>2022</v>
      </c>
      <c r="J3429">
        <v>7</v>
      </c>
      <c r="K3429" t="s">
        <v>16</v>
      </c>
      <c r="L3429" t="s">
        <v>21</v>
      </c>
      <c r="M3429">
        <v>0</v>
      </c>
    </row>
    <row r="3430" spans="1:13" x14ac:dyDescent="0.25">
      <c r="A3430" t="s">
        <v>2425</v>
      </c>
      <c r="B3430" t="s">
        <v>24</v>
      </c>
      <c r="C3430" t="s">
        <v>14</v>
      </c>
      <c r="D3430" t="s">
        <v>22</v>
      </c>
      <c r="E3430" t="s">
        <v>21</v>
      </c>
      <c r="F3430" t="s">
        <v>21</v>
      </c>
      <c r="G3430">
        <v>61</v>
      </c>
      <c r="H3430" s="1">
        <v>44754</v>
      </c>
      <c r="I3430">
        <v>2022</v>
      </c>
      <c r="J3430">
        <v>7</v>
      </c>
      <c r="K3430" t="s">
        <v>30</v>
      </c>
      <c r="L3430" t="s">
        <v>21</v>
      </c>
      <c r="M3430">
        <v>0</v>
      </c>
    </row>
    <row r="3431" spans="1:13" x14ac:dyDescent="0.25">
      <c r="A3431" t="s">
        <v>780</v>
      </c>
      <c r="B3431" t="s">
        <v>13</v>
      </c>
      <c r="C3431" t="s">
        <v>80</v>
      </c>
      <c r="D3431" t="s">
        <v>55</v>
      </c>
      <c r="E3431">
        <v>242</v>
      </c>
      <c r="F3431">
        <v>0.28999999999999998</v>
      </c>
      <c r="G3431">
        <v>1000</v>
      </c>
      <c r="H3431" s="1">
        <v>44753</v>
      </c>
      <c r="I3431">
        <v>2022</v>
      </c>
      <c r="J3431">
        <v>7</v>
      </c>
      <c r="K3431" t="s">
        <v>26</v>
      </c>
      <c r="L3431">
        <v>0</v>
      </c>
      <c r="M3431">
        <v>1</v>
      </c>
    </row>
    <row r="3432" spans="1:13" x14ac:dyDescent="0.25">
      <c r="A3432" t="s">
        <v>1963</v>
      </c>
      <c r="B3432" t="s">
        <v>35</v>
      </c>
      <c r="C3432" t="s">
        <v>230</v>
      </c>
      <c r="D3432" t="s">
        <v>46</v>
      </c>
      <c r="E3432">
        <v>63</v>
      </c>
      <c r="F3432" t="s">
        <v>21</v>
      </c>
      <c r="G3432">
        <v>174</v>
      </c>
      <c r="H3432" s="1">
        <v>44753</v>
      </c>
      <c r="I3432">
        <v>2022</v>
      </c>
      <c r="J3432">
        <v>7</v>
      </c>
      <c r="K3432" t="s">
        <v>36</v>
      </c>
      <c r="L3432" t="s">
        <v>21</v>
      </c>
      <c r="M3432">
        <v>1</v>
      </c>
    </row>
    <row r="3433" spans="1:13" x14ac:dyDescent="0.25">
      <c r="A3433" t="s">
        <v>2426</v>
      </c>
      <c r="B3433" t="s">
        <v>54</v>
      </c>
      <c r="C3433" t="s">
        <v>14</v>
      </c>
      <c r="D3433" t="s">
        <v>55</v>
      </c>
      <c r="E3433">
        <v>24</v>
      </c>
      <c r="F3433">
        <v>0.13</v>
      </c>
      <c r="G3433">
        <v>74</v>
      </c>
      <c r="H3433" s="1">
        <v>44753</v>
      </c>
      <c r="I3433">
        <v>2022</v>
      </c>
      <c r="J3433">
        <v>7</v>
      </c>
      <c r="K3433" t="s">
        <v>30</v>
      </c>
      <c r="L3433">
        <v>0</v>
      </c>
      <c r="M3433">
        <v>1</v>
      </c>
    </row>
    <row r="3434" spans="1:13" x14ac:dyDescent="0.25">
      <c r="A3434" t="s">
        <v>2427</v>
      </c>
      <c r="B3434" t="s">
        <v>95</v>
      </c>
      <c r="C3434" t="s">
        <v>14</v>
      </c>
      <c r="D3434" t="s">
        <v>111</v>
      </c>
      <c r="E3434" t="s">
        <v>21</v>
      </c>
      <c r="F3434" t="s">
        <v>21</v>
      </c>
      <c r="G3434">
        <v>640</v>
      </c>
      <c r="H3434" s="1">
        <v>44753</v>
      </c>
      <c r="I3434">
        <v>2022</v>
      </c>
      <c r="J3434">
        <v>7</v>
      </c>
      <c r="K3434" t="s">
        <v>36</v>
      </c>
      <c r="L3434" t="s">
        <v>21</v>
      </c>
      <c r="M3434">
        <v>0</v>
      </c>
    </row>
    <row r="3435" spans="1:13" x14ac:dyDescent="0.25">
      <c r="A3435" t="s">
        <v>573</v>
      </c>
      <c r="B3435" t="s">
        <v>35</v>
      </c>
      <c r="C3435" t="s">
        <v>14</v>
      </c>
      <c r="D3435" t="s">
        <v>55</v>
      </c>
      <c r="E3435" t="s">
        <v>21</v>
      </c>
      <c r="F3435">
        <v>0.05</v>
      </c>
      <c r="G3435">
        <v>225</v>
      </c>
      <c r="H3435" s="1">
        <v>44753</v>
      </c>
      <c r="I3435">
        <v>2022</v>
      </c>
      <c r="J3435">
        <v>7</v>
      </c>
      <c r="K3435" t="s">
        <v>36</v>
      </c>
      <c r="L3435">
        <v>0</v>
      </c>
      <c r="M3435">
        <v>1</v>
      </c>
    </row>
    <row r="3436" spans="1:13" x14ac:dyDescent="0.25">
      <c r="A3436" t="s">
        <v>2428</v>
      </c>
      <c r="B3436" t="s">
        <v>52</v>
      </c>
      <c r="C3436" t="s">
        <v>14</v>
      </c>
      <c r="D3436" t="s">
        <v>68</v>
      </c>
      <c r="E3436" t="s">
        <v>21</v>
      </c>
      <c r="F3436">
        <v>0.5</v>
      </c>
      <c r="G3436">
        <v>9</v>
      </c>
      <c r="H3436" s="1">
        <v>44753</v>
      </c>
      <c r="I3436">
        <v>2022</v>
      </c>
      <c r="J3436">
        <v>7</v>
      </c>
      <c r="K3436" t="s">
        <v>16</v>
      </c>
      <c r="L3436">
        <v>0</v>
      </c>
      <c r="M3436">
        <v>1</v>
      </c>
    </row>
    <row r="3437" spans="1:13" x14ac:dyDescent="0.25">
      <c r="A3437" t="s">
        <v>1457</v>
      </c>
      <c r="B3437" t="s">
        <v>95</v>
      </c>
      <c r="C3437" t="s">
        <v>14</v>
      </c>
      <c r="D3437" t="s">
        <v>46</v>
      </c>
      <c r="E3437" t="s">
        <v>21</v>
      </c>
      <c r="F3437" t="s">
        <v>21</v>
      </c>
      <c r="G3437">
        <v>150</v>
      </c>
      <c r="H3437" s="1">
        <v>44751</v>
      </c>
      <c r="I3437">
        <v>2022</v>
      </c>
      <c r="J3437">
        <v>7</v>
      </c>
      <c r="K3437" t="s">
        <v>36</v>
      </c>
      <c r="L3437" t="s">
        <v>21</v>
      </c>
      <c r="M3437">
        <v>0</v>
      </c>
    </row>
    <row r="3438" spans="1:13" x14ac:dyDescent="0.25">
      <c r="A3438" t="s">
        <v>2429</v>
      </c>
      <c r="B3438" t="s">
        <v>13</v>
      </c>
      <c r="C3438" t="s">
        <v>657</v>
      </c>
      <c r="D3438" t="s">
        <v>46</v>
      </c>
      <c r="E3438">
        <v>1500</v>
      </c>
      <c r="F3438" t="s">
        <v>21</v>
      </c>
      <c r="G3438">
        <v>184</v>
      </c>
      <c r="H3438" s="1">
        <v>44750</v>
      </c>
      <c r="I3438">
        <v>2022</v>
      </c>
      <c r="J3438">
        <v>7</v>
      </c>
      <c r="K3438" t="s">
        <v>36</v>
      </c>
      <c r="L3438" t="s">
        <v>21</v>
      </c>
      <c r="M3438">
        <v>1</v>
      </c>
    </row>
    <row r="3439" spans="1:13" x14ac:dyDescent="0.25">
      <c r="A3439" t="s">
        <v>2430</v>
      </c>
      <c r="B3439" t="s">
        <v>95</v>
      </c>
      <c r="C3439" t="s">
        <v>14</v>
      </c>
      <c r="D3439" t="s">
        <v>33</v>
      </c>
      <c r="E3439">
        <v>1000</v>
      </c>
      <c r="F3439">
        <v>1</v>
      </c>
      <c r="G3439">
        <v>50</v>
      </c>
      <c r="H3439" s="1">
        <v>44750</v>
      </c>
      <c r="I3439">
        <v>2022</v>
      </c>
      <c r="J3439">
        <v>7</v>
      </c>
      <c r="K3439" t="s">
        <v>30</v>
      </c>
      <c r="L3439">
        <v>1</v>
      </c>
      <c r="M3439">
        <v>1</v>
      </c>
    </row>
    <row r="3440" spans="1:13" x14ac:dyDescent="0.25">
      <c r="A3440" t="s">
        <v>1535</v>
      </c>
      <c r="B3440" t="s">
        <v>35</v>
      </c>
      <c r="C3440" t="s">
        <v>14</v>
      </c>
      <c r="D3440" t="s">
        <v>33</v>
      </c>
      <c r="E3440">
        <v>156</v>
      </c>
      <c r="F3440">
        <v>0.24</v>
      </c>
      <c r="G3440">
        <v>127</v>
      </c>
      <c r="H3440" s="1">
        <v>44750</v>
      </c>
      <c r="I3440">
        <v>2022</v>
      </c>
      <c r="J3440">
        <v>7</v>
      </c>
      <c r="K3440" t="s">
        <v>36</v>
      </c>
      <c r="L3440">
        <v>0</v>
      </c>
      <c r="M3440">
        <v>1</v>
      </c>
    </row>
    <row r="3441" spans="1:13" x14ac:dyDescent="0.25">
      <c r="A3441" t="s">
        <v>2241</v>
      </c>
      <c r="B3441" t="s">
        <v>54</v>
      </c>
      <c r="C3441" t="s">
        <v>14</v>
      </c>
      <c r="D3441" t="s">
        <v>22</v>
      </c>
      <c r="E3441" t="s">
        <v>21</v>
      </c>
      <c r="F3441">
        <v>0.03</v>
      </c>
      <c r="G3441">
        <v>108</v>
      </c>
      <c r="H3441" s="1">
        <v>44750</v>
      </c>
      <c r="I3441">
        <v>2022</v>
      </c>
      <c r="J3441">
        <v>7</v>
      </c>
      <c r="K3441" t="s">
        <v>36</v>
      </c>
      <c r="L3441">
        <v>0</v>
      </c>
      <c r="M3441">
        <v>1</v>
      </c>
    </row>
    <row r="3442" spans="1:13" x14ac:dyDescent="0.25">
      <c r="A3442" t="s">
        <v>2153</v>
      </c>
      <c r="B3442" t="s">
        <v>66</v>
      </c>
      <c r="C3442" t="s">
        <v>14</v>
      </c>
      <c r="D3442" t="s">
        <v>22</v>
      </c>
      <c r="E3442">
        <v>150</v>
      </c>
      <c r="F3442">
        <v>0.05</v>
      </c>
      <c r="G3442">
        <v>3600</v>
      </c>
      <c r="H3442" s="1">
        <v>44749</v>
      </c>
      <c r="I3442">
        <v>2022</v>
      </c>
      <c r="J3442">
        <v>7</v>
      </c>
      <c r="K3442" t="s">
        <v>26</v>
      </c>
      <c r="L3442">
        <v>0</v>
      </c>
      <c r="M3442">
        <v>1</v>
      </c>
    </row>
    <row r="3443" spans="1:13" x14ac:dyDescent="0.25">
      <c r="A3443" t="s">
        <v>2431</v>
      </c>
      <c r="B3443" t="s">
        <v>77</v>
      </c>
      <c r="C3443" t="s">
        <v>14</v>
      </c>
      <c r="D3443" t="s">
        <v>111</v>
      </c>
      <c r="E3443">
        <v>150</v>
      </c>
      <c r="F3443">
        <v>0.17</v>
      </c>
      <c r="G3443">
        <v>881</v>
      </c>
      <c r="H3443" s="1">
        <v>44749</v>
      </c>
      <c r="I3443">
        <v>2022</v>
      </c>
      <c r="J3443">
        <v>7</v>
      </c>
      <c r="K3443" t="s">
        <v>36</v>
      </c>
      <c r="L3443">
        <v>0</v>
      </c>
      <c r="M3443">
        <v>1</v>
      </c>
    </row>
    <row r="3444" spans="1:13" x14ac:dyDescent="0.25">
      <c r="A3444" t="s">
        <v>2432</v>
      </c>
      <c r="B3444" t="s">
        <v>54</v>
      </c>
      <c r="C3444" t="s">
        <v>14</v>
      </c>
      <c r="D3444" t="s">
        <v>22</v>
      </c>
      <c r="E3444">
        <v>40</v>
      </c>
      <c r="F3444" t="s">
        <v>21</v>
      </c>
      <c r="G3444">
        <v>20</v>
      </c>
      <c r="H3444" s="1">
        <v>44749</v>
      </c>
      <c r="I3444">
        <v>2022</v>
      </c>
      <c r="J3444">
        <v>7</v>
      </c>
      <c r="K3444" t="s">
        <v>30</v>
      </c>
      <c r="L3444" t="s">
        <v>21</v>
      </c>
      <c r="M3444">
        <v>1</v>
      </c>
    </row>
    <row r="3445" spans="1:13" x14ac:dyDescent="0.25">
      <c r="A3445" t="s">
        <v>2433</v>
      </c>
      <c r="B3445" t="s">
        <v>54</v>
      </c>
      <c r="C3445" t="s">
        <v>14</v>
      </c>
      <c r="D3445" t="s">
        <v>33</v>
      </c>
      <c r="E3445">
        <v>30</v>
      </c>
      <c r="F3445">
        <v>0.18</v>
      </c>
      <c r="G3445">
        <v>78</v>
      </c>
      <c r="H3445" s="1">
        <v>44749</v>
      </c>
      <c r="I3445">
        <v>2022</v>
      </c>
      <c r="J3445">
        <v>7</v>
      </c>
      <c r="K3445" t="s">
        <v>30</v>
      </c>
      <c r="L3445">
        <v>0</v>
      </c>
      <c r="M3445">
        <v>1</v>
      </c>
    </row>
    <row r="3446" spans="1:13" x14ac:dyDescent="0.25">
      <c r="A3446" t="s">
        <v>2434</v>
      </c>
      <c r="B3446" t="s">
        <v>35</v>
      </c>
      <c r="C3446" t="s">
        <v>14</v>
      </c>
      <c r="D3446" t="s">
        <v>55</v>
      </c>
      <c r="E3446" t="s">
        <v>21</v>
      </c>
      <c r="F3446">
        <v>0.24</v>
      </c>
      <c r="G3446">
        <v>351</v>
      </c>
      <c r="H3446" s="1">
        <v>44749</v>
      </c>
      <c r="I3446">
        <v>2022</v>
      </c>
      <c r="J3446">
        <v>7</v>
      </c>
      <c r="K3446" t="s">
        <v>36</v>
      </c>
      <c r="L3446">
        <v>0</v>
      </c>
      <c r="M3446">
        <v>1</v>
      </c>
    </row>
    <row r="3447" spans="1:13" x14ac:dyDescent="0.25">
      <c r="A3447" t="s">
        <v>1649</v>
      </c>
      <c r="B3447" t="s">
        <v>18</v>
      </c>
      <c r="C3447" t="s">
        <v>14</v>
      </c>
      <c r="D3447" t="s">
        <v>15</v>
      </c>
      <c r="E3447" t="s">
        <v>21</v>
      </c>
      <c r="F3447" t="s">
        <v>21</v>
      </c>
      <c r="G3447">
        <v>5700</v>
      </c>
      <c r="H3447" s="1">
        <v>44749</v>
      </c>
      <c r="I3447">
        <v>2022</v>
      </c>
      <c r="J3447">
        <v>7</v>
      </c>
      <c r="K3447" t="s">
        <v>26</v>
      </c>
      <c r="L3447" t="s">
        <v>21</v>
      </c>
      <c r="M3447">
        <v>0</v>
      </c>
    </row>
    <row r="3448" spans="1:13" x14ac:dyDescent="0.25">
      <c r="A3448" t="s">
        <v>2435</v>
      </c>
      <c r="B3448" t="s">
        <v>40</v>
      </c>
      <c r="C3448" t="s">
        <v>14</v>
      </c>
      <c r="D3448" t="s">
        <v>46</v>
      </c>
      <c r="E3448">
        <v>100</v>
      </c>
      <c r="F3448">
        <v>0.09</v>
      </c>
      <c r="G3448">
        <v>496</v>
      </c>
      <c r="H3448" s="1">
        <v>44748</v>
      </c>
      <c r="I3448">
        <v>2022</v>
      </c>
      <c r="J3448">
        <v>7</v>
      </c>
      <c r="K3448" t="s">
        <v>36</v>
      </c>
      <c r="L3448">
        <v>0</v>
      </c>
      <c r="M3448">
        <v>1</v>
      </c>
    </row>
    <row r="3449" spans="1:13" x14ac:dyDescent="0.25">
      <c r="A3449" t="s">
        <v>173</v>
      </c>
      <c r="B3449" t="s">
        <v>24</v>
      </c>
      <c r="C3449" t="s">
        <v>174</v>
      </c>
      <c r="D3449" t="s">
        <v>15</v>
      </c>
      <c r="E3449">
        <v>50</v>
      </c>
      <c r="F3449" t="s">
        <v>21</v>
      </c>
      <c r="G3449">
        <v>122</v>
      </c>
      <c r="H3449" s="1">
        <v>44748</v>
      </c>
      <c r="I3449">
        <v>2022</v>
      </c>
      <c r="J3449">
        <v>7</v>
      </c>
      <c r="K3449" t="s">
        <v>36</v>
      </c>
      <c r="L3449" t="s">
        <v>21</v>
      </c>
      <c r="M3449">
        <v>1</v>
      </c>
    </row>
    <row r="3450" spans="1:13" x14ac:dyDescent="0.25">
      <c r="A3450" t="s">
        <v>2436</v>
      </c>
      <c r="B3450" t="s">
        <v>38</v>
      </c>
      <c r="C3450" t="s">
        <v>29</v>
      </c>
      <c r="D3450" t="s">
        <v>46</v>
      </c>
      <c r="E3450">
        <v>35</v>
      </c>
      <c r="F3450">
        <v>0.27</v>
      </c>
      <c r="G3450">
        <v>64</v>
      </c>
      <c r="H3450" s="1">
        <v>44748</v>
      </c>
      <c r="I3450">
        <v>2022</v>
      </c>
      <c r="J3450">
        <v>7</v>
      </c>
      <c r="K3450" t="s">
        <v>30</v>
      </c>
      <c r="L3450">
        <v>0</v>
      </c>
      <c r="M3450">
        <v>1</v>
      </c>
    </row>
    <row r="3451" spans="1:13" x14ac:dyDescent="0.25">
      <c r="A3451" t="s">
        <v>2437</v>
      </c>
      <c r="B3451" t="s">
        <v>38</v>
      </c>
      <c r="C3451" t="s">
        <v>14</v>
      </c>
      <c r="D3451" t="s">
        <v>33</v>
      </c>
      <c r="E3451">
        <v>30</v>
      </c>
      <c r="F3451">
        <v>0.18</v>
      </c>
      <c r="G3451">
        <v>77</v>
      </c>
      <c r="H3451" s="1">
        <v>44748</v>
      </c>
      <c r="I3451">
        <v>2022</v>
      </c>
      <c r="J3451">
        <v>7</v>
      </c>
      <c r="K3451" t="s">
        <v>30</v>
      </c>
      <c r="L3451">
        <v>0</v>
      </c>
      <c r="M3451">
        <v>1</v>
      </c>
    </row>
    <row r="3452" spans="1:13" x14ac:dyDescent="0.25">
      <c r="A3452" t="s">
        <v>2436</v>
      </c>
      <c r="B3452" t="s">
        <v>38</v>
      </c>
      <c r="C3452" t="s">
        <v>29</v>
      </c>
      <c r="D3452" t="s">
        <v>46</v>
      </c>
      <c r="E3452">
        <v>15</v>
      </c>
      <c r="F3452">
        <v>0.2</v>
      </c>
      <c r="G3452">
        <v>64</v>
      </c>
      <c r="H3452" s="1">
        <v>44748</v>
      </c>
      <c r="I3452">
        <v>2022</v>
      </c>
      <c r="J3452">
        <v>7</v>
      </c>
      <c r="K3452" t="s">
        <v>30</v>
      </c>
      <c r="L3452">
        <v>0</v>
      </c>
      <c r="M3452">
        <v>1</v>
      </c>
    </row>
    <row r="3453" spans="1:13" x14ac:dyDescent="0.25">
      <c r="A3453" t="s">
        <v>648</v>
      </c>
      <c r="B3453" t="s">
        <v>95</v>
      </c>
      <c r="C3453" t="s">
        <v>14</v>
      </c>
      <c r="D3453" t="s">
        <v>33</v>
      </c>
      <c r="E3453" t="s">
        <v>21</v>
      </c>
      <c r="F3453" t="s">
        <v>21</v>
      </c>
      <c r="G3453">
        <v>344</v>
      </c>
      <c r="H3453" s="1">
        <v>44748</v>
      </c>
      <c r="I3453">
        <v>2022</v>
      </c>
      <c r="J3453">
        <v>7</v>
      </c>
      <c r="K3453" t="s">
        <v>36</v>
      </c>
      <c r="L3453" t="s">
        <v>21</v>
      </c>
      <c r="M3453">
        <v>0</v>
      </c>
    </row>
    <row r="3454" spans="1:13" x14ac:dyDescent="0.25">
      <c r="A3454" t="s">
        <v>1626</v>
      </c>
      <c r="B3454" t="s">
        <v>91</v>
      </c>
      <c r="C3454" t="s">
        <v>230</v>
      </c>
      <c r="D3454" t="s">
        <v>22</v>
      </c>
      <c r="E3454">
        <v>384</v>
      </c>
      <c r="F3454">
        <v>0.12</v>
      </c>
      <c r="G3454">
        <v>788</v>
      </c>
      <c r="H3454" s="1">
        <v>44747</v>
      </c>
      <c r="I3454">
        <v>2022</v>
      </c>
      <c r="J3454">
        <v>7</v>
      </c>
      <c r="K3454" t="s">
        <v>36</v>
      </c>
      <c r="L3454">
        <v>0</v>
      </c>
      <c r="M3454">
        <v>1</v>
      </c>
    </row>
    <row r="3455" spans="1:13" x14ac:dyDescent="0.25">
      <c r="A3455" t="s">
        <v>2007</v>
      </c>
      <c r="B3455" t="s">
        <v>54</v>
      </c>
      <c r="C3455" t="s">
        <v>14</v>
      </c>
      <c r="D3455" t="s">
        <v>111</v>
      </c>
      <c r="E3455">
        <v>120</v>
      </c>
      <c r="F3455">
        <v>0.3</v>
      </c>
      <c r="G3455">
        <v>194</v>
      </c>
      <c r="H3455" s="1">
        <v>44747</v>
      </c>
      <c r="I3455">
        <v>2022</v>
      </c>
      <c r="J3455">
        <v>7</v>
      </c>
      <c r="K3455" t="s">
        <v>36</v>
      </c>
      <c r="L3455">
        <v>0</v>
      </c>
      <c r="M3455">
        <v>1</v>
      </c>
    </row>
    <row r="3456" spans="1:13" x14ac:dyDescent="0.25">
      <c r="A3456" t="s">
        <v>290</v>
      </c>
      <c r="B3456" t="s">
        <v>77</v>
      </c>
      <c r="C3456" t="s">
        <v>29</v>
      </c>
      <c r="D3456" t="s">
        <v>22</v>
      </c>
      <c r="E3456">
        <v>100</v>
      </c>
      <c r="F3456">
        <v>0.06</v>
      </c>
      <c r="G3456">
        <v>322</v>
      </c>
      <c r="H3456" s="1">
        <v>44747</v>
      </c>
      <c r="I3456">
        <v>2022</v>
      </c>
      <c r="J3456">
        <v>7</v>
      </c>
      <c r="K3456" t="s">
        <v>36</v>
      </c>
      <c r="L3456">
        <v>0</v>
      </c>
      <c r="M3456">
        <v>1</v>
      </c>
    </row>
    <row r="3457" spans="1:13" x14ac:dyDescent="0.25">
      <c r="A3457" t="s">
        <v>362</v>
      </c>
      <c r="B3457" t="s">
        <v>38</v>
      </c>
      <c r="C3457" t="s">
        <v>14</v>
      </c>
      <c r="D3457" t="s">
        <v>111</v>
      </c>
      <c r="E3457">
        <v>80</v>
      </c>
      <c r="F3457">
        <v>0.1</v>
      </c>
      <c r="G3457">
        <v>569</v>
      </c>
      <c r="H3457" s="1">
        <v>44747</v>
      </c>
      <c r="I3457">
        <v>2022</v>
      </c>
      <c r="J3457">
        <v>7</v>
      </c>
      <c r="K3457" t="s">
        <v>36</v>
      </c>
      <c r="L3457">
        <v>0</v>
      </c>
      <c r="M3457">
        <v>1</v>
      </c>
    </row>
    <row r="3458" spans="1:13" x14ac:dyDescent="0.25">
      <c r="A3458" t="s">
        <v>1957</v>
      </c>
      <c r="B3458" t="s">
        <v>106</v>
      </c>
      <c r="C3458" t="s">
        <v>14</v>
      </c>
      <c r="D3458" t="s">
        <v>55</v>
      </c>
      <c r="E3458">
        <v>31</v>
      </c>
      <c r="F3458">
        <v>0.18</v>
      </c>
      <c r="G3458">
        <v>240</v>
      </c>
      <c r="H3458" s="1">
        <v>44747</v>
      </c>
      <c r="I3458">
        <v>2022</v>
      </c>
      <c r="J3458">
        <v>7</v>
      </c>
      <c r="K3458" t="s">
        <v>36</v>
      </c>
      <c r="L3458">
        <v>0</v>
      </c>
      <c r="M3458">
        <v>1</v>
      </c>
    </row>
    <row r="3459" spans="1:13" x14ac:dyDescent="0.25">
      <c r="A3459" t="s">
        <v>2438</v>
      </c>
      <c r="B3459" t="s">
        <v>52</v>
      </c>
      <c r="C3459" t="s">
        <v>1208</v>
      </c>
      <c r="D3459" t="s">
        <v>22</v>
      </c>
      <c r="E3459">
        <v>30</v>
      </c>
      <c r="F3459">
        <v>0.08</v>
      </c>
      <c r="G3459">
        <v>300</v>
      </c>
      <c r="H3459" s="1">
        <v>44747</v>
      </c>
      <c r="I3459">
        <v>2022</v>
      </c>
      <c r="J3459">
        <v>7</v>
      </c>
      <c r="K3459" t="s">
        <v>36</v>
      </c>
      <c r="L3459">
        <v>0</v>
      </c>
      <c r="M3459">
        <v>1</v>
      </c>
    </row>
    <row r="3460" spans="1:13" x14ac:dyDescent="0.25">
      <c r="A3460" t="s">
        <v>2439</v>
      </c>
      <c r="B3460" t="s">
        <v>28</v>
      </c>
      <c r="C3460" t="s">
        <v>14</v>
      </c>
      <c r="D3460" t="s">
        <v>68</v>
      </c>
      <c r="E3460">
        <v>27</v>
      </c>
      <c r="F3460">
        <v>7.0000000000000007E-2</v>
      </c>
      <c r="G3460">
        <v>583</v>
      </c>
      <c r="H3460" s="1">
        <v>44747</v>
      </c>
      <c r="I3460">
        <v>2022</v>
      </c>
      <c r="J3460">
        <v>7</v>
      </c>
      <c r="K3460" t="s">
        <v>36</v>
      </c>
      <c r="L3460">
        <v>0</v>
      </c>
      <c r="M3460">
        <v>1</v>
      </c>
    </row>
    <row r="3461" spans="1:13" x14ac:dyDescent="0.25">
      <c r="A3461" t="s">
        <v>2440</v>
      </c>
      <c r="B3461" t="s">
        <v>77</v>
      </c>
      <c r="C3461" t="s">
        <v>14</v>
      </c>
      <c r="D3461" t="s">
        <v>68</v>
      </c>
      <c r="E3461">
        <v>20</v>
      </c>
      <c r="F3461">
        <v>0.33</v>
      </c>
      <c r="G3461">
        <v>28</v>
      </c>
      <c r="H3461" s="1">
        <v>44747</v>
      </c>
      <c r="I3461">
        <v>2022</v>
      </c>
      <c r="J3461">
        <v>7</v>
      </c>
      <c r="K3461" t="s">
        <v>30</v>
      </c>
      <c r="L3461">
        <v>0</v>
      </c>
      <c r="M3461">
        <v>1</v>
      </c>
    </row>
    <row r="3462" spans="1:13" x14ac:dyDescent="0.25">
      <c r="A3462" t="s">
        <v>2441</v>
      </c>
      <c r="B3462" t="s">
        <v>24</v>
      </c>
      <c r="C3462" t="s">
        <v>29</v>
      </c>
      <c r="D3462" t="s">
        <v>46</v>
      </c>
      <c r="E3462">
        <v>13</v>
      </c>
      <c r="F3462">
        <v>0.08</v>
      </c>
      <c r="G3462">
        <v>71</v>
      </c>
      <c r="H3462" s="1">
        <v>44747</v>
      </c>
      <c r="I3462">
        <v>2022</v>
      </c>
      <c r="J3462">
        <v>7</v>
      </c>
      <c r="K3462" t="s">
        <v>30</v>
      </c>
      <c r="L3462">
        <v>0</v>
      </c>
      <c r="M3462">
        <v>1</v>
      </c>
    </row>
    <row r="3463" spans="1:13" x14ac:dyDescent="0.25">
      <c r="A3463" t="s">
        <v>118</v>
      </c>
      <c r="B3463" t="s">
        <v>18</v>
      </c>
      <c r="C3463" t="s">
        <v>29</v>
      </c>
      <c r="D3463" t="s">
        <v>55</v>
      </c>
      <c r="E3463">
        <v>80</v>
      </c>
      <c r="F3463">
        <v>0.12</v>
      </c>
      <c r="G3463">
        <v>335</v>
      </c>
      <c r="H3463" s="1">
        <v>44746</v>
      </c>
      <c r="I3463">
        <v>2022</v>
      </c>
      <c r="J3463">
        <v>7</v>
      </c>
      <c r="K3463" t="s">
        <v>36</v>
      </c>
      <c r="L3463">
        <v>0</v>
      </c>
      <c r="M3463">
        <v>1</v>
      </c>
    </row>
    <row r="3464" spans="1:13" x14ac:dyDescent="0.25">
      <c r="A3464" t="s">
        <v>2442</v>
      </c>
      <c r="B3464" t="s">
        <v>18</v>
      </c>
      <c r="C3464" t="s">
        <v>80</v>
      </c>
      <c r="D3464" t="s">
        <v>20</v>
      </c>
      <c r="E3464">
        <v>29</v>
      </c>
      <c r="F3464" t="s">
        <v>21</v>
      </c>
      <c r="G3464" t="s">
        <v>21</v>
      </c>
      <c r="H3464" s="1">
        <v>44746</v>
      </c>
      <c r="I3464">
        <v>2022</v>
      </c>
      <c r="J3464">
        <v>7</v>
      </c>
      <c r="K3464" t="s">
        <v>22</v>
      </c>
      <c r="L3464" t="s">
        <v>21</v>
      </c>
      <c r="M3464">
        <v>1</v>
      </c>
    </row>
    <row r="3465" spans="1:13" x14ac:dyDescent="0.25">
      <c r="A3465" t="s">
        <v>2443</v>
      </c>
      <c r="B3465" t="s">
        <v>117</v>
      </c>
      <c r="C3465" t="s">
        <v>42</v>
      </c>
      <c r="D3465" t="s">
        <v>46</v>
      </c>
      <c r="E3465">
        <v>27</v>
      </c>
      <c r="F3465">
        <v>0.12</v>
      </c>
      <c r="G3465">
        <v>69</v>
      </c>
      <c r="H3465" s="1">
        <v>44746</v>
      </c>
      <c r="I3465">
        <v>2022</v>
      </c>
      <c r="J3465">
        <v>7</v>
      </c>
      <c r="K3465" t="s">
        <v>30</v>
      </c>
      <c r="L3465">
        <v>0</v>
      </c>
      <c r="M3465">
        <v>1</v>
      </c>
    </row>
    <row r="3466" spans="1:13" x14ac:dyDescent="0.25">
      <c r="A3466" t="s">
        <v>1932</v>
      </c>
      <c r="B3466" t="s">
        <v>13</v>
      </c>
      <c r="C3466" t="s">
        <v>83</v>
      </c>
      <c r="D3466" t="s">
        <v>68</v>
      </c>
      <c r="E3466">
        <v>18</v>
      </c>
      <c r="F3466">
        <v>0.15</v>
      </c>
      <c r="G3466">
        <v>90</v>
      </c>
      <c r="H3466" s="1">
        <v>44746</v>
      </c>
      <c r="I3466">
        <v>2022</v>
      </c>
      <c r="J3466">
        <v>7</v>
      </c>
      <c r="K3466" t="s">
        <v>30</v>
      </c>
      <c r="L3466">
        <v>0</v>
      </c>
      <c r="M3466">
        <v>1</v>
      </c>
    </row>
    <row r="3467" spans="1:13" x14ac:dyDescent="0.25">
      <c r="A3467" t="s">
        <v>1507</v>
      </c>
      <c r="B3467" t="s">
        <v>18</v>
      </c>
      <c r="C3467" t="s">
        <v>42</v>
      </c>
      <c r="D3467" t="s">
        <v>46</v>
      </c>
      <c r="E3467" t="s">
        <v>21</v>
      </c>
      <c r="F3467" t="s">
        <v>21</v>
      </c>
      <c r="G3467">
        <v>26</v>
      </c>
      <c r="H3467" s="1">
        <v>44746</v>
      </c>
      <c r="I3467">
        <v>2022</v>
      </c>
      <c r="J3467">
        <v>7</v>
      </c>
      <c r="K3467" t="s">
        <v>30</v>
      </c>
      <c r="L3467" t="s">
        <v>21</v>
      </c>
      <c r="M3467">
        <v>0</v>
      </c>
    </row>
    <row r="3468" spans="1:13" x14ac:dyDescent="0.25">
      <c r="A3468" t="s">
        <v>2444</v>
      </c>
      <c r="B3468" t="s">
        <v>95</v>
      </c>
      <c r="C3468" t="s">
        <v>83</v>
      </c>
      <c r="D3468" t="s">
        <v>46</v>
      </c>
      <c r="E3468">
        <v>540</v>
      </c>
      <c r="F3468" t="s">
        <v>21</v>
      </c>
      <c r="G3468">
        <v>1300</v>
      </c>
      <c r="H3468" s="1">
        <v>44745</v>
      </c>
      <c r="I3468">
        <v>2022</v>
      </c>
      <c r="J3468">
        <v>7</v>
      </c>
      <c r="K3468" t="s">
        <v>26</v>
      </c>
      <c r="L3468" t="s">
        <v>21</v>
      </c>
      <c r="M3468">
        <v>1</v>
      </c>
    </row>
    <row r="3469" spans="1:13" x14ac:dyDescent="0.25">
      <c r="A3469" t="s">
        <v>2445</v>
      </c>
      <c r="B3469" t="s">
        <v>52</v>
      </c>
      <c r="C3469" t="s">
        <v>14</v>
      </c>
      <c r="D3469" t="s">
        <v>33</v>
      </c>
      <c r="E3469">
        <v>150</v>
      </c>
      <c r="F3469">
        <v>0.25</v>
      </c>
      <c r="G3469">
        <v>864</v>
      </c>
      <c r="H3469" s="1">
        <v>44745</v>
      </c>
      <c r="I3469">
        <v>2022</v>
      </c>
      <c r="J3469">
        <v>7</v>
      </c>
      <c r="K3469" t="s">
        <v>36</v>
      </c>
      <c r="L3469">
        <v>0</v>
      </c>
      <c r="M3469">
        <v>1</v>
      </c>
    </row>
    <row r="3470" spans="1:13" x14ac:dyDescent="0.25">
      <c r="A3470" t="s">
        <v>2446</v>
      </c>
      <c r="B3470" t="s">
        <v>35</v>
      </c>
      <c r="C3470" t="s">
        <v>14</v>
      </c>
      <c r="D3470" t="s">
        <v>55</v>
      </c>
      <c r="E3470" t="s">
        <v>21</v>
      </c>
      <c r="F3470" t="s">
        <v>21</v>
      </c>
      <c r="G3470">
        <v>263</v>
      </c>
      <c r="H3470" s="1">
        <v>44744</v>
      </c>
      <c r="I3470">
        <v>2022</v>
      </c>
      <c r="J3470">
        <v>7</v>
      </c>
      <c r="K3470" t="s">
        <v>36</v>
      </c>
      <c r="L3470" t="s">
        <v>21</v>
      </c>
      <c r="M3470">
        <v>0</v>
      </c>
    </row>
    <row r="3471" spans="1:13" x14ac:dyDescent="0.25">
      <c r="A3471" t="s">
        <v>2447</v>
      </c>
      <c r="B3471" t="s">
        <v>35</v>
      </c>
      <c r="C3471" t="s">
        <v>42</v>
      </c>
      <c r="D3471" t="s">
        <v>49</v>
      </c>
      <c r="E3471" t="s">
        <v>21</v>
      </c>
      <c r="F3471" t="s">
        <v>21</v>
      </c>
      <c r="G3471">
        <v>2</v>
      </c>
      <c r="H3471" s="1">
        <v>44744</v>
      </c>
      <c r="I3471">
        <v>2022</v>
      </c>
      <c r="J3471">
        <v>7</v>
      </c>
      <c r="K3471" t="s">
        <v>16</v>
      </c>
      <c r="L3471" t="s">
        <v>21</v>
      </c>
      <c r="M3471">
        <v>0</v>
      </c>
    </row>
    <row r="3472" spans="1:13" x14ac:dyDescent="0.25">
      <c r="A3472" t="s">
        <v>346</v>
      </c>
      <c r="B3472" t="s">
        <v>77</v>
      </c>
      <c r="C3472" t="s">
        <v>42</v>
      </c>
      <c r="D3472" t="s">
        <v>68</v>
      </c>
      <c r="E3472" t="s">
        <v>21</v>
      </c>
      <c r="F3472">
        <v>0.1</v>
      </c>
      <c r="G3472">
        <v>25</v>
      </c>
      <c r="H3472" s="1">
        <v>44744</v>
      </c>
      <c r="I3472">
        <v>2022</v>
      </c>
      <c r="J3472">
        <v>7</v>
      </c>
      <c r="K3472" t="s">
        <v>30</v>
      </c>
      <c r="L3472">
        <v>0</v>
      </c>
      <c r="M3472">
        <v>1</v>
      </c>
    </row>
    <row r="3473" spans="1:13" x14ac:dyDescent="0.25">
      <c r="A3473" t="s">
        <v>2448</v>
      </c>
      <c r="B3473" t="s">
        <v>73</v>
      </c>
      <c r="C3473" t="s">
        <v>14</v>
      </c>
      <c r="D3473" t="s">
        <v>33</v>
      </c>
      <c r="E3473">
        <v>85</v>
      </c>
      <c r="F3473">
        <v>1</v>
      </c>
      <c r="G3473">
        <v>26</v>
      </c>
      <c r="H3473" s="1">
        <v>44743</v>
      </c>
      <c r="I3473">
        <v>2022</v>
      </c>
      <c r="J3473">
        <v>7</v>
      </c>
      <c r="K3473" t="s">
        <v>30</v>
      </c>
      <c r="L3473">
        <v>1</v>
      </c>
      <c r="M3473">
        <v>1</v>
      </c>
    </row>
    <row r="3474" spans="1:13" x14ac:dyDescent="0.25">
      <c r="A3474" t="s">
        <v>549</v>
      </c>
      <c r="B3474" t="s">
        <v>66</v>
      </c>
      <c r="C3474" t="s">
        <v>14</v>
      </c>
      <c r="D3474" t="s">
        <v>15</v>
      </c>
      <c r="E3474">
        <v>58</v>
      </c>
      <c r="F3474">
        <v>0.06</v>
      </c>
      <c r="G3474">
        <v>300</v>
      </c>
      <c r="H3474" s="1">
        <v>44743</v>
      </c>
      <c r="I3474">
        <v>2022</v>
      </c>
      <c r="J3474">
        <v>7</v>
      </c>
      <c r="K3474" t="s">
        <v>36</v>
      </c>
      <c r="L3474">
        <v>0</v>
      </c>
      <c r="M3474">
        <v>1</v>
      </c>
    </row>
    <row r="3475" spans="1:13" x14ac:dyDescent="0.25">
      <c r="A3475" t="s">
        <v>2449</v>
      </c>
      <c r="B3475" t="s">
        <v>35</v>
      </c>
      <c r="C3475" t="s">
        <v>14</v>
      </c>
      <c r="D3475" t="s">
        <v>22</v>
      </c>
      <c r="E3475">
        <v>52</v>
      </c>
      <c r="F3475" t="s">
        <v>21</v>
      </c>
      <c r="G3475" t="s">
        <v>21</v>
      </c>
      <c r="H3475" s="1">
        <v>44743</v>
      </c>
      <c r="I3475">
        <v>2022</v>
      </c>
      <c r="J3475">
        <v>7</v>
      </c>
      <c r="K3475" t="s">
        <v>22</v>
      </c>
      <c r="L3475" t="s">
        <v>21</v>
      </c>
      <c r="M3475">
        <v>1</v>
      </c>
    </row>
    <row r="3476" spans="1:13" x14ac:dyDescent="0.25">
      <c r="A3476" t="s">
        <v>2450</v>
      </c>
      <c r="B3476" t="s">
        <v>140</v>
      </c>
      <c r="C3476" t="s">
        <v>14</v>
      </c>
      <c r="D3476" t="s">
        <v>46</v>
      </c>
      <c r="E3476">
        <v>15</v>
      </c>
      <c r="F3476">
        <v>0.06</v>
      </c>
      <c r="G3476">
        <v>169</v>
      </c>
      <c r="H3476" s="1">
        <v>44743</v>
      </c>
      <c r="I3476">
        <v>2022</v>
      </c>
      <c r="J3476">
        <v>7</v>
      </c>
      <c r="K3476" t="s">
        <v>36</v>
      </c>
      <c r="L3476">
        <v>0</v>
      </c>
      <c r="M3476">
        <v>1</v>
      </c>
    </row>
    <row r="3477" spans="1:13" x14ac:dyDescent="0.25">
      <c r="A3477" t="s">
        <v>2451</v>
      </c>
      <c r="B3477" t="s">
        <v>89</v>
      </c>
      <c r="C3477" t="s">
        <v>14</v>
      </c>
      <c r="D3477" t="s">
        <v>68</v>
      </c>
      <c r="E3477" t="s">
        <v>21</v>
      </c>
      <c r="F3477" t="s">
        <v>21</v>
      </c>
      <c r="G3477">
        <v>38</v>
      </c>
      <c r="H3477" s="1">
        <v>44743</v>
      </c>
      <c r="I3477">
        <v>2022</v>
      </c>
      <c r="J3477">
        <v>7</v>
      </c>
      <c r="K3477" t="s">
        <v>30</v>
      </c>
      <c r="L3477" t="s">
        <v>21</v>
      </c>
      <c r="M3477">
        <v>0</v>
      </c>
    </row>
    <row r="3478" spans="1:13" x14ac:dyDescent="0.25">
      <c r="A3478" t="s">
        <v>2452</v>
      </c>
      <c r="B3478" t="s">
        <v>24</v>
      </c>
      <c r="C3478" t="s">
        <v>14</v>
      </c>
      <c r="D3478" t="s">
        <v>15</v>
      </c>
      <c r="E3478">
        <v>400</v>
      </c>
      <c r="F3478">
        <v>0.18</v>
      </c>
      <c r="G3478">
        <v>310</v>
      </c>
      <c r="H3478" s="1">
        <v>44742</v>
      </c>
      <c r="I3478">
        <v>2022</v>
      </c>
      <c r="J3478">
        <v>6</v>
      </c>
      <c r="K3478" t="s">
        <v>36</v>
      </c>
      <c r="L3478">
        <v>0</v>
      </c>
      <c r="M3478">
        <v>1</v>
      </c>
    </row>
    <row r="3479" spans="1:13" x14ac:dyDescent="0.25">
      <c r="A3479" t="s">
        <v>2453</v>
      </c>
      <c r="B3479" t="s">
        <v>106</v>
      </c>
      <c r="C3479" t="s">
        <v>48</v>
      </c>
      <c r="D3479" t="s">
        <v>49</v>
      </c>
      <c r="E3479">
        <v>170</v>
      </c>
      <c r="F3479">
        <v>1</v>
      </c>
      <c r="G3479">
        <v>3</v>
      </c>
      <c r="H3479" s="1">
        <v>44742</v>
      </c>
      <c r="I3479">
        <v>2022</v>
      </c>
      <c r="J3479">
        <v>6</v>
      </c>
      <c r="K3479" t="s">
        <v>16</v>
      </c>
      <c r="L3479">
        <v>1</v>
      </c>
      <c r="M3479">
        <v>1</v>
      </c>
    </row>
    <row r="3480" spans="1:13" x14ac:dyDescent="0.25">
      <c r="A3480" t="s">
        <v>2454</v>
      </c>
      <c r="B3480" t="s">
        <v>77</v>
      </c>
      <c r="C3480" t="s">
        <v>14</v>
      </c>
      <c r="D3480" t="s">
        <v>22</v>
      </c>
      <c r="E3480">
        <v>40</v>
      </c>
      <c r="F3480">
        <v>0.08</v>
      </c>
      <c r="G3480">
        <v>480</v>
      </c>
      <c r="H3480" s="1">
        <v>44742</v>
      </c>
      <c r="I3480">
        <v>2022</v>
      </c>
      <c r="J3480">
        <v>6</v>
      </c>
      <c r="K3480" t="s">
        <v>36</v>
      </c>
      <c r="L3480">
        <v>0</v>
      </c>
      <c r="M3480">
        <v>1</v>
      </c>
    </row>
    <row r="3481" spans="1:13" x14ac:dyDescent="0.25">
      <c r="A3481" t="s">
        <v>1773</v>
      </c>
      <c r="B3481" t="s">
        <v>24</v>
      </c>
      <c r="C3481" t="s">
        <v>14</v>
      </c>
      <c r="D3481" t="s">
        <v>68</v>
      </c>
      <c r="E3481">
        <v>30</v>
      </c>
      <c r="F3481">
        <v>0.2</v>
      </c>
      <c r="G3481">
        <v>47</v>
      </c>
      <c r="H3481" s="1">
        <v>44742</v>
      </c>
      <c r="I3481">
        <v>2022</v>
      </c>
      <c r="J3481">
        <v>6</v>
      </c>
      <c r="K3481" t="s">
        <v>30</v>
      </c>
      <c r="L3481">
        <v>0</v>
      </c>
      <c r="M3481">
        <v>1</v>
      </c>
    </row>
    <row r="3482" spans="1:13" x14ac:dyDescent="0.25">
      <c r="A3482" t="s">
        <v>59</v>
      </c>
      <c r="B3482" t="s">
        <v>28</v>
      </c>
      <c r="C3482" t="s">
        <v>14</v>
      </c>
      <c r="D3482" t="s">
        <v>43</v>
      </c>
      <c r="E3482">
        <v>30</v>
      </c>
      <c r="F3482" t="s">
        <v>21</v>
      </c>
      <c r="G3482">
        <v>849</v>
      </c>
      <c r="H3482" s="1">
        <v>44742</v>
      </c>
      <c r="I3482">
        <v>2022</v>
      </c>
      <c r="J3482">
        <v>6</v>
      </c>
      <c r="K3482" t="s">
        <v>36</v>
      </c>
      <c r="L3482" t="s">
        <v>21</v>
      </c>
      <c r="M3482">
        <v>1</v>
      </c>
    </row>
    <row r="3483" spans="1:13" x14ac:dyDescent="0.25">
      <c r="A3483" t="s">
        <v>2455</v>
      </c>
      <c r="B3483" t="s">
        <v>114</v>
      </c>
      <c r="C3483" t="s">
        <v>14</v>
      </c>
      <c r="D3483" t="s">
        <v>33</v>
      </c>
      <c r="E3483">
        <v>20</v>
      </c>
      <c r="F3483">
        <v>0.12</v>
      </c>
      <c r="G3483">
        <v>58</v>
      </c>
      <c r="H3483" s="1">
        <v>44742</v>
      </c>
      <c r="I3483">
        <v>2022</v>
      </c>
      <c r="J3483">
        <v>6</v>
      </c>
      <c r="K3483" t="s">
        <v>30</v>
      </c>
      <c r="L3483">
        <v>0</v>
      </c>
      <c r="M3483">
        <v>1</v>
      </c>
    </row>
    <row r="3484" spans="1:13" x14ac:dyDescent="0.25">
      <c r="A3484" t="s">
        <v>2456</v>
      </c>
      <c r="B3484" t="s">
        <v>77</v>
      </c>
      <c r="C3484" t="s">
        <v>83</v>
      </c>
      <c r="D3484" t="s">
        <v>68</v>
      </c>
      <c r="E3484">
        <v>14</v>
      </c>
      <c r="F3484">
        <v>0.1</v>
      </c>
      <c r="G3484">
        <v>22</v>
      </c>
      <c r="H3484" s="1">
        <v>44742</v>
      </c>
      <c r="I3484">
        <v>2022</v>
      </c>
      <c r="J3484">
        <v>6</v>
      </c>
      <c r="K3484" t="s">
        <v>30</v>
      </c>
      <c r="L3484">
        <v>0</v>
      </c>
      <c r="M3484">
        <v>1</v>
      </c>
    </row>
    <row r="3485" spans="1:13" x14ac:dyDescent="0.25">
      <c r="A3485" t="s">
        <v>2457</v>
      </c>
      <c r="B3485" t="s">
        <v>52</v>
      </c>
      <c r="C3485" t="s">
        <v>14</v>
      </c>
      <c r="D3485" t="s">
        <v>46</v>
      </c>
      <c r="E3485">
        <v>12</v>
      </c>
      <c r="F3485">
        <v>0.05</v>
      </c>
      <c r="G3485">
        <v>106</v>
      </c>
      <c r="H3485" s="1">
        <v>44742</v>
      </c>
      <c r="I3485">
        <v>2022</v>
      </c>
      <c r="J3485">
        <v>6</v>
      </c>
      <c r="K3485" t="s">
        <v>36</v>
      </c>
      <c r="L3485">
        <v>0</v>
      </c>
      <c r="M3485">
        <v>1</v>
      </c>
    </row>
    <row r="3486" spans="1:13" x14ac:dyDescent="0.25">
      <c r="A3486" t="s">
        <v>2458</v>
      </c>
      <c r="B3486" t="s">
        <v>342</v>
      </c>
      <c r="C3486" t="s">
        <v>14</v>
      </c>
      <c r="D3486" t="s">
        <v>49</v>
      </c>
      <c r="E3486" t="s">
        <v>21</v>
      </c>
      <c r="F3486">
        <v>1</v>
      </c>
      <c r="G3486">
        <v>5</v>
      </c>
      <c r="H3486" s="1">
        <v>44742</v>
      </c>
      <c r="I3486">
        <v>2022</v>
      </c>
      <c r="J3486">
        <v>6</v>
      </c>
      <c r="K3486" t="s">
        <v>16</v>
      </c>
      <c r="L3486">
        <v>1</v>
      </c>
      <c r="M3486">
        <v>1</v>
      </c>
    </row>
    <row r="3487" spans="1:13" x14ac:dyDescent="0.25">
      <c r="A3487" t="s">
        <v>2459</v>
      </c>
      <c r="B3487" t="s">
        <v>77</v>
      </c>
      <c r="C3487" t="s">
        <v>14</v>
      </c>
      <c r="D3487" t="s">
        <v>68</v>
      </c>
      <c r="E3487" t="s">
        <v>21</v>
      </c>
      <c r="F3487" t="s">
        <v>21</v>
      </c>
      <c r="G3487">
        <v>7</v>
      </c>
      <c r="H3487" s="1">
        <v>44742</v>
      </c>
      <c r="I3487">
        <v>2022</v>
      </c>
      <c r="J3487">
        <v>6</v>
      </c>
      <c r="K3487" t="s">
        <v>16</v>
      </c>
      <c r="L3487" t="s">
        <v>21</v>
      </c>
      <c r="M3487">
        <v>0</v>
      </c>
    </row>
    <row r="3488" spans="1:13" x14ac:dyDescent="0.25">
      <c r="A3488" t="s">
        <v>2460</v>
      </c>
      <c r="B3488" t="s">
        <v>91</v>
      </c>
      <c r="C3488" t="s">
        <v>14</v>
      </c>
      <c r="D3488" t="s">
        <v>46</v>
      </c>
      <c r="E3488" t="s">
        <v>21</v>
      </c>
      <c r="F3488">
        <v>0.15</v>
      </c>
      <c r="G3488">
        <v>135</v>
      </c>
      <c r="H3488" s="1">
        <v>44742</v>
      </c>
      <c r="I3488">
        <v>2022</v>
      </c>
      <c r="J3488">
        <v>6</v>
      </c>
      <c r="K3488" t="s">
        <v>36</v>
      </c>
      <c r="L3488">
        <v>0</v>
      </c>
      <c r="M3488">
        <v>1</v>
      </c>
    </row>
    <row r="3489" spans="1:13" x14ac:dyDescent="0.25">
      <c r="A3489" t="s">
        <v>2461</v>
      </c>
      <c r="B3489" t="s">
        <v>106</v>
      </c>
      <c r="C3489" t="s">
        <v>48</v>
      </c>
      <c r="D3489" t="s">
        <v>20</v>
      </c>
      <c r="E3489">
        <v>350</v>
      </c>
      <c r="F3489" t="s">
        <v>21</v>
      </c>
      <c r="G3489">
        <v>112</v>
      </c>
      <c r="H3489" s="1">
        <v>44741</v>
      </c>
      <c r="I3489">
        <v>2022</v>
      </c>
      <c r="J3489">
        <v>6</v>
      </c>
      <c r="K3489" t="s">
        <v>36</v>
      </c>
      <c r="L3489" t="s">
        <v>21</v>
      </c>
      <c r="M3489">
        <v>1</v>
      </c>
    </row>
    <row r="3490" spans="1:13" x14ac:dyDescent="0.25">
      <c r="A3490" t="s">
        <v>497</v>
      </c>
      <c r="B3490" t="s">
        <v>13</v>
      </c>
      <c r="C3490" t="s">
        <v>14</v>
      </c>
      <c r="D3490" t="s">
        <v>15</v>
      </c>
      <c r="E3490">
        <v>200</v>
      </c>
      <c r="F3490">
        <v>0.04</v>
      </c>
      <c r="G3490">
        <v>1300</v>
      </c>
      <c r="H3490" s="1">
        <v>44741</v>
      </c>
      <c r="I3490">
        <v>2022</v>
      </c>
      <c r="J3490">
        <v>6</v>
      </c>
      <c r="K3490" t="s">
        <v>26</v>
      </c>
      <c r="L3490">
        <v>0</v>
      </c>
      <c r="M3490">
        <v>1</v>
      </c>
    </row>
    <row r="3491" spans="1:13" x14ac:dyDescent="0.25">
      <c r="A3491" t="s">
        <v>462</v>
      </c>
      <c r="B3491" t="s">
        <v>18</v>
      </c>
      <c r="C3491" t="s">
        <v>14</v>
      </c>
      <c r="D3491" t="s">
        <v>55</v>
      </c>
      <c r="E3491">
        <v>85</v>
      </c>
      <c r="F3491">
        <v>0.08</v>
      </c>
      <c r="G3491">
        <v>770</v>
      </c>
      <c r="H3491" s="1">
        <v>44741</v>
      </c>
      <c r="I3491">
        <v>2022</v>
      </c>
      <c r="J3491">
        <v>6</v>
      </c>
      <c r="K3491" t="s">
        <v>36</v>
      </c>
      <c r="L3491">
        <v>0</v>
      </c>
      <c r="M3491">
        <v>1</v>
      </c>
    </row>
    <row r="3492" spans="1:13" x14ac:dyDescent="0.25">
      <c r="A3492" t="s">
        <v>1386</v>
      </c>
      <c r="B3492" t="s">
        <v>73</v>
      </c>
      <c r="C3492" t="s">
        <v>14</v>
      </c>
      <c r="D3492" t="s">
        <v>22</v>
      </c>
      <c r="E3492">
        <v>80</v>
      </c>
      <c r="F3492" t="s">
        <v>21</v>
      </c>
      <c r="G3492">
        <v>811</v>
      </c>
      <c r="H3492" s="1">
        <v>44741</v>
      </c>
      <c r="I3492">
        <v>2022</v>
      </c>
      <c r="J3492">
        <v>6</v>
      </c>
      <c r="K3492" t="s">
        <v>36</v>
      </c>
      <c r="L3492" t="s">
        <v>21</v>
      </c>
      <c r="M3492">
        <v>1</v>
      </c>
    </row>
    <row r="3493" spans="1:13" x14ac:dyDescent="0.25">
      <c r="A3493" t="s">
        <v>2462</v>
      </c>
      <c r="B3493" t="s">
        <v>38</v>
      </c>
      <c r="C3493" t="s">
        <v>14</v>
      </c>
      <c r="D3493" t="s">
        <v>111</v>
      </c>
      <c r="E3493">
        <v>80</v>
      </c>
      <c r="F3493">
        <v>0.19</v>
      </c>
      <c r="G3493">
        <v>347</v>
      </c>
      <c r="H3493" s="1">
        <v>44741</v>
      </c>
      <c r="I3493">
        <v>2022</v>
      </c>
      <c r="J3493">
        <v>6</v>
      </c>
      <c r="K3493" t="s">
        <v>36</v>
      </c>
      <c r="L3493">
        <v>0</v>
      </c>
      <c r="M3493">
        <v>1</v>
      </c>
    </row>
    <row r="3494" spans="1:13" x14ac:dyDescent="0.25">
      <c r="A3494" t="s">
        <v>1839</v>
      </c>
      <c r="B3494" t="s">
        <v>66</v>
      </c>
      <c r="C3494" t="s">
        <v>174</v>
      </c>
      <c r="D3494" t="s">
        <v>33</v>
      </c>
      <c r="E3494">
        <v>76</v>
      </c>
      <c r="F3494">
        <v>0.22</v>
      </c>
      <c r="G3494">
        <v>153</v>
      </c>
      <c r="H3494" s="1">
        <v>44741</v>
      </c>
      <c r="I3494">
        <v>2022</v>
      </c>
      <c r="J3494">
        <v>6</v>
      </c>
      <c r="K3494" t="s">
        <v>36</v>
      </c>
      <c r="L3494">
        <v>0</v>
      </c>
      <c r="M3494">
        <v>1</v>
      </c>
    </row>
    <row r="3495" spans="1:13" x14ac:dyDescent="0.25">
      <c r="A3495" t="s">
        <v>2463</v>
      </c>
      <c r="B3495" t="s">
        <v>140</v>
      </c>
      <c r="C3495" t="s">
        <v>14</v>
      </c>
      <c r="D3495" t="s">
        <v>22</v>
      </c>
      <c r="E3495">
        <v>60</v>
      </c>
      <c r="F3495" t="s">
        <v>21</v>
      </c>
      <c r="G3495">
        <v>8</v>
      </c>
      <c r="H3495" s="1">
        <v>44741</v>
      </c>
      <c r="I3495">
        <v>2022</v>
      </c>
      <c r="J3495">
        <v>6</v>
      </c>
      <c r="K3495" t="s">
        <v>16</v>
      </c>
      <c r="L3495" t="s">
        <v>21</v>
      </c>
      <c r="M3495">
        <v>1</v>
      </c>
    </row>
    <row r="3496" spans="1:13" x14ac:dyDescent="0.25">
      <c r="A3496" t="s">
        <v>2464</v>
      </c>
      <c r="B3496" t="s">
        <v>66</v>
      </c>
      <c r="C3496" t="s">
        <v>48</v>
      </c>
      <c r="D3496" t="s">
        <v>22</v>
      </c>
      <c r="E3496">
        <v>40</v>
      </c>
      <c r="F3496">
        <v>0.2</v>
      </c>
      <c r="G3496">
        <v>13</v>
      </c>
      <c r="H3496" s="1">
        <v>44741</v>
      </c>
      <c r="I3496">
        <v>2022</v>
      </c>
      <c r="J3496">
        <v>6</v>
      </c>
      <c r="K3496" t="s">
        <v>30</v>
      </c>
      <c r="L3496">
        <v>0</v>
      </c>
      <c r="M3496">
        <v>1</v>
      </c>
    </row>
    <row r="3497" spans="1:13" x14ac:dyDescent="0.25">
      <c r="A3497" t="s">
        <v>2465</v>
      </c>
      <c r="B3497" t="s">
        <v>13</v>
      </c>
      <c r="C3497" t="s">
        <v>83</v>
      </c>
      <c r="D3497" t="s">
        <v>33</v>
      </c>
      <c r="E3497">
        <v>18</v>
      </c>
      <c r="F3497">
        <v>0.3</v>
      </c>
      <c r="G3497">
        <v>25</v>
      </c>
      <c r="H3497" s="1">
        <v>44741</v>
      </c>
      <c r="I3497">
        <v>2022</v>
      </c>
      <c r="J3497">
        <v>6</v>
      </c>
      <c r="K3497" t="s">
        <v>30</v>
      </c>
      <c r="L3497">
        <v>0</v>
      </c>
      <c r="M3497">
        <v>1</v>
      </c>
    </row>
    <row r="3498" spans="1:13" x14ac:dyDescent="0.25">
      <c r="A3498" t="s">
        <v>2466</v>
      </c>
      <c r="B3498" t="s">
        <v>66</v>
      </c>
      <c r="C3498" t="s">
        <v>14</v>
      </c>
      <c r="D3498" t="s">
        <v>68</v>
      </c>
      <c r="E3498">
        <v>16</v>
      </c>
      <c r="F3498">
        <v>0.25</v>
      </c>
      <c r="G3498">
        <v>13</v>
      </c>
      <c r="H3498" s="1">
        <v>44741</v>
      </c>
      <c r="I3498">
        <v>2022</v>
      </c>
      <c r="J3498">
        <v>6</v>
      </c>
      <c r="K3498" t="s">
        <v>30</v>
      </c>
      <c r="L3498">
        <v>0</v>
      </c>
      <c r="M3498">
        <v>1</v>
      </c>
    </row>
    <row r="3499" spans="1:13" x14ac:dyDescent="0.25">
      <c r="A3499" t="s">
        <v>2467</v>
      </c>
      <c r="B3499" t="s">
        <v>32</v>
      </c>
      <c r="C3499" t="s">
        <v>14</v>
      </c>
      <c r="D3499" t="s">
        <v>33</v>
      </c>
      <c r="E3499">
        <v>13</v>
      </c>
      <c r="F3499">
        <v>0.14000000000000001</v>
      </c>
      <c r="G3499">
        <v>82</v>
      </c>
      <c r="H3499" s="1">
        <v>44741</v>
      </c>
      <c r="I3499">
        <v>2022</v>
      </c>
      <c r="J3499">
        <v>6</v>
      </c>
      <c r="K3499" t="s">
        <v>30</v>
      </c>
      <c r="L3499">
        <v>0</v>
      </c>
      <c r="M3499">
        <v>1</v>
      </c>
    </row>
    <row r="3500" spans="1:13" x14ac:dyDescent="0.25">
      <c r="A3500" t="s">
        <v>2468</v>
      </c>
      <c r="B3500" t="s">
        <v>24</v>
      </c>
      <c r="C3500" t="s">
        <v>14</v>
      </c>
      <c r="D3500" t="s">
        <v>22</v>
      </c>
      <c r="E3500" t="s">
        <v>21</v>
      </c>
      <c r="F3500" t="s">
        <v>21</v>
      </c>
      <c r="G3500" t="s">
        <v>21</v>
      </c>
      <c r="H3500" s="1">
        <v>44741</v>
      </c>
      <c r="I3500">
        <v>2022</v>
      </c>
      <c r="J3500">
        <v>6</v>
      </c>
      <c r="K3500" t="s">
        <v>22</v>
      </c>
      <c r="L3500" t="s">
        <v>21</v>
      </c>
      <c r="M3500">
        <v>0</v>
      </c>
    </row>
    <row r="3501" spans="1:13" x14ac:dyDescent="0.25">
      <c r="A3501" t="s">
        <v>1290</v>
      </c>
      <c r="B3501" t="s">
        <v>106</v>
      </c>
      <c r="C3501" t="s">
        <v>14</v>
      </c>
      <c r="D3501" t="s">
        <v>55</v>
      </c>
      <c r="E3501" t="s">
        <v>21</v>
      </c>
      <c r="F3501">
        <v>0.15</v>
      </c>
      <c r="G3501">
        <v>411</v>
      </c>
      <c r="H3501" s="1">
        <v>44741</v>
      </c>
      <c r="I3501">
        <v>2022</v>
      </c>
      <c r="J3501">
        <v>6</v>
      </c>
      <c r="K3501" t="s">
        <v>36</v>
      </c>
      <c r="L3501">
        <v>0</v>
      </c>
      <c r="M3501">
        <v>1</v>
      </c>
    </row>
    <row r="3502" spans="1:13" x14ac:dyDescent="0.25">
      <c r="A3502" t="s">
        <v>2469</v>
      </c>
      <c r="B3502" t="s">
        <v>91</v>
      </c>
      <c r="C3502" t="s">
        <v>14</v>
      </c>
      <c r="D3502" t="s">
        <v>55</v>
      </c>
      <c r="E3502" t="s">
        <v>21</v>
      </c>
      <c r="F3502">
        <v>0.19</v>
      </c>
      <c r="G3502">
        <v>743</v>
      </c>
      <c r="H3502" s="1">
        <v>44741</v>
      </c>
      <c r="I3502">
        <v>2022</v>
      </c>
      <c r="J3502">
        <v>6</v>
      </c>
      <c r="K3502" t="s">
        <v>36</v>
      </c>
      <c r="L3502">
        <v>0</v>
      </c>
      <c r="M3502">
        <v>1</v>
      </c>
    </row>
    <row r="3503" spans="1:13" x14ac:dyDescent="0.25">
      <c r="A3503" t="s">
        <v>2470</v>
      </c>
      <c r="B3503" t="s">
        <v>24</v>
      </c>
      <c r="C3503" t="s">
        <v>14</v>
      </c>
      <c r="D3503" t="s">
        <v>46</v>
      </c>
      <c r="E3503" t="s">
        <v>21</v>
      </c>
      <c r="F3503" t="s">
        <v>21</v>
      </c>
      <c r="G3503">
        <v>72</v>
      </c>
      <c r="H3503" s="1">
        <v>44741</v>
      </c>
      <c r="I3503">
        <v>2022</v>
      </c>
      <c r="J3503">
        <v>6</v>
      </c>
      <c r="K3503" t="s">
        <v>30</v>
      </c>
      <c r="L3503" t="s">
        <v>21</v>
      </c>
      <c r="M3503">
        <v>0</v>
      </c>
    </row>
    <row r="3504" spans="1:13" x14ac:dyDescent="0.25">
      <c r="A3504" t="s">
        <v>2471</v>
      </c>
      <c r="B3504" t="s">
        <v>77</v>
      </c>
      <c r="C3504" t="s">
        <v>42</v>
      </c>
      <c r="D3504" t="s">
        <v>111</v>
      </c>
      <c r="E3504" t="s">
        <v>21</v>
      </c>
      <c r="F3504">
        <v>1</v>
      </c>
      <c r="G3504">
        <v>90</v>
      </c>
      <c r="H3504" s="1">
        <v>44741</v>
      </c>
      <c r="I3504">
        <v>2022</v>
      </c>
      <c r="J3504">
        <v>6</v>
      </c>
      <c r="K3504" t="s">
        <v>30</v>
      </c>
      <c r="L3504">
        <v>1</v>
      </c>
      <c r="M3504">
        <v>1</v>
      </c>
    </row>
    <row r="3505" spans="1:13" x14ac:dyDescent="0.25">
      <c r="A3505" t="s">
        <v>1898</v>
      </c>
      <c r="B3505" t="s">
        <v>52</v>
      </c>
      <c r="C3505" t="s">
        <v>657</v>
      </c>
      <c r="D3505" t="s">
        <v>22</v>
      </c>
      <c r="E3505">
        <v>300</v>
      </c>
      <c r="F3505">
        <v>0.3</v>
      </c>
      <c r="G3505">
        <v>2</v>
      </c>
      <c r="H3505" s="1">
        <v>44740</v>
      </c>
      <c r="I3505">
        <v>2022</v>
      </c>
      <c r="J3505">
        <v>6</v>
      </c>
      <c r="K3505" t="s">
        <v>16</v>
      </c>
      <c r="L3505">
        <v>0</v>
      </c>
      <c r="M3505">
        <v>1</v>
      </c>
    </row>
    <row r="3506" spans="1:13" x14ac:dyDescent="0.25">
      <c r="A3506" t="s">
        <v>2472</v>
      </c>
      <c r="B3506" t="s">
        <v>106</v>
      </c>
      <c r="C3506" t="s">
        <v>48</v>
      </c>
      <c r="D3506" t="s">
        <v>20</v>
      </c>
      <c r="E3506">
        <v>300</v>
      </c>
      <c r="F3506" t="s">
        <v>21</v>
      </c>
      <c r="G3506">
        <v>11</v>
      </c>
      <c r="H3506" s="1">
        <v>44740</v>
      </c>
      <c r="I3506">
        <v>2022</v>
      </c>
      <c r="J3506">
        <v>6</v>
      </c>
      <c r="K3506" t="s">
        <v>30</v>
      </c>
      <c r="L3506" t="s">
        <v>21</v>
      </c>
      <c r="M3506">
        <v>1</v>
      </c>
    </row>
    <row r="3507" spans="1:13" x14ac:dyDescent="0.25">
      <c r="A3507" t="s">
        <v>2473</v>
      </c>
      <c r="B3507" t="s">
        <v>24</v>
      </c>
      <c r="C3507" t="s">
        <v>14</v>
      </c>
      <c r="D3507" t="s">
        <v>111</v>
      </c>
      <c r="E3507">
        <v>120</v>
      </c>
      <c r="F3507">
        <v>0.08</v>
      </c>
      <c r="G3507">
        <v>690</v>
      </c>
      <c r="H3507" s="1">
        <v>44740</v>
      </c>
      <c r="I3507">
        <v>2022</v>
      </c>
      <c r="J3507">
        <v>6</v>
      </c>
      <c r="K3507" t="s">
        <v>36</v>
      </c>
      <c r="L3507">
        <v>0</v>
      </c>
      <c r="M3507">
        <v>1</v>
      </c>
    </row>
    <row r="3508" spans="1:13" x14ac:dyDescent="0.25">
      <c r="A3508" t="s">
        <v>2474</v>
      </c>
      <c r="B3508" t="s">
        <v>35</v>
      </c>
      <c r="C3508" t="s">
        <v>14</v>
      </c>
      <c r="D3508" t="s">
        <v>46</v>
      </c>
      <c r="E3508">
        <v>110</v>
      </c>
      <c r="F3508">
        <v>0.4</v>
      </c>
      <c r="G3508">
        <v>163</v>
      </c>
      <c r="H3508" s="1">
        <v>44740</v>
      </c>
      <c r="I3508">
        <v>2022</v>
      </c>
      <c r="J3508">
        <v>6</v>
      </c>
      <c r="K3508" t="s">
        <v>36</v>
      </c>
      <c r="L3508">
        <v>0</v>
      </c>
      <c r="M3508">
        <v>1</v>
      </c>
    </row>
    <row r="3509" spans="1:13" x14ac:dyDescent="0.25">
      <c r="A3509" t="s">
        <v>2473</v>
      </c>
      <c r="B3509" t="s">
        <v>24</v>
      </c>
      <c r="C3509" t="s">
        <v>14</v>
      </c>
      <c r="D3509" t="s">
        <v>111</v>
      </c>
      <c r="E3509">
        <v>80</v>
      </c>
      <c r="F3509" t="s">
        <v>21</v>
      </c>
      <c r="G3509">
        <v>690</v>
      </c>
      <c r="H3509" s="1">
        <v>44740</v>
      </c>
      <c r="I3509">
        <v>2022</v>
      </c>
      <c r="J3509">
        <v>6</v>
      </c>
      <c r="K3509" t="s">
        <v>36</v>
      </c>
      <c r="L3509" t="s">
        <v>21</v>
      </c>
      <c r="M3509">
        <v>1</v>
      </c>
    </row>
    <row r="3510" spans="1:13" x14ac:dyDescent="0.25">
      <c r="A3510" t="s">
        <v>2475</v>
      </c>
      <c r="B3510" t="s">
        <v>35</v>
      </c>
      <c r="C3510" t="s">
        <v>172</v>
      </c>
      <c r="D3510" t="s">
        <v>55</v>
      </c>
      <c r="E3510">
        <v>50</v>
      </c>
      <c r="F3510">
        <v>0.1</v>
      </c>
      <c r="G3510">
        <v>71</v>
      </c>
      <c r="H3510" s="1">
        <v>44740</v>
      </c>
      <c r="I3510">
        <v>2022</v>
      </c>
      <c r="J3510">
        <v>6</v>
      </c>
      <c r="K3510" t="s">
        <v>30</v>
      </c>
      <c r="L3510">
        <v>0</v>
      </c>
      <c r="M3510">
        <v>1</v>
      </c>
    </row>
    <row r="3511" spans="1:13" x14ac:dyDescent="0.25">
      <c r="A3511" t="s">
        <v>2476</v>
      </c>
      <c r="B3511" t="s">
        <v>38</v>
      </c>
      <c r="C3511" t="s">
        <v>29</v>
      </c>
      <c r="D3511" t="s">
        <v>22</v>
      </c>
      <c r="E3511">
        <v>30</v>
      </c>
      <c r="F3511">
        <v>0.08</v>
      </c>
      <c r="G3511">
        <v>250</v>
      </c>
      <c r="H3511" s="1">
        <v>44740</v>
      </c>
      <c r="I3511">
        <v>2022</v>
      </c>
      <c r="J3511">
        <v>6</v>
      </c>
      <c r="K3511" t="s">
        <v>36</v>
      </c>
      <c r="L3511">
        <v>0</v>
      </c>
      <c r="M3511">
        <v>1</v>
      </c>
    </row>
    <row r="3512" spans="1:13" x14ac:dyDescent="0.25">
      <c r="A3512" t="s">
        <v>2477</v>
      </c>
      <c r="B3512" t="s">
        <v>35</v>
      </c>
      <c r="C3512" t="s">
        <v>42</v>
      </c>
      <c r="D3512" t="s">
        <v>33</v>
      </c>
      <c r="E3512">
        <v>18</v>
      </c>
      <c r="F3512">
        <v>0.5</v>
      </c>
      <c r="G3512">
        <v>20</v>
      </c>
      <c r="H3512" s="1">
        <v>44740</v>
      </c>
      <c r="I3512">
        <v>2022</v>
      </c>
      <c r="J3512">
        <v>6</v>
      </c>
      <c r="K3512" t="s">
        <v>30</v>
      </c>
      <c r="L3512">
        <v>0</v>
      </c>
      <c r="M3512">
        <v>1</v>
      </c>
    </row>
    <row r="3513" spans="1:13" x14ac:dyDescent="0.25">
      <c r="A3513" t="s">
        <v>1795</v>
      </c>
      <c r="B3513" t="s">
        <v>24</v>
      </c>
      <c r="C3513" t="s">
        <v>42</v>
      </c>
      <c r="D3513" t="s">
        <v>68</v>
      </c>
      <c r="E3513" t="s">
        <v>21</v>
      </c>
      <c r="F3513" t="s">
        <v>21</v>
      </c>
      <c r="G3513">
        <v>23</v>
      </c>
      <c r="H3513" s="1">
        <v>44740</v>
      </c>
      <c r="I3513">
        <v>2022</v>
      </c>
      <c r="J3513">
        <v>6</v>
      </c>
      <c r="K3513" t="s">
        <v>30</v>
      </c>
      <c r="L3513" t="s">
        <v>21</v>
      </c>
      <c r="M3513">
        <v>0</v>
      </c>
    </row>
    <row r="3514" spans="1:13" x14ac:dyDescent="0.25">
      <c r="A3514" t="s">
        <v>2478</v>
      </c>
      <c r="B3514" t="s">
        <v>35</v>
      </c>
      <c r="C3514" t="s">
        <v>48</v>
      </c>
      <c r="D3514" t="s">
        <v>33</v>
      </c>
      <c r="E3514" t="s">
        <v>21</v>
      </c>
      <c r="F3514">
        <v>0.3</v>
      </c>
      <c r="G3514">
        <v>41</v>
      </c>
      <c r="H3514" s="1">
        <v>44740</v>
      </c>
      <c r="I3514">
        <v>2022</v>
      </c>
      <c r="J3514">
        <v>6</v>
      </c>
      <c r="K3514" t="s">
        <v>30</v>
      </c>
      <c r="L3514">
        <v>0</v>
      </c>
      <c r="M3514">
        <v>1</v>
      </c>
    </row>
    <row r="3515" spans="1:13" x14ac:dyDescent="0.25">
      <c r="A3515" t="s">
        <v>2479</v>
      </c>
      <c r="B3515" t="s">
        <v>24</v>
      </c>
      <c r="C3515" t="s">
        <v>64</v>
      </c>
      <c r="D3515" t="s">
        <v>68</v>
      </c>
      <c r="E3515" t="s">
        <v>21</v>
      </c>
      <c r="F3515">
        <v>0.1</v>
      </c>
      <c r="G3515">
        <v>55</v>
      </c>
      <c r="H3515" s="1">
        <v>44740</v>
      </c>
      <c r="I3515">
        <v>2022</v>
      </c>
      <c r="J3515">
        <v>6</v>
      </c>
      <c r="K3515" t="s">
        <v>30</v>
      </c>
      <c r="L3515">
        <v>0</v>
      </c>
      <c r="M3515">
        <v>1</v>
      </c>
    </row>
    <row r="3516" spans="1:13" x14ac:dyDescent="0.25">
      <c r="A3516" t="s">
        <v>447</v>
      </c>
      <c r="B3516" t="s">
        <v>54</v>
      </c>
      <c r="C3516" t="s">
        <v>14</v>
      </c>
      <c r="D3516" t="s">
        <v>15</v>
      </c>
      <c r="E3516">
        <v>300</v>
      </c>
      <c r="F3516">
        <v>0.12</v>
      </c>
      <c r="G3516">
        <v>1600</v>
      </c>
      <c r="H3516" s="1">
        <v>44739</v>
      </c>
      <c r="I3516">
        <v>2022</v>
      </c>
      <c r="J3516">
        <v>6</v>
      </c>
      <c r="K3516" t="s">
        <v>26</v>
      </c>
      <c r="L3516">
        <v>0</v>
      </c>
      <c r="M3516">
        <v>1</v>
      </c>
    </row>
    <row r="3517" spans="1:13" x14ac:dyDescent="0.25">
      <c r="A3517" t="s">
        <v>2083</v>
      </c>
      <c r="B3517" t="s">
        <v>38</v>
      </c>
      <c r="C3517" t="s">
        <v>14</v>
      </c>
      <c r="D3517" t="s">
        <v>15</v>
      </c>
      <c r="E3517">
        <v>210</v>
      </c>
      <c r="F3517">
        <v>0.05</v>
      </c>
      <c r="G3517">
        <v>2000</v>
      </c>
      <c r="H3517" s="1">
        <v>44739</v>
      </c>
      <c r="I3517">
        <v>2022</v>
      </c>
      <c r="J3517">
        <v>6</v>
      </c>
      <c r="K3517" t="s">
        <v>26</v>
      </c>
      <c r="L3517">
        <v>0</v>
      </c>
      <c r="M3517">
        <v>1</v>
      </c>
    </row>
    <row r="3518" spans="1:13" x14ac:dyDescent="0.25">
      <c r="A3518" t="s">
        <v>1005</v>
      </c>
      <c r="B3518" t="s">
        <v>24</v>
      </c>
      <c r="C3518" t="s">
        <v>48</v>
      </c>
      <c r="D3518" t="s">
        <v>22</v>
      </c>
      <c r="E3518">
        <v>180</v>
      </c>
      <c r="F3518">
        <v>0.04</v>
      </c>
      <c r="G3518">
        <v>1500</v>
      </c>
      <c r="H3518" s="1">
        <v>44739</v>
      </c>
      <c r="I3518">
        <v>2022</v>
      </c>
      <c r="J3518">
        <v>6</v>
      </c>
      <c r="K3518" t="s">
        <v>26</v>
      </c>
      <c r="L3518">
        <v>0</v>
      </c>
      <c r="M3518">
        <v>1</v>
      </c>
    </row>
    <row r="3519" spans="1:13" x14ac:dyDescent="0.25">
      <c r="A3519" t="s">
        <v>1905</v>
      </c>
      <c r="B3519" t="s">
        <v>35</v>
      </c>
      <c r="C3519" t="s">
        <v>14</v>
      </c>
      <c r="D3519" t="s">
        <v>15</v>
      </c>
      <c r="E3519">
        <v>170</v>
      </c>
      <c r="F3519" t="s">
        <v>21</v>
      </c>
      <c r="G3519">
        <v>999</v>
      </c>
      <c r="H3519" s="1">
        <v>44739</v>
      </c>
      <c r="I3519">
        <v>2022</v>
      </c>
      <c r="J3519">
        <v>6</v>
      </c>
      <c r="K3519" t="s">
        <v>36</v>
      </c>
      <c r="L3519" t="s">
        <v>21</v>
      </c>
      <c r="M3519">
        <v>1</v>
      </c>
    </row>
    <row r="3520" spans="1:13" x14ac:dyDescent="0.25">
      <c r="A3520" t="s">
        <v>2480</v>
      </c>
      <c r="B3520" t="s">
        <v>52</v>
      </c>
      <c r="C3520" t="s">
        <v>42</v>
      </c>
      <c r="D3520" t="s">
        <v>15</v>
      </c>
      <c r="E3520">
        <v>70</v>
      </c>
      <c r="F3520">
        <v>0.3</v>
      </c>
      <c r="G3520">
        <v>13</v>
      </c>
      <c r="H3520" s="1">
        <v>44739</v>
      </c>
      <c r="I3520">
        <v>2022</v>
      </c>
      <c r="J3520">
        <v>6</v>
      </c>
      <c r="K3520" t="s">
        <v>30</v>
      </c>
      <c r="L3520">
        <v>0</v>
      </c>
      <c r="M3520">
        <v>1</v>
      </c>
    </row>
    <row r="3521" spans="1:13" x14ac:dyDescent="0.25">
      <c r="A3521" t="s">
        <v>2481</v>
      </c>
      <c r="B3521" t="s">
        <v>38</v>
      </c>
      <c r="C3521" t="s">
        <v>14</v>
      </c>
      <c r="D3521" t="s">
        <v>33</v>
      </c>
      <c r="E3521">
        <v>27</v>
      </c>
      <c r="F3521">
        <v>0.25</v>
      </c>
      <c r="G3521">
        <v>61</v>
      </c>
      <c r="H3521" s="1">
        <v>44739</v>
      </c>
      <c r="I3521">
        <v>2022</v>
      </c>
      <c r="J3521">
        <v>6</v>
      </c>
      <c r="K3521" t="s">
        <v>30</v>
      </c>
      <c r="L3521">
        <v>0</v>
      </c>
      <c r="M3521">
        <v>1</v>
      </c>
    </row>
    <row r="3522" spans="1:13" x14ac:dyDescent="0.25">
      <c r="A3522" t="s">
        <v>1646</v>
      </c>
      <c r="B3522" t="s">
        <v>77</v>
      </c>
      <c r="C3522" t="s">
        <v>14</v>
      </c>
      <c r="D3522" t="s">
        <v>22</v>
      </c>
      <c r="E3522" t="s">
        <v>21</v>
      </c>
      <c r="F3522">
        <v>0.18</v>
      </c>
      <c r="G3522">
        <v>283</v>
      </c>
      <c r="H3522" s="1">
        <v>44739</v>
      </c>
      <c r="I3522">
        <v>2022</v>
      </c>
      <c r="J3522">
        <v>6</v>
      </c>
      <c r="K3522" t="s">
        <v>36</v>
      </c>
      <c r="L3522">
        <v>0</v>
      </c>
      <c r="M3522">
        <v>1</v>
      </c>
    </row>
    <row r="3523" spans="1:13" x14ac:dyDescent="0.25">
      <c r="A3523" t="s">
        <v>2482</v>
      </c>
      <c r="B3523" t="s">
        <v>54</v>
      </c>
      <c r="C3523" t="s">
        <v>14</v>
      </c>
      <c r="D3523" t="s">
        <v>46</v>
      </c>
      <c r="E3523">
        <v>43</v>
      </c>
      <c r="F3523" t="s">
        <v>21</v>
      </c>
      <c r="G3523">
        <v>106</v>
      </c>
      <c r="H3523" s="1">
        <v>44738</v>
      </c>
      <c r="I3523">
        <v>2022</v>
      </c>
      <c r="J3523">
        <v>6</v>
      </c>
      <c r="K3523" t="s">
        <v>36</v>
      </c>
      <c r="L3523" t="s">
        <v>21</v>
      </c>
      <c r="M3523">
        <v>1</v>
      </c>
    </row>
    <row r="3524" spans="1:13" x14ac:dyDescent="0.25">
      <c r="A3524" t="s">
        <v>2483</v>
      </c>
      <c r="B3524" t="s">
        <v>52</v>
      </c>
      <c r="C3524" t="s">
        <v>71</v>
      </c>
      <c r="D3524" t="s">
        <v>46</v>
      </c>
      <c r="E3524">
        <v>270</v>
      </c>
      <c r="F3524">
        <v>0.27</v>
      </c>
      <c r="G3524">
        <v>546</v>
      </c>
      <c r="H3524" s="1">
        <v>44736</v>
      </c>
      <c r="I3524">
        <v>2022</v>
      </c>
      <c r="J3524">
        <v>6</v>
      </c>
      <c r="K3524" t="s">
        <v>36</v>
      </c>
      <c r="L3524">
        <v>0</v>
      </c>
      <c r="M3524">
        <v>1</v>
      </c>
    </row>
    <row r="3525" spans="1:13" x14ac:dyDescent="0.25">
      <c r="A3525" t="s">
        <v>2484</v>
      </c>
      <c r="B3525" t="s">
        <v>77</v>
      </c>
      <c r="C3525" t="s">
        <v>14</v>
      </c>
      <c r="D3525" t="s">
        <v>68</v>
      </c>
      <c r="E3525">
        <v>90</v>
      </c>
      <c r="F3525">
        <v>0.23</v>
      </c>
      <c r="G3525">
        <v>124</v>
      </c>
      <c r="H3525" s="1">
        <v>44736</v>
      </c>
      <c r="I3525">
        <v>2022</v>
      </c>
      <c r="J3525">
        <v>6</v>
      </c>
      <c r="K3525" t="s">
        <v>36</v>
      </c>
      <c r="L3525">
        <v>0</v>
      </c>
      <c r="M3525">
        <v>1</v>
      </c>
    </row>
    <row r="3526" spans="1:13" x14ac:dyDescent="0.25">
      <c r="A3526" t="s">
        <v>2485</v>
      </c>
      <c r="B3526" t="s">
        <v>77</v>
      </c>
      <c r="C3526" t="s">
        <v>14</v>
      </c>
      <c r="D3526" t="s">
        <v>46</v>
      </c>
      <c r="E3526">
        <v>41</v>
      </c>
      <c r="F3526">
        <v>0.14000000000000001</v>
      </c>
      <c r="G3526">
        <v>137</v>
      </c>
      <c r="H3526" s="1">
        <v>44736</v>
      </c>
      <c r="I3526">
        <v>2022</v>
      </c>
      <c r="J3526">
        <v>6</v>
      </c>
      <c r="K3526" t="s">
        <v>36</v>
      </c>
      <c r="L3526">
        <v>0</v>
      </c>
      <c r="M3526">
        <v>1</v>
      </c>
    </row>
    <row r="3527" spans="1:13" x14ac:dyDescent="0.25">
      <c r="A3527" t="s">
        <v>1670</v>
      </c>
      <c r="B3527" t="s">
        <v>77</v>
      </c>
      <c r="C3527" t="s">
        <v>14</v>
      </c>
      <c r="D3527" t="s">
        <v>55</v>
      </c>
      <c r="E3527">
        <v>40</v>
      </c>
      <c r="F3527">
        <v>0.12</v>
      </c>
      <c r="G3527">
        <v>406</v>
      </c>
      <c r="H3527" s="1">
        <v>44736</v>
      </c>
      <c r="I3527">
        <v>2022</v>
      </c>
      <c r="J3527">
        <v>6</v>
      </c>
      <c r="K3527" t="s">
        <v>36</v>
      </c>
      <c r="L3527">
        <v>0</v>
      </c>
      <c r="M3527">
        <v>1</v>
      </c>
    </row>
    <row r="3528" spans="1:13" x14ac:dyDescent="0.25">
      <c r="A3528" t="s">
        <v>2486</v>
      </c>
      <c r="B3528" t="s">
        <v>24</v>
      </c>
      <c r="C3528" t="s">
        <v>14</v>
      </c>
      <c r="D3528" t="s">
        <v>22</v>
      </c>
      <c r="E3528" t="s">
        <v>21</v>
      </c>
      <c r="F3528" t="s">
        <v>21</v>
      </c>
      <c r="G3528">
        <v>76</v>
      </c>
      <c r="H3528" s="1">
        <v>44736</v>
      </c>
      <c r="I3528">
        <v>2022</v>
      </c>
      <c r="J3528">
        <v>6</v>
      </c>
      <c r="K3528" t="s">
        <v>30</v>
      </c>
      <c r="L3528" t="s">
        <v>21</v>
      </c>
      <c r="M3528">
        <v>0</v>
      </c>
    </row>
    <row r="3529" spans="1:13" x14ac:dyDescent="0.25">
      <c r="A3529" t="s">
        <v>2487</v>
      </c>
      <c r="B3529" t="s">
        <v>35</v>
      </c>
      <c r="C3529" t="s">
        <v>14</v>
      </c>
      <c r="D3529" t="s">
        <v>33</v>
      </c>
      <c r="E3529" t="s">
        <v>21</v>
      </c>
      <c r="F3529" t="s">
        <v>21</v>
      </c>
      <c r="G3529">
        <v>45</v>
      </c>
      <c r="H3529" s="1">
        <v>44736</v>
      </c>
      <c r="I3529">
        <v>2022</v>
      </c>
      <c r="J3529">
        <v>6</v>
      </c>
      <c r="K3529" t="s">
        <v>30</v>
      </c>
      <c r="L3529" t="s">
        <v>21</v>
      </c>
      <c r="M3529">
        <v>0</v>
      </c>
    </row>
    <row r="3530" spans="1:13" x14ac:dyDescent="0.25">
      <c r="A3530" t="s">
        <v>2242</v>
      </c>
      <c r="B3530" t="s">
        <v>32</v>
      </c>
      <c r="C3530" t="s">
        <v>14</v>
      </c>
      <c r="D3530" t="s">
        <v>15</v>
      </c>
      <c r="E3530">
        <v>300</v>
      </c>
      <c r="F3530">
        <v>0.03</v>
      </c>
      <c r="G3530">
        <v>121900</v>
      </c>
      <c r="H3530" s="1">
        <v>44735</v>
      </c>
      <c r="I3530">
        <v>2022</v>
      </c>
      <c r="J3530">
        <v>6</v>
      </c>
      <c r="K3530" t="s">
        <v>26</v>
      </c>
      <c r="L3530">
        <v>0</v>
      </c>
      <c r="M3530">
        <v>1</v>
      </c>
    </row>
    <row r="3531" spans="1:13" x14ac:dyDescent="0.25">
      <c r="A3531" t="s">
        <v>2488</v>
      </c>
      <c r="B3531" t="s">
        <v>28</v>
      </c>
      <c r="C3531" t="s">
        <v>14</v>
      </c>
      <c r="D3531" t="s">
        <v>43</v>
      </c>
      <c r="E3531">
        <v>70</v>
      </c>
      <c r="F3531">
        <v>0.09</v>
      </c>
      <c r="G3531">
        <v>500</v>
      </c>
      <c r="H3531" s="1">
        <v>44735</v>
      </c>
      <c r="I3531">
        <v>2022</v>
      </c>
      <c r="J3531">
        <v>6</v>
      </c>
      <c r="K3531" t="s">
        <v>36</v>
      </c>
      <c r="L3531">
        <v>0</v>
      </c>
      <c r="M3531">
        <v>1</v>
      </c>
    </row>
    <row r="3532" spans="1:13" x14ac:dyDescent="0.25">
      <c r="A3532" t="s">
        <v>2489</v>
      </c>
      <c r="B3532" t="s">
        <v>28</v>
      </c>
      <c r="C3532" t="s">
        <v>14</v>
      </c>
      <c r="D3532" t="s">
        <v>22</v>
      </c>
      <c r="E3532">
        <v>22</v>
      </c>
      <c r="F3532">
        <v>0.13</v>
      </c>
      <c r="G3532">
        <v>19</v>
      </c>
      <c r="H3532" s="1">
        <v>44735</v>
      </c>
      <c r="I3532">
        <v>2022</v>
      </c>
      <c r="J3532">
        <v>6</v>
      </c>
      <c r="K3532" t="s">
        <v>30</v>
      </c>
      <c r="L3532">
        <v>0</v>
      </c>
      <c r="M3532">
        <v>1</v>
      </c>
    </row>
    <row r="3533" spans="1:13" x14ac:dyDescent="0.25">
      <c r="A3533" t="s">
        <v>2490</v>
      </c>
      <c r="B3533" t="s">
        <v>77</v>
      </c>
      <c r="C3533" t="s">
        <v>14</v>
      </c>
      <c r="D3533" t="s">
        <v>46</v>
      </c>
      <c r="E3533">
        <v>15</v>
      </c>
      <c r="F3533">
        <v>7.0000000000000007E-2</v>
      </c>
      <c r="G3533">
        <v>159</v>
      </c>
      <c r="H3533" s="1">
        <v>44735</v>
      </c>
      <c r="I3533">
        <v>2022</v>
      </c>
      <c r="J3533">
        <v>6</v>
      </c>
      <c r="K3533" t="s">
        <v>36</v>
      </c>
      <c r="L3533">
        <v>0</v>
      </c>
      <c r="M3533">
        <v>1</v>
      </c>
    </row>
    <row r="3534" spans="1:13" x14ac:dyDescent="0.25">
      <c r="A3534" t="s">
        <v>2491</v>
      </c>
      <c r="B3534" t="s">
        <v>54</v>
      </c>
      <c r="C3534" t="s">
        <v>14</v>
      </c>
      <c r="D3534" t="s">
        <v>22</v>
      </c>
      <c r="E3534">
        <v>8</v>
      </c>
      <c r="F3534">
        <v>0.13</v>
      </c>
      <c r="G3534">
        <v>10</v>
      </c>
      <c r="H3534" s="1">
        <v>44735</v>
      </c>
      <c r="I3534">
        <v>2022</v>
      </c>
      <c r="J3534">
        <v>6</v>
      </c>
      <c r="K3534" t="s">
        <v>30</v>
      </c>
      <c r="L3534">
        <v>0</v>
      </c>
      <c r="M3534">
        <v>1</v>
      </c>
    </row>
    <row r="3535" spans="1:13" x14ac:dyDescent="0.25">
      <c r="A3535" t="s">
        <v>1891</v>
      </c>
      <c r="B3535" t="s">
        <v>13</v>
      </c>
      <c r="C3535" t="s">
        <v>14</v>
      </c>
      <c r="D3535" t="s">
        <v>68</v>
      </c>
      <c r="E3535" t="s">
        <v>21</v>
      </c>
      <c r="F3535">
        <v>0.12</v>
      </c>
      <c r="G3535">
        <v>10</v>
      </c>
      <c r="H3535" s="1">
        <v>44735</v>
      </c>
      <c r="I3535">
        <v>2022</v>
      </c>
      <c r="J3535">
        <v>6</v>
      </c>
      <c r="K3535" t="s">
        <v>30</v>
      </c>
      <c r="L3535">
        <v>0</v>
      </c>
      <c r="M3535">
        <v>1</v>
      </c>
    </row>
    <row r="3536" spans="1:13" x14ac:dyDescent="0.25">
      <c r="A3536" t="s">
        <v>2492</v>
      </c>
      <c r="B3536" t="s">
        <v>95</v>
      </c>
      <c r="C3536" t="s">
        <v>184</v>
      </c>
      <c r="D3536" t="s">
        <v>49</v>
      </c>
      <c r="E3536" t="s">
        <v>21</v>
      </c>
      <c r="F3536">
        <v>1</v>
      </c>
      <c r="G3536">
        <v>1</v>
      </c>
      <c r="H3536" s="1">
        <v>44735</v>
      </c>
      <c r="I3536">
        <v>2022</v>
      </c>
      <c r="J3536">
        <v>6</v>
      </c>
      <c r="K3536" t="s">
        <v>16</v>
      </c>
      <c r="L3536">
        <v>1</v>
      </c>
      <c r="M3536">
        <v>1</v>
      </c>
    </row>
    <row r="3537" spans="1:13" x14ac:dyDescent="0.25">
      <c r="A3537" t="s">
        <v>2493</v>
      </c>
      <c r="B3537" t="s">
        <v>13</v>
      </c>
      <c r="C3537" t="s">
        <v>14</v>
      </c>
      <c r="D3537" t="s">
        <v>111</v>
      </c>
      <c r="E3537" t="s">
        <v>21</v>
      </c>
      <c r="F3537" t="s">
        <v>21</v>
      </c>
      <c r="G3537">
        <v>229</v>
      </c>
      <c r="H3537" s="1">
        <v>44735</v>
      </c>
      <c r="I3537">
        <v>2022</v>
      </c>
      <c r="J3537">
        <v>6</v>
      </c>
      <c r="K3537" t="s">
        <v>36</v>
      </c>
      <c r="L3537" t="s">
        <v>21</v>
      </c>
      <c r="M3537">
        <v>0</v>
      </c>
    </row>
    <row r="3538" spans="1:13" x14ac:dyDescent="0.25">
      <c r="A3538" t="s">
        <v>1083</v>
      </c>
      <c r="B3538" t="s">
        <v>91</v>
      </c>
      <c r="C3538" t="s">
        <v>14</v>
      </c>
      <c r="D3538" t="s">
        <v>55</v>
      </c>
      <c r="E3538" t="s">
        <v>21</v>
      </c>
      <c r="F3538">
        <v>0.1</v>
      </c>
      <c r="G3538">
        <v>472</v>
      </c>
      <c r="H3538" s="1">
        <v>44735</v>
      </c>
      <c r="I3538">
        <v>2022</v>
      </c>
      <c r="J3538">
        <v>6</v>
      </c>
      <c r="K3538" t="s">
        <v>36</v>
      </c>
      <c r="L3538">
        <v>0</v>
      </c>
      <c r="M3538">
        <v>1</v>
      </c>
    </row>
    <row r="3539" spans="1:13" x14ac:dyDescent="0.25">
      <c r="A3539" t="s">
        <v>2494</v>
      </c>
      <c r="B3539" t="s">
        <v>35</v>
      </c>
      <c r="C3539" t="s">
        <v>14</v>
      </c>
      <c r="D3539" t="s">
        <v>22</v>
      </c>
      <c r="E3539" t="s">
        <v>21</v>
      </c>
      <c r="F3539">
        <v>0.18</v>
      </c>
      <c r="G3539">
        <v>1000</v>
      </c>
      <c r="H3539" s="1">
        <v>44735</v>
      </c>
      <c r="I3539">
        <v>2022</v>
      </c>
      <c r="J3539">
        <v>6</v>
      </c>
      <c r="K3539" t="s">
        <v>26</v>
      </c>
      <c r="L3539">
        <v>0</v>
      </c>
      <c r="M3539">
        <v>1</v>
      </c>
    </row>
    <row r="3540" spans="1:13" x14ac:dyDescent="0.25">
      <c r="A3540" t="s">
        <v>1233</v>
      </c>
      <c r="B3540" t="s">
        <v>32</v>
      </c>
      <c r="C3540" t="s">
        <v>29</v>
      </c>
      <c r="D3540" t="s">
        <v>33</v>
      </c>
      <c r="E3540" t="s">
        <v>21</v>
      </c>
      <c r="F3540">
        <v>0.2</v>
      </c>
      <c r="G3540">
        <v>111</v>
      </c>
      <c r="H3540" s="1">
        <v>44735</v>
      </c>
      <c r="I3540">
        <v>2022</v>
      </c>
      <c r="J3540">
        <v>6</v>
      </c>
      <c r="K3540" t="s">
        <v>36</v>
      </c>
      <c r="L3540">
        <v>0</v>
      </c>
      <c r="M3540">
        <v>1</v>
      </c>
    </row>
    <row r="3541" spans="1:13" x14ac:dyDescent="0.25">
      <c r="A3541" t="s">
        <v>1633</v>
      </c>
      <c r="B3541" t="s">
        <v>106</v>
      </c>
      <c r="C3541" t="s">
        <v>14</v>
      </c>
      <c r="D3541" t="s">
        <v>111</v>
      </c>
      <c r="E3541">
        <v>120</v>
      </c>
      <c r="F3541">
        <v>0.2</v>
      </c>
      <c r="G3541">
        <v>461</v>
      </c>
      <c r="H3541" s="1">
        <v>44734</v>
      </c>
      <c r="I3541">
        <v>2022</v>
      </c>
      <c r="J3541">
        <v>6</v>
      </c>
      <c r="K3541" t="s">
        <v>36</v>
      </c>
      <c r="L3541">
        <v>0</v>
      </c>
      <c r="M3541">
        <v>1</v>
      </c>
    </row>
    <row r="3542" spans="1:13" x14ac:dyDescent="0.25">
      <c r="A3542" t="s">
        <v>1141</v>
      </c>
      <c r="B3542" t="s">
        <v>28</v>
      </c>
      <c r="C3542" t="s">
        <v>14</v>
      </c>
      <c r="D3542" t="s">
        <v>15</v>
      </c>
      <c r="E3542">
        <v>90</v>
      </c>
      <c r="F3542">
        <v>0.35</v>
      </c>
      <c r="G3542">
        <v>410</v>
      </c>
      <c r="H3542" s="1">
        <v>44734</v>
      </c>
      <c r="I3542">
        <v>2022</v>
      </c>
      <c r="J3542">
        <v>6</v>
      </c>
      <c r="K3542" t="s">
        <v>36</v>
      </c>
      <c r="L3542">
        <v>0</v>
      </c>
      <c r="M3542">
        <v>1</v>
      </c>
    </row>
    <row r="3543" spans="1:13" x14ac:dyDescent="0.25">
      <c r="A3543" t="s">
        <v>2495</v>
      </c>
      <c r="B3543" t="s">
        <v>91</v>
      </c>
      <c r="C3543" t="s">
        <v>14</v>
      </c>
      <c r="D3543" t="s">
        <v>46</v>
      </c>
      <c r="E3543">
        <v>70</v>
      </c>
      <c r="F3543" t="s">
        <v>21</v>
      </c>
      <c r="G3543">
        <v>171</v>
      </c>
      <c r="H3543" s="1">
        <v>44734</v>
      </c>
      <c r="I3543">
        <v>2022</v>
      </c>
      <c r="J3543">
        <v>6</v>
      </c>
      <c r="K3543" t="s">
        <v>36</v>
      </c>
      <c r="L3543" t="s">
        <v>21</v>
      </c>
      <c r="M3543">
        <v>1</v>
      </c>
    </row>
    <row r="3544" spans="1:13" x14ac:dyDescent="0.25">
      <c r="A3544" t="s">
        <v>1141</v>
      </c>
      <c r="B3544" t="s">
        <v>28</v>
      </c>
      <c r="C3544" t="s">
        <v>14</v>
      </c>
      <c r="D3544" t="s">
        <v>15</v>
      </c>
      <c r="E3544">
        <v>55</v>
      </c>
      <c r="F3544">
        <v>0.17</v>
      </c>
      <c r="G3544">
        <v>410</v>
      </c>
      <c r="H3544" s="1">
        <v>44734</v>
      </c>
      <c r="I3544">
        <v>2022</v>
      </c>
      <c r="J3544">
        <v>6</v>
      </c>
      <c r="K3544" t="s">
        <v>36</v>
      </c>
      <c r="L3544">
        <v>0</v>
      </c>
      <c r="M3544">
        <v>1</v>
      </c>
    </row>
    <row r="3545" spans="1:13" x14ac:dyDescent="0.25">
      <c r="A3545" t="s">
        <v>500</v>
      </c>
      <c r="B3545" t="s">
        <v>89</v>
      </c>
      <c r="C3545" t="s">
        <v>14</v>
      </c>
      <c r="D3545" t="s">
        <v>15</v>
      </c>
      <c r="E3545">
        <v>50</v>
      </c>
      <c r="F3545" t="s">
        <v>21</v>
      </c>
      <c r="G3545">
        <v>429</v>
      </c>
      <c r="H3545" s="1">
        <v>44734</v>
      </c>
      <c r="I3545">
        <v>2022</v>
      </c>
      <c r="J3545">
        <v>6</v>
      </c>
      <c r="K3545" t="s">
        <v>36</v>
      </c>
      <c r="L3545" t="s">
        <v>21</v>
      </c>
      <c r="M3545">
        <v>1</v>
      </c>
    </row>
    <row r="3546" spans="1:13" x14ac:dyDescent="0.25">
      <c r="A3546" t="s">
        <v>1008</v>
      </c>
      <c r="B3546" t="s">
        <v>66</v>
      </c>
      <c r="C3546" t="s">
        <v>14</v>
      </c>
      <c r="D3546" t="s">
        <v>46</v>
      </c>
      <c r="E3546">
        <v>35</v>
      </c>
      <c r="F3546">
        <v>7.0000000000000007E-2</v>
      </c>
      <c r="G3546">
        <v>261</v>
      </c>
      <c r="H3546" s="1">
        <v>44734</v>
      </c>
      <c r="I3546">
        <v>2022</v>
      </c>
      <c r="J3546">
        <v>6</v>
      </c>
      <c r="K3546" t="s">
        <v>36</v>
      </c>
      <c r="L3546">
        <v>0</v>
      </c>
      <c r="M3546">
        <v>1</v>
      </c>
    </row>
    <row r="3547" spans="1:13" x14ac:dyDescent="0.25">
      <c r="A3547" t="s">
        <v>876</v>
      </c>
      <c r="B3547" t="s">
        <v>66</v>
      </c>
      <c r="C3547" t="s">
        <v>161</v>
      </c>
      <c r="D3547" t="s">
        <v>55</v>
      </c>
      <c r="E3547">
        <v>35</v>
      </c>
      <c r="F3547">
        <v>0.1</v>
      </c>
      <c r="G3547">
        <v>515</v>
      </c>
      <c r="H3547" s="1">
        <v>44734</v>
      </c>
      <c r="I3547">
        <v>2022</v>
      </c>
      <c r="J3547">
        <v>6</v>
      </c>
      <c r="K3547" t="s">
        <v>36</v>
      </c>
      <c r="L3547">
        <v>0</v>
      </c>
      <c r="M3547">
        <v>1</v>
      </c>
    </row>
    <row r="3548" spans="1:13" x14ac:dyDescent="0.25">
      <c r="A3548" t="s">
        <v>1955</v>
      </c>
      <c r="B3548" t="s">
        <v>99</v>
      </c>
      <c r="C3548" t="s">
        <v>14</v>
      </c>
      <c r="D3548" t="s">
        <v>33</v>
      </c>
      <c r="E3548">
        <v>30</v>
      </c>
      <c r="F3548" t="s">
        <v>21</v>
      </c>
      <c r="G3548">
        <v>51</v>
      </c>
      <c r="H3548" s="1">
        <v>44734</v>
      </c>
      <c r="I3548">
        <v>2022</v>
      </c>
      <c r="J3548">
        <v>6</v>
      </c>
      <c r="K3548" t="s">
        <v>30</v>
      </c>
      <c r="L3548" t="s">
        <v>21</v>
      </c>
      <c r="M3548">
        <v>1</v>
      </c>
    </row>
    <row r="3549" spans="1:13" x14ac:dyDescent="0.25">
      <c r="A3549" t="s">
        <v>1381</v>
      </c>
      <c r="B3549" t="s">
        <v>95</v>
      </c>
      <c r="C3549" t="s">
        <v>174</v>
      </c>
      <c r="D3549" t="s">
        <v>46</v>
      </c>
      <c r="E3549">
        <v>23</v>
      </c>
      <c r="F3549">
        <v>0.16</v>
      </c>
      <c r="G3549">
        <v>134</v>
      </c>
      <c r="H3549" s="1">
        <v>44734</v>
      </c>
      <c r="I3549">
        <v>2022</v>
      </c>
      <c r="J3549">
        <v>6</v>
      </c>
      <c r="K3549" t="s">
        <v>36</v>
      </c>
      <c r="L3549">
        <v>0</v>
      </c>
      <c r="M3549">
        <v>1</v>
      </c>
    </row>
    <row r="3550" spans="1:13" x14ac:dyDescent="0.25">
      <c r="A3550" t="s">
        <v>2496</v>
      </c>
      <c r="B3550" t="s">
        <v>32</v>
      </c>
      <c r="C3550" t="s">
        <v>1294</v>
      </c>
      <c r="D3550" t="s">
        <v>22</v>
      </c>
      <c r="E3550" t="s">
        <v>21</v>
      </c>
      <c r="F3550" t="s">
        <v>21</v>
      </c>
      <c r="G3550" t="s">
        <v>21</v>
      </c>
      <c r="H3550" s="1">
        <v>44734</v>
      </c>
      <c r="I3550">
        <v>2022</v>
      </c>
      <c r="J3550">
        <v>6</v>
      </c>
      <c r="K3550" t="s">
        <v>22</v>
      </c>
      <c r="L3550" t="s">
        <v>21</v>
      </c>
      <c r="M3550">
        <v>0</v>
      </c>
    </row>
    <row r="3551" spans="1:13" x14ac:dyDescent="0.25">
      <c r="A3551" t="s">
        <v>2116</v>
      </c>
      <c r="B3551" t="s">
        <v>95</v>
      </c>
      <c r="C3551" t="s">
        <v>42</v>
      </c>
      <c r="D3551" t="s">
        <v>49</v>
      </c>
      <c r="E3551" t="s">
        <v>21</v>
      </c>
      <c r="F3551">
        <v>0.5</v>
      </c>
      <c r="G3551">
        <v>13</v>
      </c>
      <c r="H3551" s="1">
        <v>44734</v>
      </c>
      <c r="I3551">
        <v>2022</v>
      </c>
      <c r="J3551">
        <v>6</v>
      </c>
      <c r="K3551" t="s">
        <v>30</v>
      </c>
      <c r="L3551">
        <v>0</v>
      </c>
      <c r="M3551">
        <v>1</v>
      </c>
    </row>
    <row r="3552" spans="1:13" x14ac:dyDescent="0.25">
      <c r="A3552" t="s">
        <v>2497</v>
      </c>
      <c r="B3552" t="s">
        <v>77</v>
      </c>
      <c r="C3552" t="s">
        <v>230</v>
      </c>
      <c r="D3552" t="s">
        <v>33</v>
      </c>
      <c r="E3552">
        <v>340</v>
      </c>
      <c r="F3552">
        <v>0.2</v>
      </c>
      <c r="G3552">
        <v>460</v>
      </c>
      <c r="H3552" s="1">
        <v>44733</v>
      </c>
      <c r="I3552">
        <v>2022</v>
      </c>
      <c r="J3552">
        <v>6</v>
      </c>
      <c r="K3552" t="s">
        <v>36</v>
      </c>
      <c r="L3552">
        <v>0</v>
      </c>
      <c r="M3552">
        <v>1</v>
      </c>
    </row>
    <row r="3553" spans="1:13" x14ac:dyDescent="0.25">
      <c r="A3553" t="s">
        <v>1664</v>
      </c>
      <c r="B3553" t="s">
        <v>89</v>
      </c>
      <c r="C3553" t="s">
        <v>14</v>
      </c>
      <c r="D3553" t="s">
        <v>15</v>
      </c>
      <c r="E3553">
        <v>52</v>
      </c>
      <c r="F3553">
        <v>0</v>
      </c>
      <c r="G3553">
        <v>279</v>
      </c>
      <c r="H3553" s="1">
        <v>44733</v>
      </c>
      <c r="I3553">
        <v>2022</v>
      </c>
      <c r="J3553">
        <v>6</v>
      </c>
      <c r="K3553" t="s">
        <v>36</v>
      </c>
      <c r="L3553">
        <v>0</v>
      </c>
      <c r="M3553">
        <v>1</v>
      </c>
    </row>
    <row r="3554" spans="1:13" x14ac:dyDescent="0.25">
      <c r="A3554" t="s">
        <v>2498</v>
      </c>
      <c r="B3554" t="s">
        <v>54</v>
      </c>
      <c r="C3554" t="s">
        <v>14</v>
      </c>
      <c r="D3554" t="s">
        <v>22</v>
      </c>
      <c r="E3554">
        <v>40</v>
      </c>
      <c r="F3554">
        <v>0.3</v>
      </c>
      <c r="G3554">
        <v>40</v>
      </c>
      <c r="H3554" s="1">
        <v>44733</v>
      </c>
      <c r="I3554">
        <v>2022</v>
      </c>
      <c r="J3554">
        <v>6</v>
      </c>
      <c r="K3554" t="s">
        <v>30</v>
      </c>
      <c r="L3554">
        <v>0</v>
      </c>
      <c r="M3554">
        <v>1</v>
      </c>
    </row>
    <row r="3555" spans="1:13" x14ac:dyDescent="0.25">
      <c r="A3555" t="s">
        <v>2499</v>
      </c>
      <c r="B3555" t="s">
        <v>114</v>
      </c>
      <c r="C3555" t="s">
        <v>14</v>
      </c>
      <c r="D3555" t="s">
        <v>55</v>
      </c>
      <c r="E3555">
        <v>24</v>
      </c>
      <c r="F3555">
        <v>0.08</v>
      </c>
      <c r="G3555">
        <v>248</v>
      </c>
      <c r="H3555" s="1">
        <v>44733</v>
      </c>
      <c r="I3555">
        <v>2022</v>
      </c>
      <c r="J3555">
        <v>6</v>
      </c>
      <c r="K3555" t="s">
        <v>36</v>
      </c>
      <c r="L3555">
        <v>0</v>
      </c>
      <c r="M3555">
        <v>1</v>
      </c>
    </row>
    <row r="3556" spans="1:13" x14ac:dyDescent="0.25">
      <c r="A3556" t="s">
        <v>2500</v>
      </c>
      <c r="B3556" t="s">
        <v>95</v>
      </c>
      <c r="C3556" t="s">
        <v>1843</v>
      </c>
      <c r="D3556" t="s">
        <v>46</v>
      </c>
      <c r="E3556" t="s">
        <v>21</v>
      </c>
      <c r="F3556">
        <v>0.03</v>
      </c>
      <c r="G3556">
        <v>202</v>
      </c>
      <c r="H3556" s="1">
        <v>44733</v>
      </c>
      <c r="I3556">
        <v>2022</v>
      </c>
      <c r="J3556">
        <v>6</v>
      </c>
      <c r="K3556" t="s">
        <v>36</v>
      </c>
      <c r="L3556">
        <v>0</v>
      </c>
      <c r="M3556">
        <v>1</v>
      </c>
    </row>
    <row r="3557" spans="1:13" x14ac:dyDescent="0.25">
      <c r="A3557" t="s">
        <v>2501</v>
      </c>
      <c r="B3557" t="s">
        <v>106</v>
      </c>
      <c r="C3557" t="s">
        <v>48</v>
      </c>
      <c r="D3557" t="s">
        <v>49</v>
      </c>
      <c r="E3557" t="s">
        <v>21</v>
      </c>
      <c r="F3557">
        <v>1</v>
      </c>
      <c r="G3557" t="s">
        <v>21</v>
      </c>
      <c r="H3557" s="1">
        <v>44733</v>
      </c>
      <c r="I3557">
        <v>2022</v>
      </c>
      <c r="J3557">
        <v>6</v>
      </c>
      <c r="K3557" t="s">
        <v>22</v>
      </c>
      <c r="L3557">
        <v>1</v>
      </c>
      <c r="M3557">
        <v>1</v>
      </c>
    </row>
    <row r="3558" spans="1:13" x14ac:dyDescent="0.25">
      <c r="A3558" t="s">
        <v>2502</v>
      </c>
      <c r="B3558" t="s">
        <v>38</v>
      </c>
      <c r="C3558" t="s">
        <v>14</v>
      </c>
      <c r="D3558" t="s">
        <v>46</v>
      </c>
      <c r="E3558" t="s">
        <v>21</v>
      </c>
      <c r="F3558">
        <v>0.1</v>
      </c>
      <c r="G3558">
        <v>109</v>
      </c>
      <c r="H3558" s="1">
        <v>44733</v>
      </c>
      <c r="I3558">
        <v>2022</v>
      </c>
      <c r="J3558">
        <v>6</v>
      </c>
      <c r="K3558" t="s">
        <v>36</v>
      </c>
      <c r="L3558">
        <v>0</v>
      </c>
      <c r="M3558">
        <v>1</v>
      </c>
    </row>
    <row r="3559" spans="1:13" x14ac:dyDescent="0.25">
      <c r="A3559" t="s">
        <v>2002</v>
      </c>
      <c r="B3559" t="s">
        <v>52</v>
      </c>
      <c r="C3559" t="s">
        <v>64</v>
      </c>
      <c r="D3559" t="s">
        <v>22</v>
      </c>
      <c r="E3559">
        <v>600</v>
      </c>
      <c r="F3559">
        <v>0.3</v>
      </c>
      <c r="G3559" t="s">
        <v>21</v>
      </c>
      <c r="H3559" s="1">
        <v>44732</v>
      </c>
      <c r="I3559">
        <v>2022</v>
      </c>
      <c r="J3559">
        <v>6</v>
      </c>
      <c r="K3559" t="s">
        <v>22</v>
      </c>
      <c r="L3559">
        <v>0</v>
      </c>
      <c r="M3559">
        <v>1</v>
      </c>
    </row>
    <row r="3560" spans="1:13" x14ac:dyDescent="0.25">
      <c r="A3560" t="s">
        <v>2503</v>
      </c>
      <c r="B3560" t="s">
        <v>35</v>
      </c>
      <c r="C3560" t="s">
        <v>14</v>
      </c>
      <c r="D3560" t="s">
        <v>22</v>
      </c>
      <c r="E3560">
        <v>101</v>
      </c>
      <c r="F3560">
        <v>1</v>
      </c>
      <c r="G3560">
        <v>7</v>
      </c>
      <c r="H3560" s="1">
        <v>44732</v>
      </c>
      <c r="I3560">
        <v>2022</v>
      </c>
      <c r="J3560">
        <v>6</v>
      </c>
      <c r="K3560" t="s">
        <v>16</v>
      </c>
      <c r="L3560">
        <v>1</v>
      </c>
      <c r="M3560">
        <v>1</v>
      </c>
    </row>
    <row r="3561" spans="1:13" x14ac:dyDescent="0.25">
      <c r="A3561" t="s">
        <v>2056</v>
      </c>
      <c r="B3561" t="s">
        <v>24</v>
      </c>
      <c r="C3561" t="s">
        <v>64</v>
      </c>
      <c r="D3561" t="s">
        <v>111</v>
      </c>
      <c r="E3561">
        <v>100</v>
      </c>
      <c r="F3561">
        <v>0.12</v>
      </c>
      <c r="G3561">
        <v>1000</v>
      </c>
      <c r="H3561" s="1">
        <v>44732</v>
      </c>
      <c r="I3561">
        <v>2022</v>
      </c>
      <c r="J3561">
        <v>6</v>
      </c>
      <c r="K3561" t="s">
        <v>26</v>
      </c>
      <c r="L3561">
        <v>0</v>
      </c>
      <c r="M3561">
        <v>1</v>
      </c>
    </row>
    <row r="3562" spans="1:13" x14ac:dyDescent="0.25">
      <c r="A3562" t="s">
        <v>2504</v>
      </c>
      <c r="B3562" t="s">
        <v>95</v>
      </c>
      <c r="C3562" t="s">
        <v>48</v>
      </c>
      <c r="D3562" t="s">
        <v>22</v>
      </c>
      <c r="E3562">
        <v>80</v>
      </c>
      <c r="F3562">
        <v>0.3</v>
      </c>
      <c r="G3562">
        <v>12</v>
      </c>
      <c r="H3562" s="1">
        <v>44732</v>
      </c>
      <c r="I3562">
        <v>2022</v>
      </c>
      <c r="J3562">
        <v>6</v>
      </c>
      <c r="K3562" t="s">
        <v>30</v>
      </c>
      <c r="L3562">
        <v>0</v>
      </c>
      <c r="M3562">
        <v>1</v>
      </c>
    </row>
    <row r="3563" spans="1:13" x14ac:dyDescent="0.25">
      <c r="A3563" t="s">
        <v>2505</v>
      </c>
      <c r="B3563" t="s">
        <v>24</v>
      </c>
      <c r="C3563" t="s">
        <v>174</v>
      </c>
      <c r="D3563" t="s">
        <v>68</v>
      </c>
      <c r="E3563">
        <v>30</v>
      </c>
      <c r="F3563">
        <v>0.55000000000000004</v>
      </c>
      <c r="G3563">
        <v>27</v>
      </c>
      <c r="H3563" s="1">
        <v>44732</v>
      </c>
      <c r="I3563">
        <v>2022</v>
      </c>
      <c r="J3563">
        <v>6</v>
      </c>
      <c r="K3563" t="s">
        <v>30</v>
      </c>
      <c r="L3563">
        <v>0</v>
      </c>
      <c r="M3563">
        <v>1</v>
      </c>
    </row>
    <row r="3564" spans="1:13" x14ac:dyDescent="0.25">
      <c r="A3564" t="s">
        <v>2253</v>
      </c>
      <c r="B3564" t="s">
        <v>217</v>
      </c>
      <c r="C3564" t="s">
        <v>42</v>
      </c>
      <c r="D3564" t="s">
        <v>46</v>
      </c>
      <c r="E3564">
        <v>30</v>
      </c>
      <c r="F3564">
        <v>0.15</v>
      </c>
      <c r="G3564">
        <v>145</v>
      </c>
      <c r="H3564" s="1">
        <v>44732</v>
      </c>
      <c r="I3564">
        <v>2022</v>
      </c>
      <c r="J3564">
        <v>6</v>
      </c>
      <c r="K3564" t="s">
        <v>36</v>
      </c>
      <c r="L3564">
        <v>0</v>
      </c>
      <c r="M3564">
        <v>1</v>
      </c>
    </row>
    <row r="3565" spans="1:13" x14ac:dyDescent="0.25">
      <c r="A3565" t="s">
        <v>1352</v>
      </c>
      <c r="B3565" t="s">
        <v>32</v>
      </c>
      <c r="C3565" t="s">
        <v>14</v>
      </c>
      <c r="D3565" t="s">
        <v>22</v>
      </c>
      <c r="E3565" t="s">
        <v>21</v>
      </c>
      <c r="F3565">
        <v>0.2</v>
      </c>
      <c r="G3565">
        <v>32</v>
      </c>
      <c r="H3565" s="1">
        <v>44732</v>
      </c>
      <c r="I3565">
        <v>2022</v>
      </c>
      <c r="J3565">
        <v>6</v>
      </c>
      <c r="K3565" t="s">
        <v>30</v>
      </c>
      <c r="L3565">
        <v>0</v>
      </c>
      <c r="M3565">
        <v>1</v>
      </c>
    </row>
    <row r="3566" spans="1:13" x14ac:dyDescent="0.25">
      <c r="A3566" t="s">
        <v>2002</v>
      </c>
      <c r="B3566" t="s">
        <v>52</v>
      </c>
      <c r="C3566" t="s">
        <v>64</v>
      </c>
      <c r="D3566" t="s">
        <v>22</v>
      </c>
      <c r="E3566" t="s">
        <v>21</v>
      </c>
      <c r="F3566" t="s">
        <v>21</v>
      </c>
      <c r="G3566" t="s">
        <v>21</v>
      </c>
      <c r="H3566" s="1">
        <v>44732</v>
      </c>
      <c r="I3566">
        <v>2022</v>
      </c>
      <c r="J3566">
        <v>6</v>
      </c>
      <c r="K3566" t="s">
        <v>22</v>
      </c>
      <c r="L3566" t="s">
        <v>21</v>
      </c>
      <c r="M3566">
        <v>0</v>
      </c>
    </row>
    <row r="3567" spans="1:13" x14ac:dyDescent="0.25">
      <c r="A3567" t="s">
        <v>1113</v>
      </c>
      <c r="B3567" t="s">
        <v>24</v>
      </c>
      <c r="C3567" t="s">
        <v>48</v>
      </c>
      <c r="D3567" t="s">
        <v>46</v>
      </c>
      <c r="E3567">
        <v>191</v>
      </c>
      <c r="F3567">
        <v>0.3</v>
      </c>
      <c r="G3567">
        <v>112</v>
      </c>
      <c r="H3567" s="1">
        <v>44731</v>
      </c>
      <c r="I3567">
        <v>2022</v>
      </c>
      <c r="J3567">
        <v>6</v>
      </c>
      <c r="K3567" t="s">
        <v>36</v>
      </c>
      <c r="L3567">
        <v>0</v>
      </c>
      <c r="M3567">
        <v>1</v>
      </c>
    </row>
    <row r="3568" spans="1:13" x14ac:dyDescent="0.25">
      <c r="A3568" t="s">
        <v>2506</v>
      </c>
      <c r="B3568" t="s">
        <v>52</v>
      </c>
      <c r="C3568" t="s">
        <v>172</v>
      </c>
      <c r="D3568" t="s">
        <v>33</v>
      </c>
      <c r="E3568">
        <v>9</v>
      </c>
      <c r="F3568">
        <v>0.05</v>
      </c>
      <c r="G3568">
        <v>30</v>
      </c>
      <c r="H3568" s="1">
        <v>44731</v>
      </c>
      <c r="I3568">
        <v>2022</v>
      </c>
      <c r="J3568">
        <v>6</v>
      </c>
      <c r="K3568" t="s">
        <v>30</v>
      </c>
      <c r="L3568">
        <v>0</v>
      </c>
      <c r="M3568">
        <v>1</v>
      </c>
    </row>
    <row r="3569" spans="1:13" x14ac:dyDescent="0.25">
      <c r="A3569" t="s">
        <v>713</v>
      </c>
      <c r="B3569" t="s">
        <v>106</v>
      </c>
      <c r="C3569" t="s">
        <v>48</v>
      </c>
      <c r="D3569" t="s">
        <v>347</v>
      </c>
      <c r="E3569">
        <v>150</v>
      </c>
      <c r="F3569">
        <v>0.03</v>
      </c>
      <c r="G3569">
        <v>838</v>
      </c>
      <c r="H3569" s="1">
        <v>44730</v>
      </c>
      <c r="I3569">
        <v>2022</v>
      </c>
      <c r="J3569">
        <v>6</v>
      </c>
      <c r="K3569" t="s">
        <v>36</v>
      </c>
      <c r="L3569">
        <v>0</v>
      </c>
      <c r="M3569">
        <v>1</v>
      </c>
    </row>
    <row r="3570" spans="1:13" x14ac:dyDescent="0.25">
      <c r="A3570" t="s">
        <v>609</v>
      </c>
      <c r="B3570" t="s">
        <v>18</v>
      </c>
      <c r="C3570" t="s">
        <v>657</v>
      </c>
      <c r="D3570" t="s">
        <v>22</v>
      </c>
      <c r="E3570">
        <v>150</v>
      </c>
      <c r="F3570" t="s">
        <v>21</v>
      </c>
      <c r="G3570">
        <v>9400</v>
      </c>
      <c r="H3570" s="1">
        <v>44729</v>
      </c>
      <c r="I3570">
        <v>2022</v>
      </c>
      <c r="J3570">
        <v>6</v>
      </c>
      <c r="K3570" t="s">
        <v>26</v>
      </c>
      <c r="L3570" t="s">
        <v>21</v>
      </c>
      <c r="M3570">
        <v>1</v>
      </c>
    </row>
    <row r="3571" spans="1:13" x14ac:dyDescent="0.25">
      <c r="A3571" t="s">
        <v>1907</v>
      </c>
      <c r="B3571" t="s">
        <v>77</v>
      </c>
      <c r="C3571" t="s">
        <v>14</v>
      </c>
      <c r="D3571" t="s">
        <v>111</v>
      </c>
      <c r="E3571">
        <v>69</v>
      </c>
      <c r="F3571">
        <v>0.13</v>
      </c>
      <c r="G3571">
        <v>646</v>
      </c>
      <c r="H3571" s="1">
        <v>44729</v>
      </c>
      <c r="I3571">
        <v>2022</v>
      </c>
      <c r="J3571">
        <v>6</v>
      </c>
      <c r="K3571" t="s">
        <v>36</v>
      </c>
      <c r="L3571">
        <v>0</v>
      </c>
      <c r="M3571">
        <v>1</v>
      </c>
    </row>
    <row r="3572" spans="1:13" x14ac:dyDescent="0.25">
      <c r="A3572" t="s">
        <v>2507</v>
      </c>
      <c r="B3572" t="s">
        <v>28</v>
      </c>
      <c r="C3572" t="s">
        <v>14</v>
      </c>
      <c r="D3572" t="s">
        <v>33</v>
      </c>
      <c r="E3572">
        <v>16</v>
      </c>
      <c r="F3572">
        <v>0.2</v>
      </c>
      <c r="G3572">
        <v>49</v>
      </c>
      <c r="H3572" s="1">
        <v>44729</v>
      </c>
      <c r="I3572">
        <v>2022</v>
      </c>
      <c r="J3572">
        <v>6</v>
      </c>
      <c r="K3572" t="s">
        <v>30</v>
      </c>
      <c r="L3572">
        <v>0</v>
      </c>
      <c r="M3572">
        <v>1</v>
      </c>
    </row>
    <row r="3573" spans="1:13" x14ac:dyDescent="0.25">
      <c r="A3573" t="s">
        <v>2508</v>
      </c>
      <c r="B3573" t="s">
        <v>95</v>
      </c>
      <c r="C3573" t="s">
        <v>14</v>
      </c>
      <c r="D3573" t="s">
        <v>33</v>
      </c>
      <c r="E3573">
        <v>50</v>
      </c>
      <c r="F3573">
        <v>0.05</v>
      </c>
      <c r="G3573">
        <v>430</v>
      </c>
      <c r="H3573" s="1">
        <v>44728</v>
      </c>
      <c r="I3573">
        <v>2022</v>
      </c>
      <c r="J3573">
        <v>6</v>
      </c>
      <c r="K3573" t="s">
        <v>36</v>
      </c>
      <c r="L3573">
        <v>0</v>
      </c>
      <c r="M3573">
        <v>1</v>
      </c>
    </row>
    <row r="3574" spans="1:13" x14ac:dyDescent="0.25">
      <c r="A3574" t="s">
        <v>2509</v>
      </c>
      <c r="B3574" t="s">
        <v>91</v>
      </c>
      <c r="C3574" t="s">
        <v>14</v>
      </c>
      <c r="D3574" t="s">
        <v>55</v>
      </c>
      <c r="E3574">
        <v>45</v>
      </c>
      <c r="F3574">
        <v>0.15</v>
      </c>
      <c r="G3574">
        <v>178</v>
      </c>
      <c r="H3574" s="1">
        <v>44728</v>
      </c>
      <c r="I3574">
        <v>2022</v>
      </c>
      <c r="J3574">
        <v>6</v>
      </c>
      <c r="K3574" t="s">
        <v>36</v>
      </c>
      <c r="L3574">
        <v>0</v>
      </c>
      <c r="M3574">
        <v>1</v>
      </c>
    </row>
    <row r="3575" spans="1:13" x14ac:dyDescent="0.25">
      <c r="A3575" t="s">
        <v>1496</v>
      </c>
      <c r="B3575" t="s">
        <v>35</v>
      </c>
      <c r="C3575" t="s">
        <v>48</v>
      </c>
      <c r="D3575" t="s">
        <v>22</v>
      </c>
      <c r="E3575">
        <v>40</v>
      </c>
      <c r="F3575" t="s">
        <v>21</v>
      </c>
      <c r="G3575">
        <v>1600</v>
      </c>
      <c r="H3575" s="1">
        <v>44728</v>
      </c>
      <c r="I3575">
        <v>2022</v>
      </c>
      <c r="J3575">
        <v>6</v>
      </c>
      <c r="K3575" t="s">
        <v>26</v>
      </c>
      <c r="L3575" t="s">
        <v>21</v>
      </c>
      <c r="M3575">
        <v>1</v>
      </c>
    </row>
    <row r="3576" spans="1:13" x14ac:dyDescent="0.25">
      <c r="A3576" t="s">
        <v>2510</v>
      </c>
      <c r="B3576" t="s">
        <v>35</v>
      </c>
      <c r="C3576" t="s">
        <v>14</v>
      </c>
      <c r="D3576" t="s">
        <v>68</v>
      </c>
      <c r="E3576" t="s">
        <v>21</v>
      </c>
      <c r="F3576">
        <v>0.5</v>
      </c>
      <c r="G3576">
        <v>50</v>
      </c>
      <c r="H3576" s="1">
        <v>44728</v>
      </c>
      <c r="I3576">
        <v>2022</v>
      </c>
      <c r="J3576">
        <v>6</v>
      </c>
      <c r="K3576" t="s">
        <v>30</v>
      </c>
      <c r="L3576">
        <v>0</v>
      </c>
      <c r="M3576">
        <v>1</v>
      </c>
    </row>
    <row r="3577" spans="1:13" x14ac:dyDescent="0.25">
      <c r="A3577" t="s">
        <v>2511</v>
      </c>
      <c r="B3577" t="s">
        <v>24</v>
      </c>
      <c r="C3577" t="s">
        <v>901</v>
      </c>
      <c r="D3577" t="s">
        <v>46</v>
      </c>
      <c r="E3577">
        <v>250</v>
      </c>
      <c r="F3577">
        <v>0.17</v>
      </c>
      <c r="G3577">
        <v>169</v>
      </c>
      <c r="H3577" s="1">
        <v>44727</v>
      </c>
      <c r="I3577">
        <v>2022</v>
      </c>
      <c r="J3577">
        <v>6</v>
      </c>
      <c r="K3577" t="s">
        <v>36</v>
      </c>
      <c r="L3577">
        <v>0</v>
      </c>
      <c r="M3577">
        <v>1</v>
      </c>
    </row>
    <row r="3578" spans="1:13" x14ac:dyDescent="0.25">
      <c r="A3578" t="s">
        <v>2512</v>
      </c>
      <c r="B3578" t="s">
        <v>77</v>
      </c>
      <c r="C3578" t="s">
        <v>174</v>
      </c>
      <c r="D3578" t="s">
        <v>22</v>
      </c>
      <c r="E3578">
        <v>159</v>
      </c>
      <c r="F3578">
        <v>0.13</v>
      </c>
      <c r="G3578">
        <v>900</v>
      </c>
      <c r="H3578" s="1">
        <v>44727</v>
      </c>
      <c r="I3578">
        <v>2022</v>
      </c>
      <c r="J3578">
        <v>6</v>
      </c>
      <c r="K3578" t="s">
        <v>36</v>
      </c>
      <c r="L3578">
        <v>0</v>
      </c>
      <c r="M3578">
        <v>1</v>
      </c>
    </row>
    <row r="3579" spans="1:13" x14ac:dyDescent="0.25">
      <c r="A3579" t="s">
        <v>2513</v>
      </c>
      <c r="B3579" t="s">
        <v>95</v>
      </c>
      <c r="C3579" t="s">
        <v>14</v>
      </c>
      <c r="D3579" t="s">
        <v>111</v>
      </c>
      <c r="E3579">
        <v>150</v>
      </c>
      <c r="F3579">
        <v>0.1</v>
      </c>
      <c r="G3579">
        <v>863</v>
      </c>
      <c r="H3579" s="1">
        <v>44727</v>
      </c>
      <c r="I3579">
        <v>2022</v>
      </c>
      <c r="J3579">
        <v>6</v>
      </c>
      <c r="K3579" t="s">
        <v>36</v>
      </c>
      <c r="L3579">
        <v>0</v>
      </c>
      <c r="M3579">
        <v>1</v>
      </c>
    </row>
    <row r="3580" spans="1:13" x14ac:dyDescent="0.25">
      <c r="A3580" t="s">
        <v>2158</v>
      </c>
      <c r="B3580" t="s">
        <v>342</v>
      </c>
      <c r="C3580" t="s">
        <v>14</v>
      </c>
      <c r="D3580" t="s">
        <v>55</v>
      </c>
      <c r="E3580">
        <v>110</v>
      </c>
      <c r="F3580">
        <v>0.25</v>
      </c>
      <c r="G3580">
        <v>213</v>
      </c>
      <c r="H3580" s="1">
        <v>44727</v>
      </c>
      <c r="I3580">
        <v>2022</v>
      </c>
      <c r="J3580">
        <v>6</v>
      </c>
      <c r="K3580" t="s">
        <v>36</v>
      </c>
      <c r="L3580">
        <v>0</v>
      </c>
      <c r="M3580">
        <v>1</v>
      </c>
    </row>
    <row r="3581" spans="1:13" x14ac:dyDescent="0.25">
      <c r="A3581" t="s">
        <v>31</v>
      </c>
      <c r="B3581" t="s">
        <v>32</v>
      </c>
      <c r="C3581" t="s">
        <v>29</v>
      </c>
      <c r="D3581" t="s">
        <v>22</v>
      </c>
      <c r="E3581">
        <v>60</v>
      </c>
      <c r="F3581">
        <v>0.15</v>
      </c>
      <c r="G3581">
        <v>65</v>
      </c>
      <c r="H3581" s="1">
        <v>44727</v>
      </c>
      <c r="I3581">
        <v>2022</v>
      </c>
      <c r="J3581">
        <v>6</v>
      </c>
      <c r="K3581" t="s">
        <v>30</v>
      </c>
      <c r="L3581">
        <v>0</v>
      </c>
      <c r="M3581">
        <v>1</v>
      </c>
    </row>
    <row r="3582" spans="1:13" x14ac:dyDescent="0.25">
      <c r="A3582" t="s">
        <v>2514</v>
      </c>
      <c r="B3582" t="s">
        <v>13</v>
      </c>
      <c r="C3582" t="s">
        <v>14</v>
      </c>
      <c r="D3582" t="s">
        <v>33</v>
      </c>
      <c r="E3582">
        <v>23</v>
      </c>
      <c r="F3582">
        <v>0.23</v>
      </c>
      <c r="G3582">
        <v>83</v>
      </c>
      <c r="H3582" s="1">
        <v>44727</v>
      </c>
      <c r="I3582">
        <v>2022</v>
      </c>
      <c r="J3582">
        <v>6</v>
      </c>
      <c r="K3582" t="s">
        <v>30</v>
      </c>
      <c r="L3582">
        <v>0</v>
      </c>
      <c r="M3582">
        <v>1</v>
      </c>
    </row>
    <row r="3583" spans="1:13" x14ac:dyDescent="0.25">
      <c r="A3583" t="s">
        <v>2515</v>
      </c>
      <c r="B3583" t="s">
        <v>18</v>
      </c>
      <c r="C3583" t="s">
        <v>87</v>
      </c>
      <c r="D3583" t="s">
        <v>22</v>
      </c>
      <c r="E3583">
        <v>15</v>
      </c>
      <c r="F3583" t="s">
        <v>21</v>
      </c>
      <c r="G3583">
        <v>7</v>
      </c>
      <c r="H3583" s="1">
        <v>44727</v>
      </c>
      <c r="I3583">
        <v>2022</v>
      </c>
      <c r="J3583">
        <v>6</v>
      </c>
      <c r="K3583" t="s">
        <v>16</v>
      </c>
      <c r="L3583" t="s">
        <v>21</v>
      </c>
      <c r="M3583">
        <v>1</v>
      </c>
    </row>
    <row r="3584" spans="1:13" x14ac:dyDescent="0.25">
      <c r="A3584" t="s">
        <v>2516</v>
      </c>
      <c r="B3584" t="s">
        <v>32</v>
      </c>
      <c r="C3584" t="s">
        <v>29</v>
      </c>
      <c r="D3584" t="s">
        <v>111</v>
      </c>
      <c r="E3584">
        <v>14</v>
      </c>
      <c r="F3584">
        <v>0.05</v>
      </c>
      <c r="G3584">
        <v>223</v>
      </c>
      <c r="H3584" s="1">
        <v>44727</v>
      </c>
      <c r="I3584">
        <v>2022</v>
      </c>
      <c r="J3584">
        <v>6</v>
      </c>
      <c r="K3584" t="s">
        <v>36</v>
      </c>
      <c r="L3584">
        <v>0</v>
      </c>
      <c r="M3584">
        <v>1</v>
      </c>
    </row>
    <row r="3585" spans="1:13" x14ac:dyDescent="0.25">
      <c r="A3585" t="s">
        <v>2517</v>
      </c>
      <c r="B3585" t="s">
        <v>117</v>
      </c>
      <c r="C3585" t="s">
        <v>174</v>
      </c>
      <c r="D3585" t="s">
        <v>68</v>
      </c>
      <c r="E3585">
        <v>10</v>
      </c>
      <c r="F3585">
        <v>0.3</v>
      </c>
      <c r="G3585">
        <v>20</v>
      </c>
      <c r="H3585" s="1">
        <v>44727</v>
      </c>
      <c r="I3585">
        <v>2022</v>
      </c>
      <c r="J3585">
        <v>6</v>
      </c>
      <c r="K3585" t="s">
        <v>30</v>
      </c>
      <c r="L3585">
        <v>0</v>
      </c>
      <c r="M3585">
        <v>1</v>
      </c>
    </row>
    <row r="3586" spans="1:13" x14ac:dyDescent="0.25">
      <c r="A3586" t="s">
        <v>2518</v>
      </c>
      <c r="B3586" t="s">
        <v>106</v>
      </c>
      <c r="C3586" t="s">
        <v>2519</v>
      </c>
      <c r="D3586" t="s">
        <v>33</v>
      </c>
      <c r="E3586" t="s">
        <v>21</v>
      </c>
      <c r="F3586" t="s">
        <v>21</v>
      </c>
      <c r="G3586">
        <v>93</v>
      </c>
      <c r="H3586" s="1">
        <v>44727</v>
      </c>
      <c r="I3586">
        <v>2022</v>
      </c>
      <c r="J3586">
        <v>6</v>
      </c>
      <c r="K3586" t="s">
        <v>30</v>
      </c>
      <c r="L3586" t="s">
        <v>21</v>
      </c>
      <c r="M3586">
        <v>0</v>
      </c>
    </row>
    <row r="3587" spans="1:13" x14ac:dyDescent="0.25">
      <c r="A3587" t="s">
        <v>2520</v>
      </c>
      <c r="B3587" t="s">
        <v>91</v>
      </c>
      <c r="C3587" t="s">
        <v>14</v>
      </c>
      <c r="D3587" t="s">
        <v>33</v>
      </c>
      <c r="E3587" t="s">
        <v>21</v>
      </c>
      <c r="F3587">
        <v>1</v>
      </c>
      <c r="G3587">
        <v>44</v>
      </c>
      <c r="H3587" s="1">
        <v>44727</v>
      </c>
      <c r="I3587">
        <v>2022</v>
      </c>
      <c r="J3587">
        <v>6</v>
      </c>
      <c r="K3587" t="s">
        <v>30</v>
      </c>
      <c r="L3587">
        <v>1</v>
      </c>
      <c r="M3587">
        <v>1</v>
      </c>
    </row>
    <row r="3588" spans="1:13" x14ac:dyDescent="0.25">
      <c r="A3588" t="s">
        <v>168</v>
      </c>
      <c r="B3588" t="s">
        <v>52</v>
      </c>
      <c r="C3588" t="s">
        <v>14</v>
      </c>
      <c r="D3588" t="s">
        <v>15</v>
      </c>
      <c r="E3588">
        <v>1100</v>
      </c>
      <c r="F3588">
        <v>0.18</v>
      </c>
      <c r="G3588">
        <v>549</v>
      </c>
      <c r="H3588" s="1">
        <v>44726</v>
      </c>
      <c r="I3588">
        <v>2022</v>
      </c>
      <c r="J3588">
        <v>6</v>
      </c>
      <c r="K3588" t="s">
        <v>36</v>
      </c>
      <c r="L3588">
        <v>0</v>
      </c>
      <c r="M3588">
        <v>1</v>
      </c>
    </row>
    <row r="3589" spans="1:13" x14ac:dyDescent="0.25">
      <c r="A3589" t="s">
        <v>494</v>
      </c>
      <c r="B3589" t="s">
        <v>91</v>
      </c>
      <c r="C3589" t="s">
        <v>14</v>
      </c>
      <c r="D3589" t="s">
        <v>15</v>
      </c>
      <c r="E3589">
        <v>470</v>
      </c>
      <c r="F3589">
        <v>0.08</v>
      </c>
      <c r="G3589">
        <v>319</v>
      </c>
      <c r="H3589" s="1">
        <v>44726</v>
      </c>
      <c r="I3589">
        <v>2022</v>
      </c>
      <c r="J3589">
        <v>6</v>
      </c>
      <c r="K3589" t="s">
        <v>36</v>
      </c>
      <c r="L3589">
        <v>0</v>
      </c>
      <c r="M3589">
        <v>1</v>
      </c>
    </row>
    <row r="3590" spans="1:13" x14ac:dyDescent="0.25">
      <c r="A3590" t="s">
        <v>1916</v>
      </c>
      <c r="B3590" t="s">
        <v>91</v>
      </c>
      <c r="C3590" t="s">
        <v>14</v>
      </c>
      <c r="D3590" t="s">
        <v>15</v>
      </c>
      <c r="E3590">
        <v>450</v>
      </c>
      <c r="F3590">
        <v>0.1</v>
      </c>
      <c r="G3590">
        <v>1600</v>
      </c>
      <c r="H3590" s="1">
        <v>44726</v>
      </c>
      <c r="I3590">
        <v>2022</v>
      </c>
      <c r="J3590">
        <v>6</v>
      </c>
      <c r="K3590" t="s">
        <v>26</v>
      </c>
      <c r="L3590">
        <v>0</v>
      </c>
      <c r="M3590">
        <v>1</v>
      </c>
    </row>
    <row r="3591" spans="1:13" x14ac:dyDescent="0.25">
      <c r="A3591" t="s">
        <v>2521</v>
      </c>
      <c r="B3591" t="s">
        <v>35</v>
      </c>
      <c r="C3591" t="s">
        <v>230</v>
      </c>
      <c r="D3591" t="s">
        <v>22</v>
      </c>
      <c r="E3591">
        <v>75</v>
      </c>
      <c r="F3591">
        <v>0.15</v>
      </c>
      <c r="G3591">
        <v>36</v>
      </c>
      <c r="H3591" s="1">
        <v>44726</v>
      </c>
      <c r="I3591">
        <v>2022</v>
      </c>
      <c r="J3591">
        <v>6</v>
      </c>
      <c r="K3591" t="s">
        <v>30</v>
      </c>
      <c r="L3591">
        <v>0</v>
      </c>
      <c r="M3591">
        <v>1</v>
      </c>
    </row>
    <row r="3592" spans="1:13" x14ac:dyDescent="0.25">
      <c r="A3592" t="s">
        <v>2522</v>
      </c>
      <c r="B3592" t="s">
        <v>35</v>
      </c>
      <c r="C3592" t="s">
        <v>48</v>
      </c>
      <c r="D3592" t="s">
        <v>68</v>
      </c>
      <c r="E3592">
        <v>50</v>
      </c>
      <c r="F3592">
        <v>0.33</v>
      </c>
      <c r="G3592">
        <v>6</v>
      </c>
      <c r="H3592" s="1">
        <v>44726</v>
      </c>
      <c r="I3592">
        <v>2022</v>
      </c>
      <c r="J3592">
        <v>6</v>
      </c>
      <c r="K3592" t="s">
        <v>16</v>
      </c>
      <c r="L3592">
        <v>0</v>
      </c>
      <c r="M3592">
        <v>1</v>
      </c>
    </row>
    <row r="3593" spans="1:13" x14ac:dyDescent="0.25">
      <c r="A3593" t="s">
        <v>2523</v>
      </c>
      <c r="B3593" t="s">
        <v>40</v>
      </c>
      <c r="C3593" t="s">
        <v>1843</v>
      </c>
      <c r="D3593" t="s">
        <v>49</v>
      </c>
      <c r="E3593">
        <v>30</v>
      </c>
      <c r="F3593" t="s">
        <v>21</v>
      </c>
      <c r="G3593">
        <v>6</v>
      </c>
      <c r="H3593" s="1">
        <v>44726</v>
      </c>
      <c r="I3593">
        <v>2022</v>
      </c>
      <c r="J3593">
        <v>6</v>
      </c>
      <c r="K3593" t="s">
        <v>16</v>
      </c>
      <c r="L3593" t="s">
        <v>21</v>
      </c>
      <c r="M3593">
        <v>1</v>
      </c>
    </row>
    <row r="3594" spans="1:13" x14ac:dyDescent="0.25">
      <c r="A3594" t="s">
        <v>2524</v>
      </c>
      <c r="B3594" t="s">
        <v>52</v>
      </c>
      <c r="C3594" t="s">
        <v>14</v>
      </c>
      <c r="D3594" t="s">
        <v>55</v>
      </c>
      <c r="E3594">
        <v>24</v>
      </c>
      <c r="F3594">
        <v>0.1</v>
      </c>
      <c r="G3594">
        <v>204</v>
      </c>
      <c r="H3594" s="1">
        <v>44726</v>
      </c>
      <c r="I3594">
        <v>2022</v>
      </c>
      <c r="J3594">
        <v>6</v>
      </c>
      <c r="K3594" t="s">
        <v>36</v>
      </c>
      <c r="L3594">
        <v>0</v>
      </c>
      <c r="M3594">
        <v>1</v>
      </c>
    </row>
    <row r="3595" spans="1:13" x14ac:dyDescent="0.25">
      <c r="A3595" t="s">
        <v>2525</v>
      </c>
      <c r="B3595" t="s">
        <v>77</v>
      </c>
      <c r="C3595" t="s">
        <v>1843</v>
      </c>
      <c r="D3595" t="s">
        <v>46</v>
      </c>
      <c r="E3595" t="s">
        <v>21</v>
      </c>
      <c r="F3595" t="s">
        <v>21</v>
      </c>
      <c r="G3595">
        <v>376</v>
      </c>
      <c r="H3595" s="1">
        <v>44726</v>
      </c>
      <c r="I3595">
        <v>2022</v>
      </c>
      <c r="J3595">
        <v>6</v>
      </c>
      <c r="K3595" t="s">
        <v>36</v>
      </c>
      <c r="L3595" t="s">
        <v>21</v>
      </c>
      <c r="M3595">
        <v>0</v>
      </c>
    </row>
    <row r="3596" spans="1:13" x14ac:dyDescent="0.25">
      <c r="A3596" t="s">
        <v>94</v>
      </c>
      <c r="B3596" t="s">
        <v>95</v>
      </c>
      <c r="C3596" t="s">
        <v>64</v>
      </c>
      <c r="D3596" t="s">
        <v>22</v>
      </c>
      <c r="E3596" t="s">
        <v>21</v>
      </c>
      <c r="F3596" t="s">
        <v>21</v>
      </c>
      <c r="G3596" t="s">
        <v>21</v>
      </c>
      <c r="H3596" s="1">
        <v>44726</v>
      </c>
      <c r="I3596">
        <v>2022</v>
      </c>
      <c r="J3596">
        <v>6</v>
      </c>
      <c r="K3596" t="s">
        <v>22</v>
      </c>
      <c r="L3596" t="s">
        <v>21</v>
      </c>
      <c r="M3596">
        <v>0</v>
      </c>
    </row>
    <row r="3597" spans="1:13" x14ac:dyDescent="0.25">
      <c r="A3597" t="s">
        <v>2037</v>
      </c>
      <c r="B3597" t="s">
        <v>52</v>
      </c>
      <c r="C3597" t="s">
        <v>14</v>
      </c>
      <c r="D3597" t="s">
        <v>111</v>
      </c>
      <c r="E3597">
        <v>250</v>
      </c>
      <c r="F3597">
        <v>0.2</v>
      </c>
      <c r="G3597">
        <v>1000</v>
      </c>
      <c r="H3597" s="1">
        <v>44725</v>
      </c>
      <c r="I3597">
        <v>2022</v>
      </c>
      <c r="J3597">
        <v>6</v>
      </c>
      <c r="K3597" t="s">
        <v>26</v>
      </c>
      <c r="L3597">
        <v>0</v>
      </c>
      <c r="M3597">
        <v>1</v>
      </c>
    </row>
    <row r="3598" spans="1:13" x14ac:dyDescent="0.25">
      <c r="A3598" t="s">
        <v>2526</v>
      </c>
      <c r="B3598" t="s">
        <v>32</v>
      </c>
      <c r="C3598" t="s">
        <v>14</v>
      </c>
      <c r="D3598" t="s">
        <v>33</v>
      </c>
      <c r="E3598">
        <v>56</v>
      </c>
      <c r="F3598">
        <v>0.33</v>
      </c>
      <c r="G3598">
        <v>65</v>
      </c>
      <c r="H3598" s="1">
        <v>44725</v>
      </c>
      <c r="I3598">
        <v>2022</v>
      </c>
      <c r="J3598">
        <v>6</v>
      </c>
      <c r="K3598" t="s">
        <v>30</v>
      </c>
      <c r="L3598">
        <v>0</v>
      </c>
      <c r="M3598">
        <v>1</v>
      </c>
    </row>
    <row r="3599" spans="1:13" x14ac:dyDescent="0.25">
      <c r="A3599" t="s">
        <v>2145</v>
      </c>
      <c r="B3599" t="s">
        <v>106</v>
      </c>
      <c r="C3599" t="s">
        <v>14</v>
      </c>
      <c r="D3599" t="s">
        <v>33</v>
      </c>
      <c r="E3599">
        <v>33</v>
      </c>
      <c r="F3599">
        <v>0.4</v>
      </c>
      <c r="G3599">
        <v>50</v>
      </c>
      <c r="H3599" s="1">
        <v>44725</v>
      </c>
      <c r="I3599">
        <v>2022</v>
      </c>
      <c r="J3599">
        <v>6</v>
      </c>
      <c r="K3599" t="s">
        <v>30</v>
      </c>
      <c r="L3599">
        <v>0</v>
      </c>
      <c r="M3599">
        <v>1</v>
      </c>
    </row>
    <row r="3600" spans="1:13" x14ac:dyDescent="0.25">
      <c r="A3600" t="s">
        <v>2527</v>
      </c>
      <c r="B3600" t="s">
        <v>140</v>
      </c>
      <c r="C3600" t="s">
        <v>14</v>
      </c>
      <c r="D3600" t="s">
        <v>46</v>
      </c>
      <c r="E3600" t="s">
        <v>21</v>
      </c>
      <c r="F3600" t="s">
        <v>21</v>
      </c>
      <c r="G3600">
        <v>152</v>
      </c>
      <c r="H3600" s="1">
        <v>44725</v>
      </c>
      <c r="I3600">
        <v>2022</v>
      </c>
      <c r="J3600">
        <v>6</v>
      </c>
      <c r="K3600" t="s">
        <v>36</v>
      </c>
      <c r="L3600" t="s">
        <v>21</v>
      </c>
      <c r="M3600">
        <v>0</v>
      </c>
    </row>
    <row r="3601" spans="1:13" x14ac:dyDescent="0.25">
      <c r="A3601" t="s">
        <v>936</v>
      </c>
      <c r="B3601" t="s">
        <v>13</v>
      </c>
      <c r="C3601" t="s">
        <v>14</v>
      </c>
      <c r="D3601" t="s">
        <v>15</v>
      </c>
      <c r="E3601" t="s">
        <v>21</v>
      </c>
      <c r="F3601">
        <v>0.12</v>
      </c>
      <c r="G3601">
        <v>811</v>
      </c>
      <c r="H3601" s="1">
        <v>44725</v>
      </c>
      <c r="I3601">
        <v>2022</v>
      </c>
      <c r="J3601">
        <v>6</v>
      </c>
      <c r="K3601" t="s">
        <v>36</v>
      </c>
      <c r="L3601">
        <v>0</v>
      </c>
      <c r="M3601">
        <v>1</v>
      </c>
    </row>
    <row r="3602" spans="1:13" x14ac:dyDescent="0.25">
      <c r="A3602" t="s">
        <v>226</v>
      </c>
      <c r="B3602" t="s">
        <v>52</v>
      </c>
      <c r="C3602" t="s">
        <v>64</v>
      </c>
      <c r="D3602" t="s">
        <v>22</v>
      </c>
      <c r="E3602">
        <v>260</v>
      </c>
      <c r="F3602">
        <v>0.05</v>
      </c>
      <c r="G3602">
        <v>156</v>
      </c>
      <c r="H3602" s="1">
        <v>44722</v>
      </c>
      <c r="I3602">
        <v>2022</v>
      </c>
      <c r="J3602">
        <v>6</v>
      </c>
      <c r="K3602" t="s">
        <v>36</v>
      </c>
      <c r="L3602">
        <v>0</v>
      </c>
      <c r="M3602">
        <v>1</v>
      </c>
    </row>
    <row r="3603" spans="1:13" x14ac:dyDescent="0.25">
      <c r="A3603" t="s">
        <v>1732</v>
      </c>
      <c r="B3603" t="s">
        <v>117</v>
      </c>
      <c r="C3603" t="s">
        <v>48</v>
      </c>
      <c r="D3603" t="s">
        <v>111</v>
      </c>
      <c r="E3603">
        <v>250</v>
      </c>
      <c r="F3603">
        <v>0.3</v>
      </c>
      <c r="G3603">
        <v>150</v>
      </c>
      <c r="H3603" s="1">
        <v>44722</v>
      </c>
      <c r="I3603">
        <v>2022</v>
      </c>
      <c r="J3603">
        <v>6</v>
      </c>
      <c r="K3603" t="s">
        <v>36</v>
      </c>
      <c r="L3603">
        <v>0</v>
      </c>
      <c r="M3603">
        <v>1</v>
      </c>
    </row>
    <row r="3604" spans="1:13" x14ac:dyDescent="0.25">
      <c r="A3604" t="s">
        <v>2528</v>
      </c>
      <c r="B3604" t="s">
        <v>24</v>
      </c>
      <c r="C3604" t="s">
        <v>83</v>
      </c>
      <c r="D3604" t="s">
        <v>22</v>
      </c>
      <c r="E3604">
        <v>100</v>
      </c>
      <c r="F3604">
        <v>0.1</v>
      </c>
      <c r="G3604">
        <v>1000</v>
      </c>
      <c r="H3604" s="1">
        <v>44722</v>
      </c>
      <c r="I3604">
        <v>2022</v>
      </c>
      <c r="J3604">
        <v>6</v>
      </c>
      <c r="K3604" t="s">
        <v>26</v>
      </c>
      <c r="L3604">
        <v>0</v>
      </c>
      <c r="M3604">
        <v>1</v>
      </c>
    </row>
    <row r="3605" spans="1:13" x14ac:dyDescent="0.25">
      <c r="A3605" t="s">
        <v>2529</v>
      </c>
      <c r="B3605" t="s">
        <v>35</v>
      </c>
      <c r="C3605" t="s">
        <v>230</v>
      </c>
      <c r="D3605" t="s">
        <v>22</v>
      </c>
      <c r="E3605">
        <v>60</v>
      </c>
      <c r="F3605">
        <v>0.2</v>
      </c>
      <c r="G3605">
        <v>11</v>
      </c>
      <c r="H3605" s="1">
        <v>44722</v>
      </c>
      <c r="I3605">
        <v>2022</v>
      </c>
      <c r="J3605">
        <v>6</v>
      </c>
      <c r="K3605" t="s">
        <v>30</v>
      </c>
      <c r="L3605">
        <v>0</v>
      </c>
      <c r="M3605">
        <v>1</v>
      </c>
    </row>
    <row r="3606" spans="1:13" x14ac:dyDescent="0.25">
      <c r="A3606" t="s">
        <v>2530</v>
      </c>
      <c r="B3606" t="s">
        <v>77</v>
      </c>
      <c r="C3606" t="s">
        <v>80</v>
      </c>
      <c r="D3606" t="s">
        <v>22</v>
      </c>
      <c r="E3606">
        <v>45</v>
      </c>
      <c r="F3606">
        <v>0.15</v>
      </c>
      <c r="G3606">
        <v>133</v>
      </c>
      <c r="H3606" s="1">
        <v>44722</v>
      </c>
      <c r="I3606">
        <v>2022</v>
      </c>
      <c r="J3606">
        <v>6</v>
      </c>
      <c r="K3606" t="s">
        <v>36</v>
      </c>
      <c r="L3606">
        <v>0</v>
      </c>
      <c r="M3606">
        <v>1</v>
      </c>
    </row>
    <row r="3607" spans="1:13" x14ac:dyDescent="0.25">
      <c r="A3607" t="s">
        <v>2531</v>
      </c>
      <c r="B3607" t="s">
        <v>77</v>
      </c>
      <c r="C3607" t="s">
        <v>14</v>
      </c>
      <c r="D3607" t="s">
        <v>46</v>
      </c>
      <c r="E3607">
        <v>20</v>
      </c>
      <c r="F3607">
        <v>0.08</v>
      </c>
      <c r="G3607">
        <v>175</v>
      </c>
      <c r="H3607" s="1">
        <v>44722</v>
      </c>
      <c r="I3607">
        <v>2022</v>
      </c>
      <c r="J3607">
        <v>6</v>
      </c>
      <c r="K3607" t="s">
        <v>36</v>
      </c>
      <c r="L3607">
        <v>0</v>
      </c>
      <c r="M3607">
        <v>1</v>
      </c>
    </row>
    <row r="3608" spans="1:13" x14ac:dyDescent="0.25">
      <c r="A3608" t="s">
        <v>2532</v>
      </c>
      <c r="B3608" t="s">
        <v>91</v>
      </c>
      <c r="C3608" t="s">
        <v>14</v>
      </c>
      <c r="D3608" t="s">
        <v>22</v>
      </c>
      <c r="E3608" t="s">
        <v>21</v>
      </c>
      <c r="F3608" t="s">
        <v>21</v>
      </c>
      <c r="G3608">
        <v>6</v>
      </c>
      <c r="H3608" s="1">
        <v>44722</v>
      </c>
      <c r="I3608">
        <v>2022</v>
      </c>
      <c r="J3608">
        <v>6</v>
      </c>
      <c r="K3608" t="s">
        <v>16</v>
      </c>
      <c r="L3608" t="s">
        <v>21</v>
      </c>
      <c r="M3608">
        <v>0</v>
      </c>
    </row>
    <row r="3609" spans="1:13" x14ac:dyDescent="0.25">
      <c r="A3609" t="s">
        <v>2533</v>
      </c>
      <c r="B3609" t="s">
        <v>140</v>
      </c>
      <c r="C3609" t="s">
        <v>14</v>
      </c>
      <c r="D3609" t="s">
        <v>33</v>
      </c>
      <c r="E3609" t="s">
        <v>21</v>
      </c>
      <c r="F3609" t="s">
        <v>21</v>
      </c>
      <c r="G3609">
        <v>22</v>
      </c>
      <c r="H3609" s="1">
        <v>44722</v>
      </c>
      <c r="I3609">
        <v>2022</v>
      </c>
      <c r="J3609">
        <v>6</v>
      </c>
      <c r="K3609" t="s">
        <v>30</v>
      </c>
      <c r="L3609" t="s">
        <v>21</v>
      </c>
      <c r="M3609">
        <v>0</v>
      </c>
    </row>
    <row r="3610" spans="1:13" x14ac:dyDescent="0.25">
      <c r="A3610" t="s">
        <v>2534</v>
      </c>
      <c r="B3610" t="s">
        <v>91</v>
      </c>
      <c r="C3610" t="s">
        <v>657</v>
      </c>
      <c r="D3610" t="s">
        <v>22</v>
      </c>
      <c r="E3610" t="s">
        <v>21</v>
      </c>
      <c r="F3610">
        <v>0.2</v>
      </c>
      <c r="G3610">
        <v>2100</v>
      </c>
      <c r="H3610" s="1">
        <v>44722</v>
      </c>
      <c r="I3610">
        <v>2022</v>
      </c>
      <c r="J3610">
        <v>6</v>
      </c>
      <c r="K3610" t="s">
        <v>26</v>
      </c>
      <c r="L3610">
        <v>0</v>
      </c>
      <c r="M3610">
        <v>1</v>
      </c>
    </row>
    <row r="3611" spans="1:13" x14ac:dyDescent="0.25">
      <c r="A3611" t="s">
        <v>2535</v>
      </c>
      <c r="B3611" t="s">
        <v>28</v>
      </c>
      <c r="C3611" t="s">
        <v>14</v>
      </c>
      <c r="D3611" t="s">
        <v>46</v>
      </c>
      <c r="E3611">
        <v>950</v>
      </c>
      <c r="F3611">
        <v>0.25</v>
      </c>
      <c r="G3611">
        <v>926</v>
      </c>
      <c r="H3611" s="1">
        <v>44721</v>
      </c>
      <c r="I3611">
        <v>2022</v>
      </c>
      <c r="J3611">
        <v>6</v>
      </c>
      <c r="K3611" t="s">
        <v>36</v>
      </c>
      <c r="L3611">
        <v>0</v>
      </c>
      <c r="M3611">
        <v>1</v>
      </c>
    </row>
    <row r="3612" spans="1:13" x14ac:dyDescent="0.25">
      <c r="A3612" t="s">
        <v>948</v>
      </c>
      <c r="B3612" t="s">
        <v>24</v>
      </c>
      <c r="C3612" t="s">
        <v>14</v>
      </c>
      <c r="D3612" t="s">
        <v>15</v>
      </c>
      <c r="E3612">
        <v>330</v>
      </c>
      <c r="F3612">
        <v>0.15</v>
      </c>
      <c r="G3612">
        <v>79</v>
      </c>
      <c r="H3612" s="1">
        <v>44721</v>
      </c>
      <c r="I3612">
        <v>2022</v>
      </c>
      <c r="J3612">
        <v>6</v>
      </c>
      <c r="K3612" t="s">
        <v>30</v>
      </c>
      <c r="L3612">
        <v>0</v>
      </c>
      <c r="M3612">
        <v>1</v>
      </c>
    </row>
    <row r="3613" spans="1:13" x14ac:dyDescent="0.25">
      <c r="A3613" t="s">
        <v>2536</v>
      </c>
      <c r="B3613" t="s">
        <v>24</v>
      </c>
      <c r="C3613" t="s">
        <v>161</v>
      </c>
      <c r="D3613" t="s">
        <v>22</v>
      </c>
      <c r="E3613">
        <v>200</v>
      </c>
      <c r="F3613">
        <v>0.15</v>
      </c>
      <c r="G3613" t="s">
        <v>21</v>
      </c>
      <c r="H3613" s="1">
        <v>44721</v>
      </c>
      <c r="I3613">
        <v>2022</v>
      </c>
      <c r="J3613">
        <v>6</v>
      </c>
      <c r="K3613" t="s">
        <v>22</v>
      </c>
      <c r="L3613">
        <v>0</v>
      </c>
      <c r="M3613">
        <v>1</v>
      </c>
    </row>
    <row r="3614" spans="1:13" x14ac:dyDescent="0.25">
      <c r="A3614" t="s">
        <v>1104</v>
      </c>
      <c r="B3614" t="s">
        <v>117</v>
      </c>
      <c r="C3614" t="s">
        <v>14</v>
      </c>
      <c r="D3614" t="s">
        <v>111</v>
      </c>
      <c r="E3614">
        <v>90</v>
      </c>
      <c r="F3614">
        <v>7.0000000000000007E-2</v>
      </c>
      <c r="G3614">
        <v>1100</v>
      </c>
      <c r="H3614" s="1">
        <v>44721</v>
      </c>
      <c r="I3614">
        <v>2022</v>
      </c>
      <c r="J3614">
        <v>6</v>
      </c>
      <c r="K3614" t="s">
        <v>26</v>
      </c>
      <c r="L3614">
        <v>0</v>
      </c>
      <c r="M3614">
        <v>1</v>
      </c>
    </row>
    <row r="3615" spans="1:13" x14ac:dyDescent="0.25">
      <c r="A3615" t="s">
        <v>959</v>
      </c>
      <c r="B3615" t="s">
        <v>140</v>
      </c>
      <c r="C3615" t="s">
        <v>14</v>
      </c>
      <c r="D3615" t="s">
        <v>33</v>
      </c>
      <c r="E3615">
        <v>80</v>
      </c>
      <c r="F3615">
        <v>0.4</v>
      </c>
      <c r="G3615">
        <v>82</v>
      </c>
      <c r="H3615" s="1">
        <v>44721</v>
      </c>
      <c r="I3615">
        <v>2022</v>
      </c>
      <c r="J3615">
        <v>6</v>
      </c>
      <c r="K3615" t="s">
        <v>30</v>
      </c>
      <c r="L3615">
        <v>0</v>
      </c>
      <c r="M3615">
        <v>1</v>
      </c>
    </row>
    <row r="3616" spans="1:13" x14ac:dyDescent="0.25">
      <c r="A3616" t="s">
        <v>530</v>
      </c>
      <c r="B3616" t="s">
        <v>24</v>
      </c>
      <c r="C3616" t="s">
        <v>161</v>
      </c>
      <c r="D3616" t="s">
        <v>15</v>
      </c>
      <c r="E3616">
        <v>70</v>
      </c>
      <c r="F3616">
        <v>0.05</v>
      </c>
      <c r="G3616">
        <v>56</v>
      </c>
      <c r="H3616" s="1">
        <v>44721</v>
      </c>
      <c r="I3616">
        <v>2022</v>
      </c>
      <c r="J3616">
        <v>6</v>
      </c>
      <c r="K3616" t="s">
        <v>30</v>
      </c>
      <c r="L3616">
        <v>0</v>
      </c>
      <c r="M3616">
        <v>1</v>
      </c>
    </row>
    <row r="3617" spans="1:13" x14ac:dyDescent="0.25">
      <c r="A3617" t="s">
        <v>2537</v>
      </c>
      <c r="B3617" t="s">
        <v>24</v>
      </c>
      <c r="C3617" t="s">
        <v>14</v>
      </c>
      <c r="D3617" t="s">
        <v>20</v>
      </c>
      <c r="E3617">
        <v>40</v>
      </c>
      <c r="F3617">
        <v>1</v>
      </c>
      <c r="G3617">
        <v>5</v>
      </c>
      <c r="H3617" s="1">
        <v>44721</v>
      </c>
      <c r="I3617">
        <v>2022</v>
      </c>
      <c r="J3617">
        <v>6</v>
      </c>
      <c r="K3617" t="s">
        <v>16</v>
      </c>
      <c r="L3617">
        <v>1</v>
      </c>
      <c r="M3617">
        <v>1</v>
      </c>
    </row>
    <row r="3618" spans="1:13" x14ac:dyDescent="0.25">
      <c r="A3618" t="s">
        <v>2538</v>
      </c>
      <c r="B3618" t="s">
        <v>77</v>
      </c>
      <c r="C3618" t="s">
        <v>64</v>
      </c>
      <c r="D3618" t="s">
        <v>55</v>
      </c>
      <c r="E3618">
        <v>31</v>
      </c>
      <c r="F3618">
        <v>0.14000000000000001</v>
      </c>
      <c r="G3618">
        <v>61</v>
      </c>
      <c r="H3618" s="1">
        <v>44721</v>
      </c>
      <c r="I3618">
        <v>2022</v>
      </c>
      <c r="J3618">
        <v>6</v>
      </c>
      <c r="K3618" t="s">
        <v>30</v>
      </c>
      <c r="L3618">
        <v>0</v>
      </c>
      <c r="M3618">
        <v>1</v>
      </c>
    </row>
    <row r="3619" spans="1:13" x14ac:dyDescent="0.25">
      <c r="A3619" t="s">
        <v>2539</v>
      </c>
      <c r="B3619" t="s">
        <v>106</v>
      </c>
      <c r="C3619" t="s">
        <v>14</v>
      </c>
      <c r="D3619" t="s">
        <v>46</v>
      </c>
      <c r="E3619">
        <v>26</v>
      </c>
      <c r="F3619">
        <v>0.05</v>
      </c>
      <c r="G3619">
        <v>100</v>
      </c>
      <c r="H3619" s="1">
        <v>44721</v>
      </c>
      <c r="I3619">
        <v>2022</v>
      </c>
      <c r="J3619">
        <v>6</v>
      </c>
      <c r="K3619" t="s">
        <v>36</v>
      </c>
      <c r="L3619">
        <v>0</v>
      </c>
      <c r="M3619">
        <v>1</v>
      </c>
    </row>
    <row r="3620" spans="1:13" x14ac:dyDescent="0.25">
      <c r="A3620" t="s">
        <v>604</v>
      </c>
      <c r="B3620" t="s">
        <v>32</v>
      </c>
      <c r="C3620" t="s">
        <v>14</v>
      </c>
      <c r="D3620" t="s">
        <v>46</v>
      </c>
      <c r="E3620" t="s">
        <v>21</v>
      </c>
      <c r="F3620">
        <v>0.08</v>
      </c>
      <c r="G3620">
        <v>22</v>
      </c>
      <c r="H3620" s="1">
        <v>44721</v>
      </c>
      <c r="I3620">
        <v>2022</v>
      </c>
      <c r="J3620">
        <v>6</v>
      </c>
      <c r="K3620" t="s">
        <v>30</v>
      </c>
      <c r="L3620">
        <v>0</v>
      </c>
      <c r="M3620">
        <v>1</v>
      </c>
    </row>
    <row r="3621" spans="1:13" x14ac:dyDescent="0.25">
      <c r="A3621" t="s">
        <v>2540</v>
      </c>
      <c r="B3621" t="s">
        <v>66</v>
      </c>
      <c r="C3621" t="s">
        <v>14</v>
      </c>
      <c r="D3621" t="s">
        <v>33</v>
      </c>
      <c r="E3621" t="s">
        <v>21</v>
      </c>
      <c r="F3621">
        <v>0.11</v>
      </c>
      <c r="G3621">
        <v>197</v>
      </c>
      <c r="H3621" s="1">
        <v>44721</v>
      </c>
      <c r="I3621">
        <v>2022</v>
      </c>
      <c r="J3621">
        <v>6</v>
      </c>
      <c r="K3621" t="s">
        <v>36</v>
      </c>
      <c r="L3621">
        <v>0</v>
      </c>
      <c r="M3621">
        <v>1</v>
      </c>
    </row>
    <row r="3622" spans="1:13" x14ac:dyDescent="0.25">
      <c r="A3622" t="s">
        <v>725</v>
      </c>
      <c r="B3622" t="s">
        <v>77</v>
      </c>
      <c r="C3622" t="s">
        <v>83</v>
      </c>
      <c r="D3622" t="s">
        <v>46</v>
      </c>
      <c r="E3622" t="s">
        <v>21</v>
      </c>
      <c r="F3622" t="s">
        <v>21</v>
      </c>
      <c r="G3622">
        <v>1200</v>
      </c>
      <c r="H3622" s="1">
        <v>44721</v>
      </c>
      <c r="I3622">
        <v>2022</v>
      </c>
      <c r="J3622">
        <v>6</v>
      </c>
      <c r="K3622" t="s">
        <v>26</v>
      </c>
      <c r="L3622" t="s">
        <v>21</v>
      </c>
      <c r="M3622">
        <v>0</v>
      </c>
    </row>
    <row r="3623" spans="1:13" x14ac:dyDescent="0.25">
      <c r="A3623" t="s">
        <v>331</v>
      </c>
      <c r="B3623" t="s">
        <v>73</v>
      </c>
      <c r="C3623" t="s">
        <v>14</v>
      </c>
      <c r="D3623" t="s">
        <v>15</v>
      </c>
      <c r="E3623">
        <v>250</v>
      </c>
      <c r="F3623">
        <v>0.21</v>
      </c>
      <c r="G3623">
        <v>839</v>
      </c>
      <c r="H3623" s="1">
        <v>44720</v>
      </c>
      <c r="I3623">
        <v>2022</v>
      </c>
      <c r="J3623">
        <v>6</v>
      </c>
      <c r="K3623" t="s">
        <v>36</v>
      </c>
      <c r="L3623">
        <v>0</v>
      </c>
      <c r="M3623">
        <v>1</v>
      </c>
    </row>
    <row r="3624" spans="1:13" x14ac:dyDescent="0.25">
      <c r="A3624" t="s">
        <v>2066</v>
      </c>
      <c r="B3624" t="s">
        <v>66</v>
      </c>
      <c r="C3624" t="s">
        <v>230</v>
      </c>
      <c r="D3624" t="s">
        <v>111</v>
      </c>
      <c r="E3624">
        <v>150</v>
      </c>
      <c r="F3624" t="s">
        <v>21</v>
      </c>
      <c r="G3624">
        <v>1600</v>
      </c>
      <c r="H3624" s="1">
        <v>44720</v>
      </c>
      <c r="I3624">
        <v>2022</v>
      </c>
      <c r="J3624">
        <v>6</v>
      </c>
      <c r="K3624" t="s">
        <v>26</v>
      </c>
      <c r="L3624" t="s">
        <v>21</v>
      </c>
      <c r="M3624">
        <v>1</v>
      </c>
    </row>
    <row r="3625" spans="1:13" x14ac:dyDescent="0.25">
      <c r="A3625" t="s">
        <v>2222</v>
      </c>
      <c r="B3625" t="s">
        <v>35</v>
      </c>
      <c r="C3625" t="s">
        <v>14</v>
      </c>
      <c r="D3625" t="s">
        <v>55</v>
      </c>
      <c r="E3625">
        <v>150</v>
      </c>
      <c r="F3625">
        <v>0.15</v>
      </c>
      <c r="G3625">
        <v>255</v>
      </c>
      <c r="H3625" s="1">
        <v>44720</v>
      </c>
      <c r="I3625">
        <v>2022</v>
      </c>
      <c r="J3625">
        <v>6</v>
      </c>
      <c r="K3625" t="s">
        <v>36</v>
      </c>
      <c r="L3625">
        <v>0</v>
      </c>
      <c r="M3625">
        <v>1</v>
      </c>
    </row>
    <row r="3626" spans="1:13" x14ac:dyDescent="0.25">
      <c r="A3626" t="s">
        <v>2541</v>
      </c>
      <c r="B3626" t="s">
        <v>24</v>
      </c>
      <c r="C3626" t="s">
        <v>2220</v>
      </c>
      <c r="D3626" t="s">
        <v>22</v>
      </c>
      <c r="E3626">
        <v>50</v>
      </c>
      <c r="F3626">
        <v>0.2</v>
      </c>
      <c r="G3626">
        <v>26</v>
      </c>
      <c r="H3626" s="1">
        <v>44720</v>
      </c>
      <c r="I3626">
        <v>2022</v>
      </c>
      <c r="J3626">
        <v>6</v>
      </c>
      <c r="K3626" t="s">
        <v>30</v>
      </c>
      <c r="L3626">
        <v>0</v>
      </c>
      <c r="M3626">
        <v>1</v>
      </c>
    </row>
    <row r="3627" spans="1:13" x14ac:dyDescent="0.25">
      <c r="A3627" t="s">
        <v>2542</v>
      </c>
      <c r="B3627" t="s">
        <v>18</v>
      </c>
      <c r="C3627" t="s">
        <v>161</v>
      </c>
      <c r="D3627" t="s">
        <v>22</v>
      </c>
      <c r="E3627" t="s">
        <v>21</v>
      </c>
      <c r="F3627">
        <v>0.4</v>
      </c>
      <c r="G3627">
        <v>24</v>
      </c>
      <c r="H3627" s="1">
        <v>44720</v>
      </c>
      <c r="I3627">
        <v>2022</v>
      </c>
      <c r="J3627">
        <v>6</v>
      </c>
      <c r="K3627" t="s">
        <v>30</v>
      </c>
      <c r="L3627">
        <v>0</v>
      </c>
      <c r="M3627">
        <v>1</v>
      </c>
    </row>
    <row r="3628" spans="1:13" x14ac:dyDescent="0.25">
      <c r="A3628" t="s">
        <v>1834</v>
      </c>
      <c r="B3628" t="s">
        <v>66</v>
      </c>
      <c r="C3628" t="s">
        <v>80</v>
      </c>
      <c r="D3628" t="s">
        <v>15</v>
      </c>
      <c r="E3628">
        <v>750</v>
      </c>
      <c r="F3628">
        <v>0.15</v>
      </c>
      <c r="G3628">
        <v>2000</v>
      </c>
      <c r="H3628" s="1">
        <v>44719</v>
      </c>
      <c r="I3628">
        <v>2022</v>
      </c>
      <c r="J3628">
        <v>6</v>
      </c>
      <c r="K3628" t="s">
        <v>26</v>
      </c>
      <c r="L3628">
        <v>0</v>
      </c>
      <c r="M3628">
        <v>1</v>
      </c>
    </row>
    <row r="3629" spans="1:13" x14ac:dyDescent="0.25">
      <c r="A3629" t="s">
        <v>1834</v>
      </c>
      <c r="B3629" t="s">
        <v>66</v>
      </c>
      <c r="C3629" t="s">
        <v>80</v>
      </c>
      <c r="D3629" t="s">
        <v>15</v>
      </c>
      <c r="E3629">
        <v>750</v>
      </c>
      <c r="F3629">
        <v>0.15</v>
      </c>
      <c r="G3629">
        <v>2000</v>
      </c>
      <c r="H3629" s="1">
        <v>44719</v>
      </c>
      <c r="I3629">
        <v>2022</v>
      </c>
      <c r="J3629">
        <v>6</v>
      </c>
      <c r="K3629" t="s">
        <v>26</v>
      </c>
      <c r="L3629">
        <v>0</v>
      </c>
      <c r="M3629">
        <v>1</v>
      </c>
    </row>
    <row r="3630" spans="1:13" x14ac:dyDescent="0.25">
      <c r="A3630" t="s">
        <v>2266</v>
      </c>
      <c r="B3630" t="s">
        <v>77</v>
      </c>
      <c r="C3630" t="s">
        <v>48</v>
      </c>
      <c r="D3630" t="s">
        <v>22</v>
      </c>
      <c r="E3630">
        <v>180</v>
      </c>
      <c r="F3630">
        <v>0.15</v>
      </c>
      <c r="G3630">
        <v>172</v>
      </c>
      <c r="H3630" s="1">
        <v>44719</v>
      </c>
      <c r="I3630">
        <v>2022</v>
      </c>
      <c r="J3630">
        <v>6</v>
      </c>
      <c r="K3630" t="s">
        <v>36</v>
      </c>
      <c r="L3630">
        <v>0</v>
      </c>
      <c r="M3630">
        <v>1</v>
      </c>
    </row>
    <row r="3631" spans="1:13" x14ac:dyDescent="0.25">
      <c r="A3631" t="s">
        <v>2543</v>
      </c>
      <c r="B3631" t="s">
        <v>54</v>
      </c>
      <c r="C3631" t="s">
        <v>25</v>
      </c>
      <c r="D3631" t="s">
        <v>46</v>
      </c>
      <c r="E3631">
        <v>150</v>
      </c>
      <c r="F3631" t="s">
        <v>21</v>
      </c>
      <c r="G3631">
        <v>149</v>
      </c>
      <c r="H3631" s="1">
        <v>44719</v>
      </c>
      <c r="I3631">
        <v>2022</v>
      </c>
      <c r="J3631">
        <v>6</v>
      </c>
      <c r="K3631" t="s">
        <v>36</v>
      </c>
      <c r="L3631" t="s">
        <v>21</v>
      </c>
      <c r="M3631">
        <v>1</v>
      </c>
    </row>
    <row r="3632" spans="1:13" x14ac:dyDescent="0.25">
      <c r="A3632" t="s">
        <v>1135</v>
      </c>
      <c r="B3632" t="s">
        <v>66</v>
      </c>
      <c r="C3632" t="s">
        <v>14</v>
      </c>
      <c r="D3632" t="s">
        <v>15</v>
      </c>
      <c r="E3632">
        <v>138</v>
      </c>
      <c r="F3632">
        <v>0.23</v>
      </c>
      <c r="G3632">
        <v>783</v>
      </c>
      <c r="H3632" s="1">
        <v>44719</v>
      </c>
      <c r="I3632">
        <v>2022</v>
      </c>
      <c r="J3632">
        <v>6</v>
      </c>
      <c r="K3632" t="s">
        <v>36</v>
      </c>
      <c r="L3632">
        <v>0</v>
      </c>
      <c r="M3632">
        <v>1</v>
      </c>
    </row>
    <row r="3633" spans="1:13" x14ac:dyDescent="0.25">
      <c r="A3633" t="s">
        <v>2544</v>
      </c>
      <c r="B3633" t="s">
        <v>28</v>
      </c>
      <c r="C3633" t="s">
        <v>14</v>
      </c>
      <c r="D3633" t="s">
        <v>22</v>
      </c>
      <c r="E3633">
        <v>130</v>
      </c>
      <c r="F3633" t="s">
        <v>21</v>
      </c>
      <c r="G3633">
        <v>275</v>
      </c>
      <c r="H3633" s="1">
        <v>44719</v>
      </c>
      <c r="I3633">
        <v>2022</v>
      </c>
      <c r="J3633">
        <v>6</v>
      </c>
      <c r="K3633" t="s">
        <v>36</v>
      </c>
      <c r="L3633" t="s">
        <v>21</v>
      </c>
      <c r="M3633">
        <v>1</v>
      </c>
    </row>
    <row r="3634" spans="1:13" x14ac:dyDescent="0.25">
      <c r="A3634" t="s">
        <v>2545</v>
      </c>
      <c r="B3634" t="s">
        <v>24</v>
      </c>
      <c r="C3634" t="s">
        <v>14</v>
      </c>
      <c r="D3634" t="s">
        <v>22</v>
      </c>
      <c r="E3634">
        <v>40</v>
      </c>
      <c r="F3634" t="s">
        <v>21</v>
      </c>
      <c r="G3634">
        <v>11</v>
      </c>
      <c r="H3634" s="1">
        <v>44719</v>
      </c>
      <c r="I3634">
        <v>2022</v>
      </c>
      <c r="J3634">
        <v>6</v>
      </c>
      <c r="K3634" t="s">
        <v>30</v>
      </c>
      <c r="L3634" t="s">
        <v>21</v>
      </c>
      <c r="M3634">
        <v>1</v>
      </c>
    </row>
    <row r="3635" spans="1:13" x14ac:dyDescent="0.25">
      <c r="A3635" t="s">
        <v>2546</v>
      </c>
      <c r="B3635" t="s">
        <v>77</v>
      </c>
      <c r="C3635" t="s">
        <v>14</v>
      </c>
      <c r="D3635" t="s">
        <v>68</v>
      </c>
      <c r="E3635" t="s">
        <v>21</v>
      </c>
      <c r="F3635" t="s">
        <v>21</v>
      </c>
      <c r="G3635">
        <v>42</v>
      </c>
      <c r="H3635" s="1">
        <v>44719</v>
      </c>
      <c r="I3635">
        <v>2022</v>
      </c>
      <c r="J3635">
        <v>6</v>
      </c>
      <c r="K3635" t="s">
        <v>30</v>
      </c>
      <c r="L3635" t="s">
        <v>21</v>
      </c>
      <c r="M3635">
        <v>0</v>
      </c>
    </row>
    <row r="3636" spans="1:13" x14ac:dyDescent="0.25">
      <c r="A3636" t="s">
        <v>2547</v>
      </c>
      <c r="B3636" t="s">
        <v>77</v>
      </c>
      <c r="C3636" t="s">
        <v>14</v>
      </c>
      <c r="D3636" t="s">
        <v>33</v>
      </c>
      <c r="E3636" t="s">
        <v>21</v>
      </c>
      <c r="F3636" t="s">
        <v>21</v>
      </c>
      <c r="G3636">
        <v>35</v>
      </c>
      <c r="H3636" s="1">
        <v>44719</v>
      </c>
      <c r="I3636">
        <v>2022</v>
      </c>
      <c r="J3636">
        <v>6</v>
      </c>
      <c r="K3636" t="s">
        <v>30</v>
      </c>
      <c r="L3636" t="s">
        <v>21</v>
      </c>
      <c r="M3636">
        <v>0</v>
      </c>
    </row>
    <row r="3637" spans="1:13" x14ac:dyDescent="0.25">
      <c r="A3637" t="s">
        <v>2246</v>
      </c>
      <c r="B3637" t="s">
        <v>91</v>
      </c>
      <c r="C3637" t="s">
        <v>2247</v>
      </c>
      <c r="D3637" t="s">
        <v>68</v>
      </c>
      <c r="E3637" t="s">
        <v>21</v>
      </c>
      <c r="F3637">
        <v>0.5</v>
      </c>
      <c r="G3637">
        <v>33</v>
      </c>
      <c r="H3637" s="1">
        <v>44719</v>
      </c>
      <c r="I3637">
        <v>2022</v>
      </c>
      <c r="J3637">
        <v>6</v>
      </c>
      <c r="K3637" t="s">
        <v>30</v>
      </c>
      <c r="L3637">
        <v>0</v>
      </c>
      <c r="M3637">
        <v>1</v>
      </c>
    </row>
    <row r="3638" spans="1:13" x14ac:dyDescent="0.25">
      <c r="A3638" t="s">
        <v>2362</v>
      </c>
      <c r="B3638" t="s">
        <v>77</v>
      </c>
      <c r="C3638" t="s">
        <v>174</v>
      </c>
      <c r="D3638" t="s">
        <v>46</v>
      </c>
      <c r="E3638">
        <v>60</v>
      </c>
      <c r="F3638" t="s">
        <v>21</v>
      </c>
      <c r="G3638">
        <v>681</v>
      </c>
      <c r="H3638" s="1">
        <v>44718</v>
      </c>
      <c r="I3638">
        <v>2022</v>
      </c>
      <c r="J3638">
        <v>6</v>
      </c>
      <c r="K3638" t="s">
        <v>36</v>
      </c>
      <c r="L3638" t="s">
        <v>21</v>
      </c>
      <c r="M3638">
        <v>1</v>
      </c>
    </row>
    <row r="3639" spans="1:13" x14ac:dyDescent="0.25">
      <c r="A3639" t="s">
        <v>2548</v>
      </c>
      <c r="B3639" t="s">
        <v>13</v>
      </c>
      <c r="C3639" t="s">
        <v>14</v>
      </c>
      <c r="D3639" t="s">
        <v>55</v>
      </c>
      <c r="E3639">
        <v>50</v>
      </c>
      <c r="F3639">
        <v>7.0000000000000007E-2</v>
      </c>
      <c r="G3639">
        <v>603</v>
      </c>
      <c r="H3639" s="1">
        <v>44718</v>
      </c>
      <c r="I3639">
        <v>2022</v>
      </c>
      <c r="J3639">
        <v>6</v>
      </c>
      <c r="K3639" t="s">
        <v>36</v>
      </c>
      <c r="L3639">
        <v>0</v>
      </c>
      <c r="M3639">
        <v>1</v>
      </c>
    </row>
    <row r="3640" spans="1:13" x14ac:dyDescent="0.25">
      <c r="A3640" t="s">
        <v>2362</v>
      </c>
      <c r="B3640" t="s">
        <v>77</v>
      </c>
      <c r="C3640" t="s">
        <v>19</v>
      </c>
      <c r="D3640" t="s">
        <v>46</v>
      </c>
      <c r="E3640" t="s">
        <v>21</v>
      </c>
      <c r="F3640" t="s">
        <v>21</v>
      </c>
      <c r="G3640">
        <v>681</v>
      </c>
      <c r="H3640" s="1">
        <v>44718</v>
      </c>
      <c r="I3640">
        <v>2022</v>
      </c>
      <c r="J3640">
        <v>6</v>
      </c>
      <c r="K3640" t="s">
        <v>36</v>
      </c>
      <c r="L3640" t="s">
        <v>21</v>
      </c>
      <c r="M3640">
        <v>0</v>
      </c>
    </row>
    <row r="3641" spans="1:13" x14ac:dyDescent="0.25">
      <c r="A3641" t="s">
        <v>435</v>
      </c>
      <c r="B3641" t="s">
        <v>28</v>
      </c>
      <c r="C3641" t="s">
        <v>14</v>
      </c>
      <c r="D3641" t="s">
        <v>55</v>
      </c>
      <c r="E3641" t="s">
        <v>21</v>
      </c>
      <c r="F3641">
        <v>0.1</v>
      </c>
      <c r="G3641">
        <v>259</v>
      </c>
      <c r="H3641" s="1">
        <v>44718</v>
      </c>
      <c r="I3641">
        <v>2022</v>
      </c>
      <c r="J3641">
        <v>6</v>
      </c>
      <c r="K3641" t="s">
        <v>36</v>
      </c>
      <c r="L3641">
        <v>0</v>
      </c>
      <c r="M3641">
        <v>1</v>
      </c>
    </row>
    <row r="3642" spans="1:13" x14ac:dyDescent="0.25">
      <c r="A3642" t="s">
        <v>1137</v>
      </c>
      <c r="B3642" t="s">
        <v>54</v>
      </c>
      <c r="C3642" t="s">
        <v>14</v>
      </c>
      <c r="D3642" t="s">
        <v>46</v>
      </c>
      <c r="E3642" t="s">
        <v>21</v>
      </c>
      <c r="F3642">
        <v>0.14000000000000001</v>
      </c>
      <c r="G3642">
        <v>152</v>
      </c>
      <c r="H3642" s="1">
        <v>44718</v>
      </c>
      <c r="I3642">
        <v>2022</v>
      </c>
      <c r="J3642">
        <v>6</v>
      </c>
      <c r="K3642" t="s">
        <v>36</v>
      </c>
      <c r="L3642">
        <v>0</v>
      </c>
      <c r="M3642">
        <v>1</v>
      </c>
    </row>
    <row r="3643" spans="1:13" x14ac:dyDescent="0.25">
      <c r="A3643" t="s">
        <v>2549</v>
      </c>
      <c r="B3643" t="s">
        <v>106</v>
      </c>
      <c r="C3643" t="s">
        <v>48</v>
      </c>
      <c r="D3643" t="s">
        <v>111</v>
      </c>
      <c r="E3643">
        <v>40</v>
      </c>
      <c r="F3643" t="s">
        <v>21</v>
      </c>
      <c r="G3643">
        <v>1200</v>
      </c>
      <c r="H3643" s="1">
        <v>44716</v>
      </c>
      <c r="I3643">
        <v>2022</v>
      </c>
      <c r="J3643">
        <v>6</v>
      </c>
      <c r="K3643" t="s">
        <v>26</v>
      </c>
      <c r="L3643" t="s">
        <v>21</v>
      </c>
      <c r="M3643">
        <v>1</v>
      </c>
    </row>
    <row r="3644" spans="1:13" x14ac:dyDescent="0.25">
      <c r="A3644" t="s">
        <v>2550</v>
      </c>
      <c r="B3644" t="s">
        <v>18</v>
      </c>
      <c r="C3644" t="s">
        <v>230</v>
      </c>
      <c r="D3644" t="s">
        <v>22</v>
      </c>
      <c r="E3644">
        <v>60</v>
      </c>
      <c r="F3644">
        <v>0.2</v>
      </c>
      <c r="G3644" t="s">
        <v>21</v>
      </c>
      <c r="H3644" s="1">
        <v>44715</v>
      </c>
      <c r="I3644">
        <v>2022</v>
      </c>
      <c r="J3644">
        <v>6</v>
      </c>
      <c r="K3644" t="s">
        <v>22</v>
      </c>
      <c r="L3644">
        <v>0</v>
      </c>
      <c r="M3644">
        <v>1</v>
      </c>
    </row>
    <row r="3645" spans="1:13" x14ac:dyDescent="0.25">
      <c r="A3645" t="s">
        <v>2551</v>
      </c>
      <c r="B3645" t="s">
        <v>18</v>
      </c>
      <c r="C3645" t="s">
        <v>14</v>
      </c>
      <c r="D3645" t="s">
        <v>46</v>
      </c>
      <c r="E3645">
        <v>23</v>
      </c>
      <c r="F3645">
        <v>0.22</v>
      </c>
      <c r="G3645">
        <v>108</v>
      </c>
      <c r="H3645" s="1">
        <v>44715</v>
      </c>
      <c r="I3645">
        <v>2022</v>
      </c>
      <c r="J3645">
        <v>6</v>
      </c>
      <c r="K3645" t="s">
        <v>36</v>
      </c>
      <c r="L3645">
        <v>0</v>
      </c>
      <c r="M3645">
        <v>1</v>
      </c>
    </row>
    <row r="3646" spans="1:13" x14ac:dyDescent="0.25">
      <c r="A3646" t="s">
        <v>2552</v>
      </c>
      <c r="B3646" t="s">
        <v>95</v>
      </c>
      <c r="C3646" t="s">
        <v>14</v>
      </c>
      <c r="D3646" t="s">
        <v>20</v>
      </c>
      <c r="E3646">
        <v>21</v>
      </c>
      <c r="F3646">
        <v>0.15</v>
      </c>
      <c r="G3646">
        <v>176</v>
      </c>
      <c r="H3646" s="1">
        <v>44715</v>
      </c>
      <c r="I3646">
        <v>2022</v>
      </c>
      <c r="J3646">
        <v>6</v>
      </c>
      <c r="K3646" t="s">
        <v>36</v>
      </c>
      <c r="L3646">
        <v>0</v>
      </c>
      <c r="M3646">
        <v>1</v>
      </c>
    </row>
    <row r="3647" spans="1:13" x14ac:dyDescent="0.25">
      <c r="A3647" t="s">
        <v>2553</v>
      </c>
      <c r="B3647" t="s">
        <v>217</v>
      </c>
      <c r="C3647" t="s">
        <v>42</v>
      </c>
      <c r="D3647" t="s">
        <v>68</v>
      </c>
      <c r="E3647" t="s">
        <v>21</v>
      </c>
      <c r="F3647">
        <v>0.25</v>
      </c>
      <c r="G3647">
        <v>12</v>
      </c>
      <c r="H3647" s="1">
        <v>44715</v>
      </c>
      <c r="I3647">
        <v>2022</v>
      </c>
      <c r="J3647">
        <v>6</v>
      </c>
      <c r="K3647" t="s">
        <v>30</v>
      </c>
      <c r="L3647">
        <v>0</v>
      </c>
      <c r="M3647">
        <v>1</v>
      </c>
    </row>
    <row r="3648" spans="1:13" x14ac:dyDescent="0.25">
      <c r="A3648" t="s">
        <v>1509</v>
      </c>
      <c r="B3648" t="s">
        <v>18</v>
      </c>
      <c r="C3648" t="s">
        <v>14</v>
      </c>
      <c r="D3648" t="s">
        <v>46</v>
      </c>
      <c r="E3648" t="s">
        <v>21</v>
      </c>
      <c r="F3648" t="s">
        <v>21</v>
      </c>
      <c r="G3648">
        <v>110</v>
      </c>
      <c r="H3648" s="1">
        <v>44715</v>
      </c>
      <c r="I3648">
        <v>2022</v>
      </c>
      <c r="J3648">
        <v>6</v>
      </c>
      <c r="K3648" t="s">
        <v>36</v>
      </c>
      <c r="L3648" t="s">
        <v>21</v>
      </c>
      <c r="M3648">
        <v>0</v>
      </c>
    </row>
    <row r="3649" spans="1:13" x14ac:dyDescent="0.25">
      <c r="A3649" t="s">
        <v>786</v>
      </c>
      <c r="B3649" t="s">
        <v>66</v>
      </c>
      <c r="C3649" t="s">
        <v>14</v>
      </c>
      <c r="D3649" t="s">
        <v>15</v>
      </c>
      <c r="E3649" t="s">
        <v>21</v>
      </c>
      <c r="F3649">
        <v>0.1</v>
      </c>
      <c r="G3649">
        <v>20200</v>
      </c>
      <c r="H3649" s="1">
        <v>44715</v>
      </c>
      <c r="I3649">
        <v>2022</v>
      </c>
      <c r="J3649">
        <v>6</v>
      </c>
      <c r="K3649" t="s">
        <v>26</v>
      </c>
      <c r="L3649">
        <v>0</v>
      </c>
      <c r="M3649">
        <v>1</v>
      </c>
    </row>
    <row r="3650" spans="1:13" x14ac:dyDescent="0.25">
      <c r="A3650" t="s">
        <v>864</v>
      </c>
      <c r="B3650" t="s">
        <v>35</v>
      </c>
      <c r="C3650" t="s">
        <v>14</v>
      </c>
      <c r="D3650" t="s">
        <v>55</v>
      </c>
      <c r="E3650">
        <v>250</v>
      </c>
      <c r="F3650">
        <v>0.08</v>
      </c>
      <c r="G3650">
        <v>522</v>
      </c>
      <c r="H3650" s="1">
        <v>44714</v>
      </c>
      <c r="I3650">
        <v>2022</v>
      </c>
      <c r="J3650">
        <v>6</v>
      </c>
      <c r="K3650" t="s">
        <v>36</v>
      </c>
      <c r="L3650">
        <v>0</v>
      </c>
      <c r="M3650">
        <v>1</v>
      </c>
    </row>
    <row r="3651" spans="1:13" x14ac:dyDescent="0.25">
      <c r="A3651" t="s">
        <v>2554</v>
      </c>
      <c r="B3651" t="s">
        <v>95</v>
      </c>
      <c r="C3651" t="s">
        <v>230</v>
      </c>
      <c r="D3651" t="s">
        <v>68</v>
      </c>
      <c r="E3651">
        <v>170</v>
      </c>
      <c r="F3651" t="s">
        <v>21</v>
      </c>
      <c r="G3651">
        <v>31</v>
      </c>
      <c r="H3651" s="1">
        <v>44714</v>
      </c>
      <c r="I3651">
        <v>2022</v>
      </c>
      <c r="J3651">
        <v>6</v>
      </c>
      <c r="K3651" t="s">
        <v>30</v>
      </c>
      <c r="L3651" t="s">
        <v>21</v>
      </c>
      <c r="M3651">
        <v>1</v>
      </c>
    </row>
    <row r="3652" spans="1:13" x14ac:dyDescent="0.25">
      <c r="A3652" t="s">
        <v>2555</v>
      </c>
      <c r="B3652" t="s">
        <v>77</v>
      </c>
      <c r="C3652" t="s">
        <v>14</v>
      </c>
      <c r="D3652" t="s">
        <v>111</v>
      </c>
      <c r="E3652">
        <v>170</v>
      </c>
      <c r="F3652">
        <v>0.25</v>
      </c>
      <c r="G3652">
        <v>286</v>
      </c>
      <c r="H3652" s="1">
        <v>44714</v>
      </c>
      <c r="I3652">
        <v>2022</v>
      </c>
      <c r="J3652">
        <v>6</v>
      </c>
      <c r="K3652" t="s">
        <v>36</v>
      </c>
      <c r="L3652">
        <v>0</v>
      </c>
      <c r="M3652">
        <v>1</v>
      </c>
    </row>
    <row r="3653" spans="1:13" x14ac:dyDescent="0.25">
      <c r="A3653" t="s">
        <v>2556</v>
      </c>
      <c r="B3653" t="s">
        <v>533</v>
      </c>
      <c r="C3653" t="s">
        <v>48</v>
      </c>
      <c r="D3653" t="s">
        <v>49</v>
      </c>
      <c r="E3653">
        <v>140</v>
      </c>
      <c r="F3653">
        <v>0.5</v>
      </c>
      <c r="G3653">
        <v>3</v>
      </c>
      <c r="H3653" s="1">
        <v>44714</v>
      </c>
      <c r="I3653">
        <v>2022</v>
      </c>
      <c r="J3653">
        <v>6</v>
      </c>
      <c r="K3653" t="s">
        <v>16</v>
      </c>
      <c r="L3653">
        <v>0</v>
      </c>
      <c r="M3653">
        <v>1</v>
      </c>
    </row>
    <row r="3654" spans="1:13" x14ac:dyDescent="0.25">
      <c r="A3654" t="s">
        <v>239</v>
      </c>
      <c r="B3654" t="s">
        <v>54</v>
      </c>
      <c r="C3654" t="s">
        <v>42</v>
      </c>
      <c r="D3654" t="s">
        <v>22</v>
      </c>
      <c r="E3654">
        <v>100</v>
      </c>
      <c r="F3654" t="s">
        <v>21</v>
      </c>
      <c r="G3654" t="s">
        <v>21</v>
      </c>
      <c r="H3654" s="1">
        <v>44714</v>
      </c>
      <c r="I3654">
        <v>2022</v>
      </c>
      <c r="J3654">
        <v>6</v>
      </c>
      <c r="K3654" t="s">
        <v>22</v>
      </c>
      <c r="L3654" t="s">
        <v>21</v>
      </c>
      <c r="M3654">
        <v>1</v>
      </c>
    </row>
    <row r="3655" spans="1:13" x14ac:dyDescent="0.25">
      <c r="A3655" t="s">
        <v>224</v>
      </c>
      <c r="B3655" t="s">
        <v>52</v>
      </c>
      <c r="C3655" t="s">
        <v>14</v>
      </c>
      <c r="D3655" t="s">
        <v>22</v>
      </c>
      <c r="E3655">
        <v>100</v>
      </c>
      <c r="F3655">
        <v>0.1</v>
      </c>
      <c r="G3655">
        <v>423</v>
      </c>
      <c r="H3655" s="1">
        <v>44714</v>
      </c>
      <c r="I3655">
        <v>2022</v>
      </c>
      <c r="J3655">
        <v>6</v>
      </c>
      <c r="K3655" t="s">
        <v>36</v>
      </c>
      <c r="L3655">
        <v>0</v>
      </c>
      <c r="M3655">
        <v>1</v>
      </c>
    </row>
    <row r="3656" spans="1:13" x14ac:dyDescent="0.25">
      <c r="A3656" t="s">
        <v>2557</v>
      </c>
      <c r="B3656" t="s">
        <v>117</v>
      </c>
      <c r="C3656" t="s">
        <v>14</v>
      </c>
      <c r="D3656" t="s">
        <v>55</v>
      </c>
      <c r="E3656">
        <v>59</v>
      </c>
      <c r="F3656">
        <v>0.08</v>
      </c>
      <c r="G3656">
        <v>325</v>
      </c>
      <c r="H3656" s="1">
        <v>44714</v>
      </c>
      <c r="I3656">
        <v>2022</v>
      </c>
      <c r="J3656">
        <v>6</v>
      </c>
      <c r="K3656" t="s">
        <v>36</v>
      </c>
      <c r="L3656">
        <v>0</v>
      </c>
      <c r="M3656">
        <v>1</v>
      </c>
    </row>
    <row r="3657" spans="1:13" x14ac:dyDescent="0.25">
      <c r="A3657" t="s">
        <v>2558</v>
      </c>
      <c r="B3657" t="s">
        <v>18</v>
      </c>
      <c r="C3657" t="s">
        <v>14</v>
      </c>
      <c r="D3657" t="s">
        <v>33</v>
      </c>
      <c r="E3657">
        <v>30</v>
      </c>
      <c r="F3657">
        <v>0.33</v>
      </c>
      <c r="G3657">
        <v>76</v>
      </c>
      <c r="H3657" s="1">
        <v>44714</v>
      </c>
      <c r="I3657">
        <v>2022</v>
      </c>
      <c r="J3657">
        <v>6</v>
      </c>
      <c r="K3657" t="s">
        <v>30</v>
      </c>
      <c r="L3657">
        <v>0</v>
      </c>
      <c r="M3657">
        <v>1</v>
      </c>
    </row>
    <row r="3658" spans="1:13" x14ac:dyDescent="0.25">
      <c r="A3658" t="s">
        <v>2559</v>
      </c>
      <c r="B3658" t="s">
        <v>95</v>
      </c>
      <c r="C3658" t="s">
        <v>14</v>
      </c>
      <c r="D3658" t="s">
        <v>68</v>
      </c>
      <c r="E3658">
        <v>29</v>
      </c>
      <c r="F3658" t="s">
        <v>21</v>
      </c>
      <c r="G3658">
        <v>28</v>
      </c>
      <c r="H3658" s="1">
        <v>44714</v>
      </c>
      <c r="I3658">
        <v>2022</v>
      </c>
      <c r="J3658">
        <v>6</v>
      </c>
      <c r="K3658" t="s">
        <v>30</v>
      </c>
      <c r="L3658" t="s">
        <v>21</v>
      </c>
      <c r="M3658">
        <v>1</v>
      </c>
    </row>
    <row r="3659" spans="1:13" x14ac:dyDescent="0.25">
      <c r="A3659" t="s">
        <v>1377</v>
      </c>
      <c r="B3659" t="s">
        <v>18</v>
      </c>
      <c r="C3659" t="s">
        <v>14</v>
      </c>
      <c r="D3659" t="s">
        <v>46</v>
      </c>
      <c r="E3659">
        <v>25</v>
      </c>
      <c r="F3659">
        <v>0.25</v>
      </c>
      <c r="G3659">
        <v>197</v>
      </c>
      <c r="H3659" s="1">
        <v>44714</v>
      </c>
      <c r="I3659">
        <v>2022</v>
      </c>
      <c r="J3659">
        <v>6</v>
      </c>
      <c r="K3659" t="s">
        <v>36</v>
      </c>
      <c r="L3659">
        <v>0</v>
      </c>
      <c r="M3659">
        <v>1</v>
      </c>
    </row>
    <row r="3660" spans="1:13" x14ac:dyDescent="0.25">
      <c r="A3660" t="s">
        <v>2560</v>
      </c>
      <c r="B3660" t="s">
        <v>106</v>
      </c>
      <c r="C3660" t="s">
        <v>14</v>
      </c>
      <c r="D3660" t="s">
        <v>22</v>
      </c>
      <c r="E3660" t="s">
        <v>21</v>
      </c>
      <c r="F3660" t="s">
        <v>21</v>
      </c>
      <c r="G3660">
        <v>37</v>
      </c>
      <c r="H3660" s="1">
        <v>44714</v>
      </c>
      <c r="I3660">
        <v>2022</v>
      </c>
      <c r="J3660">
        <v>6</v>
      </c>
      <c r="K3660" t="s">
        <v>30</v>
      </c>
      <c r="L3660" t="s">
        <v>21</v>
      </c>
      <c r="M3660">
        <v>0</v>
      </c>
    </row>
    <row r="3661" spans="1:13" x14ac:dyDescent="0.25">
      <c r="A3661" t="s">
        <v>2561</v>
      </c>
      <c r="B3661" t="s">
        <v>18</v>
      </c>
      <c r="C3661" t="s">
        <v>2220</v>
      </c>
      <c r="D3661" t="s">
        <v>33</v>
      </c>
      <c r="E3661" t="s">
        <v>21</v>
      </c>
      <c r="F3661">
        <v>1</v>
      </c>
      <c r="G3661">
        <v>17</v>
      </c>
      <c r="H3661" s="1">
        <v>44714</v>
      </c>
      <c r="I3661">
        <v>2022</v>
      </c>
      <c r="J3661">
        <v>6</v>
      </c>
      <c r="K3661" t="s">
        <v>30</v>
      </c>
      <c r="L3661">
        <v>1</v>
      </c>
      <c r="M3661">
        <v>1</v>
      </c>
    </row>
    <row r="3662" spans="1:13" x14ac:dyDescent="0.25">
      <c r="A3662" t="s">
        <v>2562</v>
      </c>
      <c r="B3662" t="s">
        <v>77</v>
      </c>
      <c r="C3662" t="s">
        <v>2563</v>
      </c>
      <c r="D3662" t="s">
        <v>33</v>
      </c>
      <c r="E3662" t="s">
        <v>21</v>
      </c>
      <c r="F3662" t="s">
        <v>21</v>
      </c>
      <c r="G3662">
        <v>202</v>
      </c>
      <c r="H3662" s="1">
        <v>44714</v>
      </c>
      <c r="I3662">
        <v>2022</v>
      </c>
      <c r="J3662">
        <v>6</v>
      </c>
      <c r="K3662" t="s">
        <v>36</v>
      </c>
      <c r="L3662" t="s">
        <v>21</v>
      </c>
      <c r="M3662">
        <v>0</v>
      </c>
    </row>
    <row r="3663" spans="1:13" x14ac:dyDescent="0.25">
      <c r="A3663" t="s">
        <v>410</v>
      </c>
      <c r="B3663" t="s">
        <v>66</v>
      </c>
      <c r="C3663" t="s">
        <v>74</v>
      </c>
      <c r="D3663" t="s">
        <v>15</v>
      </c>
      <c r="E3663">
        <v>500</v>
      </c>
      <c r="F3663">
        <v>0.1</v>
      </c>
      <c r="G3663" t="s">
        <v>21</v>
      </c>
      <c r="H3663" s="1">
        <v>44713</v>
      </c>
      <c r="I3663">
        <v>2022</v>
      </c>
      <c r="J3663">
        <v>6</v>
      </c>
      <c r="K3663" t="s">
        <v>22</v>
      </c>
      <c r="L3663">
        <v>0</v>
      </c>
      <c r="M3663">
        <v>1</v>
      </c>
    </row>
    <row r="3664" spans="1:13" x14ac:dyDescent="0.25">
      <c r="A3664" t="s">
        <v>832</v>
      </c>
      <c r="B3664" t="s">
        <v>28</v>
      </c>
      <c r="C3664" t="s">
        <v>14</v>
      </c>
      <c r="D3664" t="s">
        <v>43</v>
      </c>
      <c r="E3664">
        <v>100</v>
      </c>
      <c r="F3664">
        <v>0.06</v>
      </c>
      <c r="G3664">
        <v>750</v>
      </c>
      <c r="H3664" s="1">
        <v>44713</v>
      </c>
      <c r="I3664">
        <v>2022</v>
      </c>
      <c r="J3664">
        <v>6</v>
      </c>
      <c r="K3664" t="s">
        <v>36</v>
      </c>
      <c r="L3664">
        <v>0</v>
      </c>
      <c r="M3664">
        <v>1</v>
      </c>
    </row>
    <row r="3665" spans="1:13" x14ac:dyDescent="0.25">
      <c r="A3665" t="s">
        <v>2564</v>
      </c>
      <c r="B3665" t="s">
        <v>106</v>
      </c>
      <c r="C3665" t="s">
        <v>48</v>
      </c>
      <c r="D3665" t="s">
        <v>49</v>
      </c>
      <c r="E3665">
        <v>100</v>
      </c>
      <c r="F3665">
        <v>1</v>
      </c>
      <c r="G3665">
        <v>2</v>
      </c>
      <c r="H3665" s="1">
        <v>44713</v>
      </c>
      <c r="I3665">
        <v>2022</v>
      </c>
      <c r="J3665">
        <v>6</v>
      </c>
      <c r="K3665" t="s">
        <v>16</v>
      </c>
      <c r="L3665">
        <v>1</v>
      </c>
      <c r="M3665">
        <v>1</v>
      </c>
    </row>
    <row r="3666" spans="1:13" x14ac:dyDescent="0.25">
      <c r="A3666" t="s">
        <v>2274</v>
      </c>
      <c r="B3666" t="s">
        <v>52</v>
      </c>
      <c r="C3666" t="s">
        <v>230</v>
      </c>
      <c r="D3666" t="s">
        <v>22</v>
      </c>
      <c r="E3666">
        <v>90</v>
      </c>
      <c r="F3666">
        <v>0.12</v>
      </c>
      <c r="G3666">
        <v>250</v>
      </c>
      <c r="H3666" s="1">
        <v>44713</v>
      </c>
      <c r="I3666">
        <v>2022</v>
      </c>
      <c r="J3666">
        <v>6</v>
      </c>
      <c r="K3666" t="s">
        <v>36</v>
      </c>
      <c r="L3666">
        <v>0</v>
      </c>
      <c r="M3666">
        <v>1</v>
      </c>
    </row>
    <row r="3667" spans="1:13" x14ac:dyDescent="0.25">
      <c r="A3667" t="s">
        <v>2565</v>
      </c>
      <c r="B3667" t="s">
        <v>77</v>
      </c>
      <c r="C3667" t="s">
        <v>80</v>
      </c>
      <c r="D3667" t="s">
        <v>46</v>
      </c>
      <c r="E3667">
        <v>65</v>
      </c>
      <c r="F3667">
        <v>0.1</v>
      </c>
      <c r="G3667">
        <v>182</v>
      </c>
      <c r="H3667" s="1">
        <v>44713</v>
      </c>
      <c r="I3667">
        <v>2022</v>
      </c>
      <c r="J3667">
        <v>6</v>
      </c>
      <c r="K3667" t="s">
        <v>36</v>
      </c>
      <c r="L3667">
        <v>0</v>
      </c>
      <c r="M3667">
        <v>1</v>
      </c>
    </row>
    <row r="3668" spans="1:13" x14ac:dyDescent="0.25">
      <c r="A3668" t="s">
        <v>2179</v>
      </c>
      <c r="B3668" t="s">
        <v>114</v>
      </c>
      <c r="C3668" t="s">
        <v>14</v>
      </c>
      <c r="D3668" t="s">
        <v>46</v>
      </c>
      <c r="E3668">
        <v>34</v>
      </c>
      <c r="F3668">
        <v>0.14000000000000001</v>
      </c>
      <c r="G3668">
        <v>203</v>
      </c>
      <c r="H3668" s="1">
        <v>44713</v>
      </c>
      <c r="I3668">
        <v>2022</v>
      </c>
      <c r="J3668">
        <v>6</v>
      </c>
      <c r="K3668" t="s">
        <v>36</v>
      </c>
      <c r="L3668">
        <v>0</v>
      </c>
      <c r="M3668">
        <v>1</v>
      </c>
    </row>
    <row r="3669" spans="1:13" x14ac:dyDescent="0.25">
      <c r="A3669" t="s">
        <v>2298</v>
      </c>
      <c r="B3669" t="s">
        <v>106</v>
      </c>
      <c r="C3669" t="s">
        <v>14</v>
      </c>
      <c r="D3669" t="s">
        <v>22</v>
      </c>
      <c r="E3669">
        <v>31</v>
      </c>
      <c r="F3669" t="s">
        <v>21</v>
      </c>
      <c r="G3669">
        <v>136</v>
      </c>
      <c r="H3669" s="1">
        <v>44713</v>
      </c>
      <c r="I3669">
        <v>2022</v>
      </c>
      <c r="J3669">
        <v>6</v>
      </c>
      <c r="K3669" t="s">
        <v>36</v>
      </c>
      <c r="L3669" t="s">
        <v>21</v>
      </c>
      <c r="M3669">
        <v>1</v>
      </c>
    </row>
    <row r="3670" spans="1:13" x14ac:dyDescent="0.25">
      <c r="A3670" t="s">
        <v>2566</v>
      </c>
      <c r="B3670" t="s">
        <v>73</v>
      </c>
      <c r="C3670" t="s">
        <v>80</v>
      </c>
      <c r="D3670" t="s">
        <v>33</v>
      </c>
      <c r="E3670">
        <v>30</v>
      </c>
      <c r="F3670">
        <v>0.35</v>
      </c>
      <c r="G3670">
        <v>32</v>
      </c>
      <c r="H3670" s="1">
        <v>44713</v>
      </c>
      <c r="I3670">
        <v>2022</v>
      </c>
      <c r="J3670">
        <v>6</v>
      </c>
      <c r="K3670" t="s">
        <v>30</v>
      </c>
      <c r="L3670">
        <v>0</v>
      </c>
      <c r="M3670">
        <v>1</v>
      </c>
    </row>
    <row r="3671" spans="1:13" x14ac:dyDescent="0.25">
      <c r="A3671" t="s">
        <v>617</v>
      </c>
      <c r="B3671" t="s">
        <v>18</v>
      </c>
      <c r="C3671" t="s">
        <v>14</v>
      </c>
      <c r="D3671" t="s">
        <v>55</v>
      </c>
      <c r="E3671">
        <v>25</v>
      </c>
      <c r="F3671" t="s">
        <v>21</v>
      </c>
      <c r="G3671">
        <v>202</v>
      </c>
      <c r="H3671" s="1">
        <v>44713</v>
      </c>
      <c r="I3671">
        <v>2022</v>
      </c>
      <c r="J3671">
        <v>6</v>
      </c>
      <c r="K3671" t="s">
        <v>36</v>
      </c>
      <c r="L3671" t="s">
        <v>21</v>
      </c>
      <c r="M3671">
        <v>1</v>
      </c>
    </row>
    <row r="3672" spans="1:13" x14ac:dyDescent="0.25">
      <c r="A3672" t="s">
        <v>2185</v>
      </c>
      <c r="B3672" t="s">
        <v>91</v>
      </c>
      <c r="C3672" t="s">
        <v>14</v>
      </c>
      <c r="D3672" t="s">
        <v>22</v>
      </c>
      <c r="E3672" t="s">
        <v>21</v>
      </c>
      <c r="F3672">
        <v>0.1</v>
      </c>
      <c r="G3672">
        <v>313</v>
      </c>
      <c r="H3672" s="1">
        <v>44713</v>
      </c>
      <c r="I3672">
        <v>2022</v>
      </c>
      <c r="J3672">
        <v>6</v>
      </c>
      <c r="K3672" t="s">
        <v>36</v>
      </c>
      <c r="L3672">
        <v>0</v>
      </c>
      <c r="M3672">
        <v>1</v>
      </c>
    </row>
    <row r="3673" spans="1:13" x14ac:dyDescent="0.25">
      <c r="A3673" t="s">
        <v>2567</v>
      </c>
      <c r="B3673" t="s">
        <v>117</v>
      </c>
      <c r="C3673" t="s">
        <v>708</v>
      </c>
      <c r="D3673" t="s">
        <v>49</v>
      </c>
      <c r="E3673" t="s">
        <v>21</v>
      </c>
      <c r="F3673">
        <v>0.3</v>
      </c>
      <c r="G3673">
        <v>17</v>
      </c>
      <c r="H3673" s="1">
        <v>44713</v>
      </c>
      <c r="I3673">
        <v>2022</v>
      </c>
      <c r="J3673">
        <v>6</v>
      </c>
      <c r="K3673" t="s">
        <v>30</v>
      </c>
      <c r="L3673">
        <v>0</v>
      </c>
      <c r="M3673">
        <v>1</v>
      </c>
    </row>
    <row r="3674" spans="1:13" x14ac:dyDescent="0.25">
      <c r="A3674" t="s">
        <v>288</v>
      </c>
      <c r="B3674" t="s">
        <v>18</v>
      </c>
      <c r="C3674" t="s">
        <v>29</v>
      </c>
      <c r="D3674" t="s">
        <v>15</v>
      </c>
      <c r="E3674">
        <v>250</v>
      </c>
      <c r="F3674">
        <v>0.06</v>
      </c>
      <c r="G3674" t="s">
        <v>21</v>
      </c>
      <c r="H3674" s="1">
        <v>44712</v>
      </c>
      <c r="I3674">
        <v>2022</v>
      </c>
      <c r="J3674">
        <v>5</v>
      </c>
      <c r="K3674" t="s">
        <v>22</v>
      </c>
      <c r="L3674">
        <v>0</v>
      </c>
      <c r="M3674">
        <v>1</v>
      </c>
    </row>
    <row r="3675" spans="1:13" x14ac:dyDescent="0.25">
      <c r="A3675" t="s">
        <v>2568</v>
      </c>
      <c r="B3675" t="s">
        <v>140</v>
      </c>
      <c r="C3675" t="s">
        <v>14</v>
      </c>
      <c r="D3675" t="s">
        <v>46</v>
      </c>
      <c r="E3675">
        <v>50</v>
      </c>
      <c r="F3675" t="s">
        <v>21</v>
      </c>
      <c r="G3675">
        <v>85</v>
      </c>
      <c r="H3675" s="1">
        <v>44712</v>
      </c>
      <c r="I3675">
        <v>2022</v>
      </c>
      <c r="J3675">
        <v>5</v>
      </c>
      <c r="K3675" t="s">
        <v>30</v>
      </c>
      <c r="L3675" t="s">
        <v>21</v>
      </c>
      <c r="M3675">
        <v>1</v>
      </c>
    </row>
    <row r="3676" spans="1:13" x14ac:dyDescent="0.25">
      <c r="A3676" t="s">
        <v>2569</v>
      </c>
      <c r="B3676" t="s">
        <v>77</v>
      </c>
      <c r="C3676" t="s">
        <v>14</v>
      </c>
      <c r="D3676" t="s">
        <v>68</v>
      </c>
      <c r="E3676">
        <v>44</v>
      </c>
      <c r="F3676">
        <v>0.33</v>
      </c>
      <c r="G3676">
        <v>110</v>
      </c>
      <c r="H3676" s="1">
        <v>44712</v>
      </c>
      <c r="I3676">
        <v>2022</v>
      </c>
      <c r="J3676">
        <v>5</v>
      </c>
      <c r="K3676" t="s">
        <v>36</v>
      </c>
      <c r="L3676">
        <v>0</v>
      </c>
      <c r="M3676">
        <v>1</v>
      </c>
    </row>
    <row r="3677" spans="1:13" x14ac:dyDescent="0.25">
      <c r="A3677" t="s">
        <v>2570</v>
      </c>
      <c r="B3677" t="s">
        <v>66</v>
      </c>
      <c r="C3677" t="s">
        <v>29</v>
      </c>
      <c r="D3677" t="s">
        <v>68</v>
      </c>
      <c r="E3677">
        <v>30</v>
      </c>
      <c r="F3677" t="s">
        <v>21</v>
      </c>
      <c r="G3677">
        <v>49</v>
      </c>
      <c r="H3677" s="1">
        <v>44712</v>
      </c>
      <c r="I3677">
        <v>2022</v>
      </c>
      <c r="J3677">
        <v>5</v>
      </c>
      <c r="K3677" t="s">
        <v>30</v>
      </c>
      <c r="L3677" t="s">
        <v>21</v>
      </c>
      <c r="M3677">
        <v>1</v>
      </c>
    </row>
    <row r="3678" spans="1:13" x14ac:dyDescent="0.25">
      <c r="A3678" t="s">
        <v>2571</v>
      </c>
      <c r="B3678" t="s">
        <v>106</v>
      </c>
      <c r="C3678" t="s">
        <v>14</v>
      </c>
      <c r="D3678" t="s">
        <v>68</v>
      </c>
      <c r="E3678">
        <v>12</v>
      </c>
      <c r="F3678">
        <v>0.25</v>
      </c>
      <c r="G3678">
        <v>26</v>
      </c>
      <c r="H3678" s="1">
        <v>44712</v>
      </c>
      <c r="I3678">
        <v>2022</v>
      </c>
      <c r="J3678">
        <v>5</v>
      </c>
      <c r="K3678" t="s">
        <v>30</v>
      </c>
      <c r="L3678">
        <v>0</v>
      </c>
      <c r="M3678">
        <v>1</v>
      </c>
    </row>
    <row r="3679" spans="1:13" x14ac:dyDescent="0.25">
      <c r="A3679" t="s">
        <v>1645</v>
      </c>
      <c r="B3679" t="s">
        <v>35</v>
      </c>
      <c r="C3679" t="s">
        <v>14</v>
      </c>
      <c r="D3679" t="s">
        <v>46</v>
      </c>
      <c r="E3679" t="s">
        <v>21</v>
      </c>
      <c r="F3679" t="s">
        <v>21</v>
      </c>
      <c r="G3679">
        <v>462</v>
      </c>
      <c r="H3679" s="1">
        <v>44712</v>
      </c>
      <c r="I3679">
        <v>2022</v>
      </c>
      <c r="J3679">
        <v>5</v>
      </c>
      <c r="K3679" t="s">
        <v>36</v>
      </c>
      <c r="L3679" t="s">
        <v>21</v>
      </c>
      <c r="M3679">
        <v>0</v>
      </c>
    </row>
    <row r="3680" spans="1:13" x14ac:dyDescent="0.25">
      <c r="A3680" t="s">
        <v>2053</v>
      </c>
      <c r="B3680" t="s">
        <v>66</v>
      </c>
      <c r="C3680" t="s">
        <v>172</v>
      </c>
      <c r="D3680" t="s">
        <v>15</v>
      </c>
      <c r="E3680">
        <v>400</v>
      </c>
      <c r="F3680">
        <v>0.32</v>
      </c>
      <c r="G3680">
        <v>132</v>
      </c>
      <c r="H3680" s="1">
        <v>44711</v>
      </c>
      <c r="I3680">
        <v>2022</v>
      </c>
      <c r="J3680">
        <v>5</v>
      </c>
      <c r="K3680" t="s">
        <v>36</v>
      </c>
      <c r="L3680">
        <v>0</v>
      </c>
      <c r="M3680">
        <v>1</v>
      </c>
    </row>
    <row r="3681" spans="1:13" x14ac:dyDescent="0.25">
      <c r="A3681" t="s">
        <v>370</v>
      </c>
      <c r="B3681" t="s">
        <v>18</v>
      </c>
      <c r="C3681" t="s">
        <v>48</v>
      </c>
      <c r="D3681" t="s">
        <v>111</v>
      </c>
      <c r="E3681">
        <v>100</v>
      </c>
      <c r="F3681">
        <v>0.1</v>
      </c>
      <c r="G3681">
        <v>375</v>
      </c>
      <c r="H3681" s="1">
        <v>44711</v>
      </c>
      <c r="I3681">
        <v>2022</v>
      </c>
      <c r="J3681">
        <v>5</v>
      </c>
      <c r="K3681" t="s">
        <v>36</v>
      </c>
      <c r="L3681">
        <v>0</v>
      </c>
      <c r="M3681">
        <v>1</v>
      </c>
    </row>
    <row r="3682" spans="1:13" x14ac:dyDescent="0.25">
      <c r="A3682" t="s">
        <v>2572</v>
      </c>
      <c r="B3682" t="s">
        <v>77</v>
      </c>
      <c r="C3682" t="s">
        <v>230</v>
      </c>
      <c r="D3682" t="s">
        <v>22</v>
      </c>
      <c r="E3682">
        <v>100</v>
      </c>
      <c r="F3682">
        <v>0.03</v>
      </c>
      <c r="G3682">
        <v>50</v>
      </c>
      <c r="H3682" s="1">
        <v>44711</v>
      </c>
      <c r="I3682">
        <v>2022</v>
      </c>
      <c r="J3682">
        <v>5</v>
      </c>
      <c r="K3682" t="s">
        <v>30</v>
      </c>
      <c r="L3682">
        <v>0</v>
      </c>
      <c r="M3682">
        <v>1</v>
      </c>
    </row>
    <row r="3683" spans="1:13" x14ac:dyDescent="0.25">
      <c r="A3683" t="s">
        <v>2573</v>
      </c>
      <c r="B3683" t="s">
        <v>38</v>
      </c>
      <c r="C3683" t="s">
        <v>14</v>
      </c>
      <c r="D3683" t="s">
        <v>22</v>
      </c>
      <c r="E3683" t="s">
        <v>21</v>
      </c>
      <c r="F3683" t="s">
        <v>21</v>
      </c>
      <c r="G3683">
        <v>36</v>
      </c>
      <c r="H3683" s="1">
        <v>44711</v>
      </c>
      <c r="I3683">
        <v>2022</v>
      </c>
      <c r="J3683">
        <v>5</v>
      </c>
      <c r="K3683" t="s">
        <v>30</v>
      </c>
      <c r="L3683" t="s">
        <v>21</v>
      </c>
      <c r="M3683">
        <v>0</v>
      </c>
    </row>
    <row r="3684" spans="1:13" x14ac:dyDescent="0.25">
      <c r="A3684" t="s">
        <v>1335</v>
      </c>
      <c r="B3684" t="s">
        <v>106</v>
      </c>
      <c r="C3684" t="s">
        <v>48</v>
      </c>
      <c r="D3684" t="s">
        <v>68</v>
      </c>
      <c r="E3684">
        <v>145</v>
      </c>
      <c r="F3684">
        <v>0.3</v>
      </c>
      <c r="G3684">
        <v>17</v>
      </c>
      <c r="H3684" s="1">
        <v>44708</v>
      </c>
      <c r="I3684">
        <v>2022</v>
      </c>
      <c r="J3684">
        <v>5</v>
      </c>
      <c r="K3684" t="s">
        <v>30</v>
      </c>
      <c r="L3684">
        <v>0</v>
      </c>
      <c r="M3684">
        <v>1</v>
      </c>
    </row>
    <row r="3685" spans="1:13" x14ac:dyDescent="0.25">
      <c r="A3685" t="s">
        <v>2574</v>
      </c>
      <c r="B3685" t="s">
        <v>38</v>
      </c>
      <c r="C3685" t="s">
        <v>48</v>
      </c>
      <c r="D3685" t="s">
        <v>68</v>
      </c>
      <c r="E3685">
        <v>40</v>
      </c>
      <c r="F3685" t="s">
        <v>21</v>
      </c>
      <c r="G3685">
        <v>23</v>
      </c>
      <c r="H3685" s="1">
        <v>44708</v>
      </c>
      <c r="I3685">
        <v>2022</v>
      </c>
      <c r="J3685">
        <v>5</v>
      </c>
      <c r="K3685" t="s">
        <v>30</v>
      </c>
      <c r="L3685" t="s">
        <v>21</v>
      </c>
      <c r="M3685">
        <v>1</v>
      </c>
    </row>
    <row r="3686" spans="1:13" x14ac:dyDescent="0.25">
      <c r="A3686" t="s">
        <v>2575</v>
      </c>
      <c r="B3686" t="s">
        <v>77</v>
      </c>
      <c r="C3686" t="s">
        <v>80</v>
      </c>
      <c r="D3686" t="s">
        <v>22</v>
      </c>
      <c r="E3686">
        <v>29</v>
      </c>
      <c r="F3686">
        <v>0.26</v>
      </c>
      <c r="G3686">
        <v>118</v>
      </c>
      <c r="H3686" s="1">
        <v>44708</v>
      </c>
      <c r="I3686">
        <v>2022</v>
      </c>
      <c r="J3686">
        <v>5</v>
      </c>
      <c r="K3686" t="s">
        <v>36</v>
      </c>
      <c r="L3686">
        <v>0</v>
      </c>
      <c r="M3686">
        <v>1</v>
      </c>
    </row>
    <row r="3687" spans="1:13" x14ac:dyDescent="0.25">
      <c r="A3687" t="s">
        <v>2576</v>
      </c>
      <c r="B3687" t="s">
        <v>117</v>
      </c>
      <c r="C3687" t="s">
        <v>14</v>
      </c>
      <c r="D3687" t="s">
        <v>22</v>
      </c>
      <c r="E3687" t="s">
        <v>21</v>
      </c>
      <c r="F3687" t="s">
        <v>21</v>
      </c>
      <c r="G3687">
        <v>46</v>
      </c>
      <c r="H3687" s="1">
        <v>44708</v>
      </c>
      <c r="I3687">
        <v>2022</v>
      </c>
      <c r="J3687">
        <v>5</v>
      </c>
      <c r="K3687" t="s">
        <v>30</v>
      </c>
      <c r="L3687" t="s">
        <v>21</v>
      </c>
      <c r="M3687">
        <v>0</v>
      </c>
    </row>
    <row r="3688" spans="1:13" x14ac:dyDescent="0.25">
      <c r="A3688" t="s">
        <v>2577</v>
      </c>
      <c r="B3688" t="s">
        <v>54</v>
      </c>
      <c r="C3688" t="s">
        <v>14</v>
      </c>
      <c r="D3688" t="s">
        <v>46</v>
      </c>
      <c r="E3688" t="s">
        <v>21</v>
      </c>
      <c r="F3688" t="s">
        <v>21</v>
      </c>
      <c r="G3688">
        <v>120</v>
      </c>
      <c r="H3688" s="1">
        <v>44708</v>
      </c>
      <c r="I3688">
        <v>2022</v>
      </c>
      <c r="J3688">
        <v>5</v>
      </c>
      <c r="K3688" t="s">
        <v>36</v>
      </c>
      <c r="L3688" t="s">
        <v>21</v>
      </c>
      <c r="M3688">
        <v>0</v>
      </c>
    </row>
    <row r="3689" spans="1:13" x14ac:dyDescent="0.25">
      <c r="A3689" t="s">
        <v>2577</v>
      </c>
      <c r="B3689" t="s">
        <v>54</v>
      </c>
      <c r="C3689" t="s">
        <v>14</v>
      </c>
      <c r="D3689" t="s">
        <v>22</v>
      </c>
      <c r="E3689" t="s">
        <v>21</v>
      </c>
      <c r="F3689" t="s">
        <v>21</v>
      </c>
      <c r="G3689">
        <v>192</v>
      </c>
      <c r="H3689" s="1">
        <v>44708</v>
      </c>
      <c r="I3689">
        <v>2022</v>
      </c>
      <c r="J3689">
        <v>5</v>
      </c>
      <c r="K3689" t="s">
        <v>36</v>
      </c>
      <c r="L3689" t="s">
        <v>21</v>
      </c>
      <c r="M3689">
        <v>0</v>
      </c>
    </row>
    <row r="3690" spans="1:13" x14ac:dyDescent="0.25">
      <c r="A3690" t="s">
        <v>2578</v>
      </c>
      <c r="B3690" t="s">
        <v>24</v>
      </c>
      <c r="C3690" t="s">
        <v>230</v>
      </c>
      <c r="D3690" t="s">
        <v>15</v>
      </c>
      <c r="E3690">
        <v>200</v>
      </c>
      <c r="F3690">
        <v>0.13</v>
      </c>
      <c r="G3690">
        <v>365</v>
      </c>
      <c r="H3690" s="1">
        <v>44707</v>
      </c>
      <c r="I3690">
        <v>2022</v>
      </c>
      <c r="J3690">
        <v>5</v>
      </c>
      <c r="K3690" t="s">
        <v>36</v>
      </c>
      <c r="L3690">
        <v>0</v>
      </c>
      <c r="M3690">
        <v>1</v>
      </c>
    </row>
    <row r="3691" spans="1:13" x14ac:dyDescent="0.25">
      <c r="A3691" t="s">
        <v>2024</v>
      </c>
      <c r="B3691" t="s">
        <v>52</v>
      </c>
      <c r="C3691" t="s">
        <v>1362</v>
      </c>
      <c r="D3691" t="s">
        <v>46</v>
      </c>
      <c r="E3691">
        <v>80</v>
      </c>
      <c r="F3691">
        <v>0.11</v>
      </c>
      <c r="G3691">
        <v>378</v>
      </c>
      <c r="H3691" s="1">
        <v>44707</v>
      </c>
      <c r="I3691">
        <v>2022</v>
      </c>
      <c r="J3691">
        <v>5</v>
      </c>
      <c r="K3691" t="s">
        <v>36</v>
      </c>
      <c r="L3691">
        <v>0</v>
      </c>
      <c r="M3691">
        <v>1</v>
      </c>
    </row>
    <row r="3692" spans="1:13" x14ac:dyDescent="0.25">
      <c r="A3692" t="s">
        <v>1154</v>
      </c>
      <c r="B3692" t="s">
        <v>95</v>
      </c>
      <c r="C3692" t="s">
        <v>1060</v>
      </c>
      <c r="D3692" t="s">
        <v>20</v>
      </c>
      <c r="E3692">
        <v>80</v>
      </c>
      <c r="F3692" t="s">
        <v>21</v>
      </c>
      <c r="G3692">
        <v>749</v>
      </c>
      <c r="H3692" s="1">
        <v>44707</v>
      </c>
      <c r="I3692">
        <v>2022</v>
      </c>
      <c r="J3692">
        <v>5</v>
      </c>
      <c r="K3692" t="s">
        <v>36</v>
      </c>
      <c r="L3692" t="s">
        <v>21</v>
      </c>
      <c r="M3692">
        <v>1</v>
      </c>
    </row>
    <row r="3693" spans="1:13" x14ac:dyDescent="0.25">
      <c r="A3693" t="s">
        <v>2579</v>
      </c>
      <c r="B3693" t="s">
        <v>18</v>
      </c>
      <c r="C3693" t="s">
        <v>80</v>
      </c>
      <c r="D3693" t="s">
        <v>22</v>
      </c>
      <c r="E3693">
        <v>50</v>
      </c>
      <c r="F3693">
        <v>0.02</v>
      </c>
      <c r="G3693" t="s">
        <v>21</v>
      </c>
      <c r="H3693" s="1">
        <v>44707</v>
      </c>
      <c r="I3693">
        <v>2022</v>
      </c>
      <c r="J3693">
        <v>5</v>
      </c>
      <c r="K3693" t="s">
        <v>22</v>
      </c>
      <c r="L3693">
        <v>0</v>
      </c>
      <c r="M3693">
        <v>1</v>
      </c>
    </row>
    <row r="3694" spans="1:13" x14ac:dyDescent="0.25">
      <c r="A3694" t="s">
        <v>2580</v>
      </c>
      <c r="B3694" t="s">
        <v>28</v>
      </c>
      <c r="C3694" t="s">
        <v>14</v>
      </c>
      <c r="D3694" t="s">
        <v>55</v>
      </c>
      <c r="E3694">
        <v>300</v>
      </c>
      <c r="F3694">
        <v>0.2</v>
      </c>
      <c r="G3694">
        <v>1900</v>
      </c>
      <c r="H3694" s="1">
        <v>44706</v>
      </c>
      <c r="I3694">
        <v>2022</v>
      </c>
      <c r="J3694">
        <v>5</v>
      </c>
      <c r="K3694" t="s">
        <v>26</v>
      </c>
      <c r="L3694">
        <v>0</v>
      </c>
      <c r="M3694">
        <v>1</v>
      </c>
    </row>
    <row r="3695" spans="1:13" x14ac:dyDescent="0.25">
      <c r="A3695" t="s">
        <v>205</v>
      </c>
      <c r="B3695" t="s">
        <v>77</v>
      </c>
      <c r="C3695" t="s">
        <v>14</v>
      </c>
      <c r="D3695" t="s">
        <v>111</v>
      </c>
      <c r="E3695">
        <v>240</v>
      </c>
      <c r="F3695">
        <v>0.27</v>
      </c>
      <c r="G3695">
        <v>1300</v>
      </c>
      <c r="H3695" s="1">
        <v>44706</v>
      </c>
      <c r="I3695">
        <v>2022</v>
      </c>
      <c r="J3695">
        <v>5</v>
      </c>
      <c r="K3695" t="s">
        <v>26</v>
      </c>
      <c r="L3695">
        <v>0</v>
      </c>
      <c r="M3695">
        <v>1</v>
      </c>
    </row>
    <row r="3696" spans="1:13" x14ac:dyDescent="0.25">
      <c r="A3696" t="s">
        <v>1672</v>
      </c>
      <c r="B3696" t="s">
        <v>77</v>
      </c>
      <c r="C3696" t="s">
        <v>14</v>
      </c>
      <c r="D3696" t="s">
        <v>46</v>
      </c>
      <c r="E3696">
        <v>75</v>
      </c>
      <c r="F3696" t="s">
        <v>21</v>
      </c>
      <c r="G3696">
        <v>121</v>
      </c>
      <c r="H3696" s="1">
        <v>44706</v>
      </c>
      <c r="I3696">
        <v>2022</v>
      </c>
      <c r="J3696">
        <v>5</v>
      </c>
      <c r="K3696" t="s">
        <v>36</v>
      </c>
      <c r="L3696" t="s">
        <v>21</v>
      </c>
      <c r="M3696">
        <v>1</v>
      </c>
    </row>
    <row r="3697" spans="1:13" x14ac:dyDescent="0.25">
      <c r="A3697" t="s">
        <v>2581</v>
      </c>
      <c r="B3697" t="s">
        <v>77</v>
      </c>
      <c r="C3697" t="s">
        <v>83</v>
      </c>
      <c r="D3697" t="s">
        <v>33</v>
      </c>
      <c r="E3697">
        <v>50</v>
      </c>
      <c r="F3697">
        <v>0.25</v>
      </c>
      <c r="G3697">
        <v>53</v>
      </c>
      <c r="H3697" s="1">
        <v>44706</v>
      </c>
      <c r="I3697">
        <v>2022</v>
      </c>
      <c r="J3697">
        <v>5</v>
      </c>
      <c r="K3697" t="s">
        <v>30</v>
      </c>
      <c r="L3697">
        <v>0</v>
      </c>
      <c r="M3697">
        <v>1</v>
      </c>
    </row>
    <row r="3698" spans="1:13" x14ac:dyDescent="0.25">
      <c r="A3698" t="s">
        <v>2188</v>
      </c>
      <c r="B3698" t="s">
        <v>77</v>
      </c>
      <c r="C3698" t="s">
        <v>83</v>
      </c>
      <c r="D3698" t="s">
        <v>33</v>
      </c>
      <c r="E3698">
        <v>45</v>
      </c>
      <c r="F3698">
        <v>0.2</v>
      </c>
      <c r="G3698">
        <v>42</v>
      </c>
      <c r="H3698" s="1">
        <v>44706</v>
      </c>
      <c r="I3698">
        <v>2022</v>
      </c>
      <c r="J3698">
        <v>5</v>
      </c>
      <c r="K3698" t="s">
        <v>30</v>
      </c>
      <c r="L3698">
        <v>0</v>
      </c>
      <c r="M3698">
        <v>1</v>
      </c>
    </row>
    <row r="3699" spans="1:13" x14ac:dyDescent="0.25">
      <c r="A3699" t="s">
        <v>2582</v>
      </c>
      <c r="B3699" t="s">
        <v>77</v>
      </c>
      <c r="C3699" t="s">
        <v>14</v>
      </c>
      <c r="D3699" t="s">
        <v>33</v>
      </c>
      <c r="E3699">
        <v>30</v>
      </c>
      <c r="F3699">
        <v>0.2</v>
      </c>
      <c r="G3699">
        <v>70</v>
      </c>
      <c r="H3699" s="1">
        <v>44706</v>
      </c>
      <c r="I3699">
        <v>2022</v>
      </c>
      <c r="J3699">
        <v>5</v>
      </c>
      <c r="K3699" t="s">
        <v>30</v>
      </c>
      <c r="L3699">
        <v>0</v>
      </c>
      <c r="M3699">
        <v>1</v>
      </c>
    </row>
    <row r="3700" spans="1:13" x14ac:dyDescent="0.25">
      <c r="A3700" t="s">
        <v>2424</v>
      </c>
      <c r="B3700" t="s">
        <v>117</v>
      </c>
      <c r="C3700" t="s">
        <v>708</v>
      </c>
      <c r="D3700" t="s">
        <v>33</v>
      </c>
      <c r="E3700" t="s">
        <v>21</v>
      </c>
      <c r="F3700">
        <v>0.31</v>
      </c>
      <c r="G3700">
        <v>109</v>
      </c>
      <c r="H3700" s="1">
        <v>44706</v>
      </c>
      <c r="I3700">
        <v>2022</v>
      </c>
      <c r="J3700">
        <v>5</v>
      </c>
      <c r="K3700" t="s">
        <v>36</v>
      </c>
      <c r="L3700">
        <v>0</v>
      </c>
      <c r="M3700">
        <v>1</v>
      </c>
    </row>
    <row r="3701" spans="1:13" x14ac:dyDescent="0.25">
      <c r="A3701" t="s">
        <v>789</v>
      </c>
      <c r="B3701" t="s">
        <v>95</v>
      </c>
      <c r="C3701" t="s">
        <v>281</v>
      </c>
      <c r="D3701" t="s">
        <v>111</v>
      </c>
      <c r="E3701" t="s">
        <v>21</v>
      </c>
      <c r="F3701">
        <v>0.14000000000000001</v>
      </c>
      <c r="G3701">
        <v>1800</v>
      </c>
      <c r="H3701" s="1">
        <v>44706</v>
      </c>
      <c r="I3701">
        <v>2022</v>
      </c>
      <c r="J3701">
        <v>5</v>
      </c>
      <c r="K3701" t="s">
        <v>26</v>
      </c>
      <c r="L3701">
        <v>0</v>
      </c>
      <c r="M3701">
        <v>1</v>
      </c>
    </row>
    <row r="3702" spans="1:13" x14ac:dyDescent="0.25">
      <c r="A3702" t="s">
        <v>616</v>
      </c>
      <c r="B3702" t="s">
        <v>95</v>
      </c>
      <c r="C3702" t="s">
        <v>80</v>
      </c>
      <c r="E3702" t="s">
        <v>21</v>
      </c>
      <c r="F3702">
        <v>0.1</v>
      </c>
      <c r="G3702">
        <v>300</v>
      </c>
      <c r="H3702" s="1">
        <v>44706</v>
      </c>
      <c r="I3702">
        <v>2022</v>
      </c>
      <c r="J3702">
        <v>5</v>
      </c>
      <c r="K3702" t="s">
        <v>36</v>
      </c>
      <c r="L3702">
        <v>0</v>
      </c>
      <c r="M3702">
        <v>1</v>
      </c>
    </row>
    <row r="3703" spans="1:13" x14ac:dyDescent="0.25">
      <c r="A3703" t="s">
        <v>2444</v>
      </c>
      <c r="B3703" t="s">
        <v>95</v>
      </c>
      <c r="C3703" t="s">
        <v>83</v>
      </c>
      <c r="D3703" t="s">
        <v>46</v>
      </c>
      <c r="E3703">
        <v>300</v>
      </c>
      <c r="F3703">
        <v>0.5</v>
      </c>
      <c r="G3703">
        <v>1300</v>
      </c>
      <c r="H3703" s="1">
        <v>44705</v>
      </c>
      <c r="I3703">
        <v>2022</v>
      </c>
      <c r="J3703">
        <v>5</v>
      </c>
      <c r="K3703" t="s">
        <v>26</v>
      </c>
      <c r="L3703">
        <v>0</v>
      </c>
      <c r="M3703">
        <v>1</v>
      </c>
    </row>
    <row r="3704" spans="1:13" x14ac:dyDescent="0.25">
      <c r="A3704" t="s">
        <v>2344</v>
      </c>
      <c r="B3704" t="s">
        <v>106</v>
      </c>
      <c r="C3704" t="s">
        <v>25</v>
      </c>
      <c r="D3704" t="s">
        <v>33</v>
      </c>
      <c r="E3704">
        <v>200</v>
      </c>
      <c r="F3704" t="s">
        <v>21</v>
      </c>
      <c r="G3704">
        <v>20</v>
      </c>
      <c r="H3704" s="1">
        <v>44705</v>
      </c>
      <c r="I3704">
        <v>2022</v>
      </c>
      <c r="J3704">
        <v>5</v>
      </c>
      <c r="K3704" t="s">
        <v>30</v>
      </c>
      <c r="L3704" t="s">
        <v>21</v>
      </c>
      <c r="M3704">
        <v>1</v>
      </c>
    </row>
    <row r="3705" spans="1:13" x14ac:dyDescent="0.25">
      <c r="A3705" t="s">
        <v>2089</v>
      </c>
      <c r="B3705" t="s">
        <v>77</v>
      </c>
      <c r="C3705" t="s">
        <v>14</v>
      </c>
      <c r="D3705" t="s">
        <v>55</v>
      </c>
      <c r="E3705">
        <v>40</v>
      </c>
      <c r="F3705" t="s">
        <v>21</v>
      </c>
      <c r="G3705">
        <v>256</v>
      </c>
      <c r="H3705" s="1">
        <v>44705</v>
      </c>
      <c r="I3705">
        <v>2022</v>
      </c>
      <c r="J3705">
        <v>5</v>
      </c>
      <c r="K3705" t="s">
        <v>36</v>
      </c>
      <c r="L3705" t="s">
        <v>21</v>
      </c>
      <c r="M3705">
        <v>1</v>
      </c>
    </row>
    <row r="3706" spans="1:13" x14ac:dyDescent="0.25">
      <c r="A3706" t="s">
        <v>2231</v>
      </c>
      <c r="B3706" t="s">
        <v>77</v>
      </c>
      <c r="C3706" t="s">
        <v>161</v>
      </c>
      <c r="D3706" t="s">
        <v>22</v>
      </c>
      <c r="E3706">
        <v>700</v>
      </c>
      <c r="F3706">
        <v>0.1</v>
      </c>
      <c r="G3706">
        <v>3700</v>
      </c>
      <c r="H3706" s="1">
        <v>44704</v>
      </c>
      <c r="I3706">
        <v>2022</v>
      </c>
      <c r="J3706">
        <v>5</v>
      </c>
      <c r="K3706" t="s">
        <v>26</v>
      </c>
      <c r="L3706">
        <v>0</v>
      </c>
      <c r="M3706">
        <v>1</v>
      </c>
    </row>
    <row r="3707" spans="1:13" x14ac:dyDescent="0.25">
      <c r="A3707" t="s">
        <v>167</v>
      </c>
      <c r="B3707" t="s">
        <v>77</v>
      </c>
      <c r="C3707" t="s">
        <v>14</v>
      </c>
      <c r="D3707" t="s">
        <v>15</v>
      </c>
      <c r="E3707">
        <v>83</v>
      </c>
      <c r="F3707" t="s">
        <v>21</v>
      </c>
      <c r="G3707">
        <v>216</v>
      </c>
      <c r="H3707" s="1">
        <v>44704</v>
      </c>
      <c r="I3707">
        <v>2022</v>
      </c>
      <c r="J3707">
        <v>5</v>
      </c>
      <c r="K3707" t="s">
        <v>36</v>
      </c>
      <c r="L3707" t="s">
        <v>21</v>
      </c>
      <c r="M3707">
        <v>1</v>
      </c>
    </row>
    <row r="3708" spans="1:13" x14ac:dyDescent="0.25">
      <c r="A3708" t="s">
        <v>2583</v>
      </c>
      <c r="B3708" t="s">
        <v>52</v>
      </c>
      <c r="C3708" t="s">
        <v>1850</v>
      </c>
      <c r="D3708" t="s">
        <v>68</v>
      </c>
      <c r="E3708">
        <v>80</v>
      </c>
      <c r="F3708">
        <v>0.45</v>
      </c>
      <c r="G3708">
        <v>11</v>
      </c>
      <c r="H3708" s="1">
        <v>44704</v>
      </c>
      <c r="I3708">
        <v>2022</v>
      </c>
      <c r="J3708">
        <v>5</v>
      </c>
      <c r="K3708" t="s">
        <v>30</v>
      </c>
      <c r="L3708">
        <v>0</v>
      </c>
      <c r="M3708">
        <v>1</v>
      </c>
    </row>
    <row r="3709" spans="1:13" x14ac:dyDescent="0.25">
      <c r="A3709" t="s">
        <v>2584</v>
      </c>
      <c r="B3709" t="s">
        <v>38</v>
      </c>
      <c r="C3709" t="s">
        <v>29</v>
      </c>
      <c r="D3709" t="s">
        <v>68</v>
      </c>
      <c r="E3709">
        <v>65</v>
      </c>
      <c r="F3709">
        <v>1</v>
      </c>
      <c r="G3709">
        <v>16</v>
      </c>
      <c r="H3709" s="1">
        <v>44704</v>
      </c>
      <c r="I3709">
        <v>2022</v>
      </c>
      <c r="J3709">
        <v>5</v>
      </c>
      <c r="K3709" t="s">
        <v>30</v>
      </c>
      <c r="L3709">
        <v>1</v>
      </c>
      <c r="M3709">
        <v>1</v>
      </c>
    </row>
    <row r="3710" spans="1:13" x14ac:dyDescent="0.25">
      <c r="A3710" t="s">
        <v>130</v>
      </c>
      <c r="B3710" t="s">
        <v>13</v>
      </c>
      <c r="C3710" t="s">
        <v>14</v>
      </c>
      <c r="D3710" t="s">
        <v>46</v>
      </c>
      <c r="E3710">
        <v>60</v>
      </c>
      <c r="F3710">
        <v>7.0000000000000007E-2</v>
      </c>
      <c r="G3710">
        <v>537</v>
      </c>
      <c r="H3710" s="1">
        <v>44704</v>
      </c>
      <c r="I3710">
        <v>2022</v>
      </c>
      <c r="J3710">
        <v>5</v>
      </c>
      <c r="K3710" t="s">
        <v>36</v>
      </c>
      <c r="L3710">
        <v>0</v>
      </c>
      <c r="M3710">
        <v>1</v>
      </c>
    </row>
    <row r="3711" spans="1:13" x14ac:dyDescent="0.25">
      <c r="A3711" t="s">
        <v>417</v>
      </c>
      <c r="B3711" t="s">
        <v>18</v>
      </c>
      <c r="C3711" t="s">
        <v>14</v>
      </c>
      <c r="D3711" t="s">
        <v>33</v>
      </c>
      <c r="E3711">
        <v>30</v>
      </c>
      <c r="F3711">
        <v>0.2</v>
      </c>
      <c r="G3711">
        <v>33</v>
      </c>
      <c r="H3711" s="1">
        <v>44704</v>
      </c>
      <c r="I3711">
        <v>2022</v>
      </c>
      <c r="J3711">
        <v>5</v>
      </c>
      <c r="K3711" t="s">
        <v>30</v>
      </c>
      <c r="L3711">
        <v>0</v>
      </c>
      <c r="M3711">
        <v>1</v>
      </c>
    </row>
    <row r="3712" spans="1:13" x14ac:dyDescent="0.25">
      <c r="A3712" t="s">
        <v>1760</v>
      </c>
      <c r="B3712" t="s">
        <v>24</v>
      </c>
      <c r="C3712" t="s">
        <v>230</v>
      </c>
      <c r="D3712" t="s">
        <v>111</v>
      </c>
      <c r="E3712" t="s">
        <v>21</v>
      </c>
      <c r="F3712" t="s">
        <v>21</v>
      </c>
      <c r="G3712">
        <v>322</v>
      </c>
      <c r="H3712" s="1">
        <v>44704</v>
      </c>
      <c r="I3712">
        <v>2022</v>
      </c>
      <c r="J3712">
        <v>5</v>
      </c>
      <c r="K3712" t="s">
        <v>36</v>
      </c>
      <c r="L3712" t="s">
        <v>21</v>
      </c>
      <c r="M3712">
        <v>0</v>
      </c>
    </row>
    <row r="3713" spans="1:13" x14ac:dyDescent="0.25">
      <c r="A3713" t="s">
        <v>2585</v>
      </c>
      <c r="B3713" t="s">
        <v>35</v>
      </c>
      <c r="C3713" t="s">
        <v>48</v>
      </c>
      <c r="D3713" t="s">
        <v>46</v>
      </c>
      <c r="E3713">
        <v>600</v>
      </c>
      <c r="F3713">
        <v>0.75</v>
      </c>
      <c r="G3713">
        <v>97</v>
      </c>
      <c r="H3713" s="1">
        <v>44702</v>
      </c>
      <c r="I3713">
        <v>2022</v>
      </c>
      <c r="J3713">
        <v>5</v>
      </c>
      <c r="K3713" t="s">
        <v>30</v>
      </c>
      <c r="L3713">
        <v>0</v>
      </c>
      <c r="M3713">
        <v>1</v>
      </c>
    </row>
    <row r="3714" spans="1:13" x14ac:dyDescent="0.25">
      <c r="A3714" t="s">
        <v>1337</v>
      </c>
      <c r="B3714" t="s">
        <v>28</v>
      </c>
      <c r="C3714" t="s">
        <v>14</v>
      </c>
      <c r="D3714" t="s">
        <v>15</v>
      </c>
      <c r="E3714">
        <v>130</v>
      </c>
      <c r="F3714">
        <v>0.28000000000000003</v>
      </c>
      <c r="G3714">
        <v>342</v>
      </c>
      <c r="H3714" s="1">
        <v>44701</v>
      </c>
      <c r="I3714">
        <v>2022</v>
      </c>
      <c r="J3714">
        <v>5</v>
      </c>
      <c r="K3714" t="s">
        <v>36</v>
      </c>
      <c r="L3714">
        <v>0</v>
      </c>
      <c r="M3714">
        <v>1</v>
      </c>
    </row>
    <row r="3715" spans="1:13" x14ac:dyDescent="0.25">
      <c r="A3715" t="s">
        <v>2095</v>
      </c>
      <c r="B3715" t="s">
        <v>32</v>
      </c>
      <c r="C3715" t="s">
        <v>14</v>
      </c>
      <c r="D3715" t="s">
        <v>33</v>
      </c>
      <c r="E3715">
        <v>87</v>
      </c>
      <c r="F3715">
        <v>0.15</v>
      </c>
      <c r="G3715">
        <v>174</v>
      </c>
      <c r="H3715" s="1">
        <v>44701</v>
      </c>
      <c r="I3715">
        <v>2022</v>
      </c>
      <c r="J3715">
        <v>5</v>
      </c>
      <c r="K3715" t="s">
        <v>36</v>
      </c>
      <c r="L3715">
        <v>0</v>
      </c>
      <c r="M3715">
        <v>1</v>
      </c>
    </row>
    <row r="3716" spans="1:13" x14ac:dyDescent="0.25">
      <c r="A3716" t="s">
        <v>2286</v>
      </c>
      <c r="B3716" t="s">
        <v>18</v>
      </c>
      <c r="C3716" t="s">
        <v>14</v>
      </c>
      <c r="D3716" t="s">
        <v>15</v>
      </c>
      <c r="E3716">
        <v>70</v>
      </c>
      <c r="F3716">
        <v>0.1</v>
      </c>
      <c r="G3716">
        <v>287</v>
      </c>
      <c r="H3716" s="1">
        <v>44701</v>
      </c>
      <c r="I3716">
        <v>2022</v>
      </c>
      <c r="J3716">
        <v>5</v>
      </c>
      <c r="K3716" t="s">
        <v>36</v>
      </c>
      <c r="L3716">
        <v>0</v>
      </c>
      <c r="M3716">
        <v>1</v>
      </c>
    </row>
    <row r="3717" spans="1:13" x14ac:dyDescent="0.25">
      <c r="A3717" t="s">
        <v>420</v>
      </c>
      <c r="B3717" t="s">
        <v>66</v>
      </c>
      <c r="C3717" t="s">
        <v>48</v>
      </c>
      <c r="D3717" t="s">
        <v>194</v>
      </c>
      <c r="E3717">
        <v>600</v>
      </c>
      <c r="F3717">
        <v>0.06</v>
      </c>
      <c r="G3717">
        <v>1300</v>
      </c>
      <c r="H3717" s="1">
        <v>44700</v>
      </c>
      <c r="I3717">
        <v>2022</v>
      </c>
      <c r="J3717">
        <v>5</v>
      </c>
      <c r="K3717" t="s">
        <v>26</v>
      </c>
      <c r="L3717">
        <v>0</v>
      </c>
      <c r="M3717">
        <v>1</v>
      </c>
    </row>
    <row r="3718" spans="1:13" x14ac:dyDescent="0.25">
      <c r="A3718" t="s">
        <v>1979</v>
      </c>
      <c r="B3718" t="s">
        <v>106</v>
      </c>
      <c r="C3718" t="s">
        <v>48</v>
      </c>
      <c r="D3718" t="s">
        <v>111</v>
      </c>
      <c r="E3718">
        <v>424</v>
      </c>
      <c r="F3718">
        <v>7.0000000000000007E-2</v>
      </c>
      <c r="G3718">
        <v>292</v>
      </c>
      <c r="H3718" s="1">
        <v>44699</v>
      </c>
      <c r="I3718">
        <v>2022</v>
      </c>
      <c r="J3718">
        <v>5</v>
      </c>
      <c r="K3718" t="s">
        <v>36</v>
      </c>
      <c r="L3718">
        <v>0</v>
      </c>
      <c r="M3718">
        <v>1</v>
      </c>
    </row>
    <row r="3719" spans="1:13" x14ac:dyDescent="0.25">
      <c r="A3719" t="s">
        <v>2242</v>
      </c>
      <c r="B3719" t="s">
        <v>32</v>
      </c>
      <c r="C3719" t="s">
        <v>14</v>
      </c>
      <c r="D3719" t="s">
        <v>15</v>
      </c>
      <c r="E3719">
        <v>150</v>
      </c>
      <c r="F3719">
        <v>0.01</v>
      </c>
      <c r="G3719">
        <v>121900</v>
      </c>
      <c r="H3719" s="1">
        <v>44698</v>
      </c>
      <c r="I3719">
        <v>2022</v>
      </c>
      <c r="J3719">
        <v>5</v>
      </c>
      <c r="K3719" t="s">
        <v>26</v>
      </c>
      <c r="L3719">
        <v>0</v>
      </c>
      <c r="M3719">
        <v>1</v>
      </c>
    </row>
    <row r="3720" spans="1:13" x14ac:dyDescent="0.25">
      <c r="A3720" t="s">
        <v>2157</v>
      </c>
      <c r="B3720" t="s">
        <v>35</v>
      </c>
      <c r="C3720" t="s">
        <v>161</v>
      </c>
      <c r="D3720" t="s">
        <v>55</v>
      </c>
      <c r="E3720">
        <v>100</v>
      </c>
      <c r="F3720">
        <v>0.1</v>
      </c>
      <c r="G3720">
        <v>568</v>
      </c>
      <c r="H3720" s="1">
        <v>44698</v>
      </c>
      <c r="I3720">
        <v>2022</v>
      </c>
      <c r="J3720">
        <v>5</v>
      </c>
      <c r="K3720" t="s">
        <v>36</v>
      </c>
      <c r="L3720">
        <v>0</v>
      </c>
      <c r="M3720">
        <v>1</v>
      </c>
    </row>
    <row r="3721" spans="1:13" x14ac:dyDescent="0.25">
      <c r="A3721" t="s">
        <v>2586</v>
      </c>
      <c r="B3721" t="s">
        <v>18</v>
      </c>
      <c r="C3721" t="s">
        <v>14</v>
      </c>
      <c r="D3721" t="s">
        <v>46</v>
      </c>
      <c r="E3721">
        <v>90</v>
      </c>
      <c r="F3721">
        <v>0.08</v>
      </c>
      <c r="G3721">
        <v>195</v>
      </c>
      <c r="H3721" s="1">
        <v>44698</v>
      </c>
      <c r="I3721">
        <v>2022</v>
      </c>
      <c r="J3721">
        <v>5</v>
      </c>
      <c r="K3721" t="s">
        <v>36</v>
      </c>
      <c r="L3721">
        <v>0</v>
      </c>
      <c r="M3721">
        <v>1</v>
      </c>
    </row>
    <row r="3722" spans="1:13" x14ac:dyDescent="0.25">
      <c r="A3722" t="s">
        <v>2587</v>
      </c>
      <c r="B3722" t="s">
        <v>95</v>
      </c>
      <c r="C3722" t="s">
        <v>230</v>
      </c>
      <c r="D3722" t="s">
        <v>68</v>
      </c>
      <c r="E3722">
        <v>100</v>
      </c>
      <c r="F3722">
        <v>0.4</v>
      </c>
      <c r="G3722">
        <v>29</v>
      </c>
      <c r="H3722" s="1">
        <v>44697</v>
      </c>
      <c r="I3722">
        <v>2022</v>
      </c>
      <c r="J3722">
        <v>5</v>
      </c>
      <c r="K3722" t="s">
        <v>30</v>
      </c>
      <c r="L3722">
        <v>0</v>
      </c>
      <c r="M3722">
        <v>1</v>
      </c>
    </row>
    <row r="3723" spans="1:13" x14ac:dyDescent="0.25">
      <c r="A3723" t="s">
        <v>1024</v>
      </c>
      <c r="B3723" t="s">
        <v>24</v>
      </c>
      <c r="C3723" t="s">
        <v>14</v>
      </c>
      <c r="D3723" t="s">
        <v>20</v>
      </c>
      <c r="E3723" t="s">
        <v>21</v>
      </c>
      <c r="F3723" t="s">
        <v>21</v>
      </c>
      <c r="G3723">
        <v>194</v>
      </c>
      <c r="H3723" s="1">
        <v>44697</v>
      </c>
      <c r="I3723">
        <v>2022</v>
      </c>
      <c r="J3723">
        <v>5</v>
      </c>
      <c r="K3723" t="s">
        <v>36</v>
      </c>
      <c r="L3723" t="s">
        <v>21</v>
      </c>
      <c r="M3723">
        <v>0</v>
      </c>
    </row>
    <row r="3724" spans="1:13" x14ac:dyDescent="0.25">
      <c r="A3724" t="s">
        <v>2588</v>
      </c>
      <c r="B3724" t="s">
        <v>24</v>
      </c>
      <c r="C3724" t="s">
        <v>2589</v>
      </c>
      <c r="D3724" t="s">
        <v>20</v>
      </c>
      <c r="E3724">
        <v>400</v>
      </c>
      <c r="F3724">
        <v>0.4</v>
      </c>
      <c r="G3724">
        <v>60</v>
      </c>
      <c r="H3724" s="1">
        <v>44695</v>
      </c>
      <c r="I3724">
        <v>2022</v>
      </c>
      <c r="J3724">
        <v>5</v>
      </c>
      <c r="K3724" t="s">
        <v>30</v>
      </c>
      <c r="L3724">
        <v>0</v>
      </c>
      <c r="M3724">
        <v>1</v>
      </c>
    </row>
    <row r="3725" spans="1:13" x14ac:dyDescent="0.25">
      <c r="A3725" t="s">
        <v>2304</v>
      </c>
      <c r="B3725" t="s">
        <v>35</v>
      </c>
      <c r="C3725" t="s">
        <v>14</v>
      </c>
      <c r="D3725" t="s">
        <v>20</v>
      </c>
      <c r="E3725">
        <v>24</v>
      </c>
      <c r="F3725" t="s">
        <v>21</v>
      </c>
      <c r="G3725">
        <v>209</v>
      </c>
      <c r="H3725" s="1">
        <v>44695</v>
      </c>
      <c r="I3725">
        <v>2022</v>
      </c>
      <c r="J3725">
        <v>5</v>
      </c>
      <c r="K3725" t="s">
        <v>36</v>
      </c>
      <c r="L3725" t="s">
        <v>21</v>
      </c>
      <c r="M3725">
        <v>1</v>
      </c>
    </row>
    <row r="3726" spans="1:13" x14ac:dyDescent="0.25">
      <c r="A3726" t="s">
        <v>2256</v>
      </c>
      <c r="B3726" t="s">
        <v>77</v>
      </c>
      <c r="C3726" t="s">
        <v>14</v>
      </c>
      <c r="D3726" t="s">
        <v>55</v>
      </c>
      <c r="E3726">
        <v>22</v>
      </c>
      <c r="F3726" t="s">
        <v>21</v>
      </c>
      <c r="G3726">
        <v>130</v>
      </c>
      <c r="H3726" s="1">
        <v>44694</v>
      </c>
      <c r="I3726">
        <v>2022</v>
      </c>
      <c r="J3726">
        <v>5</v>
      </c>
      <c r="K3726" t="s">
        <v>36</v>
      </c>
      <c r="L3726" t="s">
        <v>21</v>
      </c>
      <c r="M3726">
        <v>1</v>
      </c>
    </row>
    <row r="3727" spans="1:13" x14ac:dyDescent="0.25">
      <c r="A3727" t="s">
        <v>2590</v>
      </c>
      <c r="B3727" t="s">
        <v>140</v>
      </c>
      <c r="C3727" t="s">
        <v>14</v>
      </c>
      <c r="D3727" t="s">
        <v>33</v>
      </c>
      <c r="E3727" t="s">
        <v>21</v>
      </c>
      <c r="F3727">
        <v>1</v>
      </c>
      <c r="G3727" t="s">
        <v>21</v>
      </c>
      <c r="H3727" s="1">
        <v>44694</v>
      </c>
      <c r="I3727">
        <v>2022</v>
      </c>
      <c r="J3727">
        <v>5</v>
      </c>
      <c r="K3727" t="s">
        <v>22</v>
      </c>
      <c r="L3727">
        <v>1</v>
      </c>
      <c r="M3727">
        <v>1</v>
      </c>
    </row>
    <row r="3728" spans="1:13" x14ac:dyDescent="0.25">
      <c r="A3728" t="s">
        <v>911</v>
      </c>
      <c r="B3728" t="s">
        <v>207</v>
      </c>
      <c r="C3728" t="s">
        <v>14</v>
      </c>
      <c r="D3728" t="s">
        <v>46</v>
      </c>
      <c r="E3728">
        <v>150</v>
      </c>
      <c r="F3728" t="s">
        <v>21</v>
      </c>
      <c r="G3728">
        <v>619</v>
      </c>
      <c r="H3728" s="1">
        <v>44693</v>
      </c>
      <c r="I3728">
        <v>2022</v>
      </c>
      <c r="J3728">
        <v>5</v>
      </c>
      <c r="K3728" t="s">
        <v>36</v>
      </c>
      <c r="L3728" t="s">
        <v>21</v>
      </c>
      <c r="M3728">
        <v>1</v>
      </c>
    </row>
    <row r="3729" spans="1:13" x14ac:dyDescent="0.25">
      <c r="A3729" t="s">
        <v>2591</v>
      </c>
      <c r="B3729" t="s">
        <v>106</v>
      </c>
      <c r="C3729" t="s">
        <v>14</v>
      </c>
      <c r="D3729" t="s">
        <v>68</v>
      </c>
      <c r="E3729">
        <v>32</v>
      </c>
      <c r="F3729" t="s">
        <v>21</v>
      </c>
      <c r="G3729">
        <v>37</v>
      </c>
      <c r="H3729" s="1">
        <v>44693</v>
      </c>
      <c r="I3729">
        <v>2022</v>
      </c>
      <c r="J3729">
        <v>5</v>
      </c>
      <c r="K3729" t="s">
        <v>30</v>
      </c>
      <c r="L3729" t="s">
        <v>21</v>
      </c>
      <c r="M3729">
        <v>1</v>
      </c>
    </row>
    <row r="3730" spans="1:13" x14ac:dyDescent="0.25">
      <c r="A3730" t="s">
        <v>2592</v>
      </c>
      <c r="B3730" t="s">
        <v>28</v>
      </c>
      <c r="C3730" t="s">
        <v>14</v>
      </c>
      <c r="D3730" t="s">
        <v>20</v>
      </c>
      <c r="E3730" t="s">
        <v>21</v>
      </c>
      <c r="F3730" t="s">
        <v>21</v>
      </c>
      <c r="G3730">
        <v>29</v>
      </c>
      <c r="H3730" s="1">
        <v>44693</v>
      </c>
      <c r="I3730">
        <v>2022</v>
      </c>
      <c r="J3730">
        <v>5</v>
      </c>
      <c r="K3730" t="s">
        <v>30</v>
      </c>
      <c r="L3730" t="s">
        <v>21</v>
      </c>
      <c r="M3730">
        <v>0</v>
      </c>
    </row>
    <row r="3731" spans="1:13" x14ac:dyDescent="0.25">
      <c r="A3731" t="s">
        <v>2296</v>
      </c>
      <c r="B3731" t="s">
        <v>38</v>
      </c>
      <c r="C3731" t="s">
        <v>14</v>
      </c>
      <c r="D3731" t="s">
        <v>194</v>
      </c>
      <c r="E3731">
        <v>70</v>
      </c>
      <c r="F3731">
        <v>7.0000000000000007E-2</v>
      </c>
      <c r="G3731">
        <v>1000</v>
      </c>
      <c r="H3731" s="1">
        <v>44692</v>
      </c>
      <c r="I3731">
        <v>2022</v>
      </c>
      <c r="J3731">
        <v>5</v>
      </c>
      <c r="K3731" t="s">
        <v>26</v>
      </c>
      <c r="L3731">
        <v>0</v>
      </c>
      <c r="M3731">
        <v>1</v>
      </c>
    </row>
    <row r="3732" spans="1:13" x14ac:dyDescent="0.25">
      <c r="A3732" t="s">
        <v>1863</v>
      </c>
      <c r="B3732" t="s">
        <v>66</v>
      </c>
      <c r="C3732" t="s">
        <v>14</v>
      </c>
      <c r="D3732" t="s">
        <v>15</v>
      </c>
      <c r="E3732">
        <v>2500</v>
      </c>
      <c r="F3732">
        <v>0.12</v>
      </c>
      <c r="G3732">
        <v>1600</v>
      </c>
      <c r="H3732" s="1">
        <v>44691</v>
      </c>
      <c r="I3732">
        <v>2022</v>
      </c>
      <c r="J3732">
        <v>5</v>
      </c>
      <c r="K3732" t="s">
        <v>26</v>
      </c>
      <c r="L3732">
        <v>0</v>
      </c>
      <c r="M3732">
        <v>1</v>
      </c>
    </row>
    <row r="3733" spans="1:13" x14ac:dyDescent="0.25">
      <c r="A3733" t="s">
        <v>1988</v>
      </c>
      <c r="B3733" t="s">
        <v>77</v>
      </c>
      <c r="C3733" t="s">
        <v>14</v>
      </c>
      <c r="D3733" t="s">
        <v>15</v>
      </c>
      <c r="E3733">
        <v>310</v>
      </c>
      <c r="F3733">
        <v>0.15</v>
      </c>
      <c r="G3733">
        <v>679</v>
      </c>
      <c r="H3733" s="1">
        <v>44691</v>
      </c>
      <c r="I3733">
        <v>2022</v>
      </c>
      <c r="J3733">
        <v>5</v>
      </c>
      <c r="K3733" t="s">
        <v>36</v>
      </c>
      <c r="L3733">
        <v>0</v>
      </c>
      <c r="M3733">
        <v>1</v>
      </c>
    </row>
    <row r="3734" spans="1:13" x14ac:dyDescent="0.25">
      <c r="A3734" t="s">
        <v>2322</v>
      </c>
      <c r="B3734" t="s">
        <v>73</v>
      </c>
      <c r="C3734" t="s">
        <v>80</v>
      </c>
      <c r="D3734" t="s">
        <v>46</v>
      </c>
      <c r="E3734">
        <v>200</v>
      </c>
      <c r="F3734">
        <v>0.33</v>
      </c>
      <c r="G3734">
        <v>238</v>
      </c>
      <c r="H3734" s="1">
        <v>44691</v>
      </c>
      <c r="I3734">
        <v>2022</v>
      </c>
      <c r="J3734">
        <v>5</v>
      </c>
      <c r="K3734" t="s">
        <v>36</v>
      </c>
      <c r="L3734">
        <v>0</v>
      </c>
      <c r="M3734">
        <v>1</v>
      </c>
    </row>
    <row r="3735" spans="1:13" x14ac:dyDescent="0.25">
      <c r="A3735" t="s">
        <v>1337</v>
      </c>
      <c r="B3735" t="s">
        <v>28</v>
      </c>
      <c r="C3735" t="s">
        <v>14</v>
      </c>
      <c r="D3735" t="s">
        <v>15</v>
      </c>
      <c r="E3735">
        <v>30</v>
      </c>
      <c r="F3735">
        <v>0.06</v>
      </c>
      <c r="G3735">
        <v>342</v>
      </c>
      <c r="H3735" s="1">
        <v>44691</v>
      </c>
      <c r="I3735">
        <v>2022</v>
      </c>
      <c r="J3735">
        <v>5</v>
      </c>
      <c r="K3735" t="s">
        <v>36</v>
      </c>
      <c r="L3735">
        <v>0</v>
      </c>
      <c r="M3735">
        <v>1</v>
      </c>
    </row>
    <row r="3736" spans="1:13" x14ac:dyDescent="0.25">
      <c r="A3736" t="s">
        <v>2593</v>
      </c>
      <c r="B3736" t="s">
        <v>13</v>
      </c>
      <c r="C3736" t="s">
        <v>539</v>
      </c>
      <c r="D3736" t="s">
        <v>46</v>
      </c>
      <c r="E3736">
        <v>350</v>
      </c>
      <c r="F3736">
        <v>0.5</v>
      </c>
      <c r="G3736">
        <v>293</v>
      </c>
      <c r="H3736" s="1">
        <v>44690</v>
      </c>
      <c r="I3736">
        <v>2022</v>
      </c>
      <c r="J3736">
        <v>5</v>
      </c>
      <c r="K3736" t="s">
        <v>36</v>
      </c>
      <c r="L3736">
        <v>0</v>
      </c>
      <c r="M3736">
        <v>1</v>
      </c>
    </row>
    <row r="3737" spans="1:13" x14ac:dyDescent="0.25">
      <c r="A3737" t="s">
        <v>939</v>
      </c>
      <c r="B3737" t="s">
        <v>66</v>
      </c>
      <c r="C3737" t="s">
        <v>14</v>
      </c>
      <c r="D3737" t="s">
        <v>15</v>
      </c>
      <c r="E3737">
        <v>270</v>
      </c>
      <c r="F3737">
        <v>0.14000000000000001</v>
      </c>
      <c r="G3737">
        <v>1300</v>
      </c>
      <c r="H3737" s="1">
        <v>44690</v>
      </c>
      <c r="I3737">
        <v>2022</v>
      </c>
      <c r="J3737">
        <v>5</v>
      </c>
      <c r="K3737" t="s">
        <v>26</v>
      </c>
      <c r="L3737">
        <v>0</v>
      </c>
      <c r="M3737">
        <v>1</v>
      </c>
    </row>
    <row r="3738" spans="1:13" x14ac:dyDescent="0.25">
      <c r="A3738" t="s">
        <v>2594</v>
      </c>
      <c r="B3738" t="s">
        <v>66</v>
      </c>
      <c r="C3738" t="s">
        <v>14</v>
      </c>
      <c r="D3738" t="s">
        <v>22</v>
      </c>
      <c r="E3738">
        <v>750</v>
      </c>
      <c r="F3738">
        <v>0.05</v>
      </c>
      <c r="G3738">
        <v>1500</v>
      </c>
      <c r="H3738" s="1">
        <v>44687</v>
      </c>
      <c r="I3738">
        <v>2022</v>
      </c>
      <c r="J3738">
        <v>5</v>
      </c>
      <c r="K3738" t="s">
        <v>26</v>
      </c>
      <c r="L3738">
        <v>0</v>
      </c>
      <c r="M3738">
        <v>1</v>
      </c>
    </row>
    <row r="3739" spans="1:13" x14ac:dyDescent="0.25">
      <c r="A3739" t="s">
        <v>2595</v>
      </c>
      <c r="B3739" t="s">
        <v>35</v>
      </c>
      <c r="C3739" t="s">
        <v>14</v>
      </c>
      <c r="D3739" t="s">
        <v>20</v>
      </c>
      <c r="E3739">
        <v>62</v>
      </c>
      <c r="F3739" t="s">
        <v>21</v>
      </c>
      <c r="G3739" t="s">
        <v>21</v>
      </c>
      <c r="H3739" s="1">
        <v>44687</v>
      </c>
      <c r="I3739">
        <v>2022</v>
      </c>
      <c r="J3739">
        <v>5</v>
      </c>
      <c r="K3739" t="s">
        <v>22</v>
      </c>
      <c r="L3739" t="s">
        <v>21</v>
      </c>
      <c r="M3739">
        <v>1</v>
      </c>
    </row>
    <row r="3740" spans="1:13" x14ac:dyDescent="0.25">
      <c r="A3740" t="s">
        <v>1979</v>
      </c>
      <c r="B3740" t="s">
        <v>106</v>
      </c>
      <c r="C3740" t="s">
        <v>48</v>
      </c>
      <c r="D3740" t="s">
        <v>111</v>
      </c>
      <c r="E3740">
        <v>200</v>
      </c>
      <c r="F3740">
        <v>0.03</v>
      </c>
      <c r="G3740">
        <v>292</v>
      </c>
      <c r="H3740" s="1">
        <v>44686</v>
      </c>
      <c r="I3740">
        <v>2022</v>
      </c>
      <c r="J3740">
        <v>5</v>
      </c>
      <c r="K3740" t="s">
        <v>36</v>
      </c>
      <c r="L3740">
        <v>0</v>
      </c>
      <c r="M3740">
        <v>1</v>
      </c>
    </row>
    <row r="3741" spans="1:13" x14ac:dyDescent="0.25">
      <c r="A3741" t="s">
        <v>2596</v>
      </c>
      <c r="B3741" t="s">
        <v>77</v>
      </c>
      <c r="C3741" t="s">
        <v>14</v>
      </c>
      <c r="D3741" t="s">
        <v>20</v>
      </c>
      <c r="E3741">
        <v>100</v>
      </c>
      <c r="F3741" t="s">
        <v>21</v>
      </c>
      <c r="G3741">
        <v>202</v>
      </c>
      <c r="H3741" s="1">
        <v>44686</v>
      </c>
      <c r="I3741">
        <v>2022</v>
      </c>
      <c r="J3741">
        <v>5</v>
      </c>
      <c r="K3741" t="s">
        <v>36</v>
      </c>
      <c r="L3741" t="s">
        <v>21</v>
      </c>
      <c r="M3741">
        <v>1</v>
      </c>
    </row>
    <row r="3742" spans="1:13" x14ac:dyDescent="0.25">
      <c r="A3742" t="s">
        <v>1426</v>
      </c>
      <c r="B3742" t="s">
        <v>114</v>
      </c>
      <c r="C3742" t="s">
        <v>14</v>
      </c>
      <c r="D3742" t="s">
        <v>46</v>
      </c>
      <c r="E3742">
        <v>90</v>
      </c>
      <c r="F3742">
        <v>0.1</v>
      </c>
      <c r="G3742">
        <v>192</v>
      </c>
      <c r="H3742" s="1">
        <v>44686</v>
      </c>
      <c r="I3742">
        <v>2022</v>
      </c>
      <c r="J3742">
        <v>5</v>
      </c>
      <c r="K3742" t="s">
        <v>36</v>
      </c>
      <c r="L3742">
        <v>0</v>
      </c>
      <c r="M3742">
        <v>1</v>
      </c>
    </row>
    <row r="3743" spans="1:13" x14ac:dyDescent="0.25">
      <c r="A3743" t="s">
        <v>2341</v>
      </c>
      <c r="B3743" t="s">
        <v>106</v>
      </c>
      <c r="C3743" t="s">
        <v>14</v>
      </c>
      <c r="D3743" t="s">
        <v>68</v>
      </c>
      <c r="E3743">
        <v>72</v>
      </c>
      <c r="F3743">
        <v>0.25</v>
      </c>
      <c r="G3743">
        <v>20</v>
      </c>
      <c r="H3743" s="1">
        <v>44686</v>
      </c>
      <c r="I3743">
        <v>2022</v>
      </c>
      <c r="J3743">
        <v>5</v>
      </c>
      <c r="K3743" t="s">
        <v>30</v>
      </c>
      <c r="L3743">
        <v>0</v>
      </c>
      <c r="M3743">
        <v>1</v>
      </c>
    </row>
    <row r="3744" spans="1:13" x14ac:dyDescent="0.25">
      <c r="A3744" t="s">
        <v>2597</v>
      </c>
      <c r="B3744" t="s">
        <v>95</v>
      </c>
      <c r="C3744" t="s">
        <v>42</v>
      </c>
      <c r="D3744" t="s">
        <v>49</v>
      </c>
      <c r="E3744">
        <v>300</v>
      </c>
      <c r="F3744">
        <v>1</v>
      </c>
      <c r="G3744">
        <v>3</v>
      </c>
      <c r="H3744" s="1">
        <v>44685</v>
      </c>
      <c r="I3744">
        <v>2022</v>
      </c>
      <c r="J3744">
        <v>5</v>
      </c>
      <c r="K3744" t="s">
        <v>16</v>
      </c>
      <c r="L3744">
        <v>1</v>
      </c>
      <c r="M3744">
        <v>1</v>
      </c>
    </row>
    <row r="3745" spans="1:13" x14ac:dyDescent="0.25">
      <c r="A3745" t="s">
        <v>2598</v>
      </c>
      <c r="B3745" t="s">
        <v>217</v>
      </c>
      <c r="C3745" t="s">
        <v>14</v>
      </c>
      <c r="D3745" t="s">
        <v>68</v>
      </c>
      <c r="E3745">
        <v>97</v>
      </c>
      <c r="F3745" t="s">
        <v>21</v>
      </c>
      <c r="G3745">
        <v>41</v>
      </c>
      <c r="H3745" s="1">
        <v>44685</v>
      </c>
      <c r="I3745">
        <v>2022</v>
      </c>
      <c r="J3745">
        <v>5</v>
      </c>
      <c r="K3745" t="s">
        <v>30</v>
      </c>
      <c r="L3745" t="s">
        <v>21</v>
      </c>
      <c r="M3745">
        <v>1</v>
      </c>
    </row>
    <row r="3746" spans="1:13" x14ac:dyDescent="0.25">
      <c r="A3746" t="s">
        <v>1310</v>
      </c>
      <c r="B3746" t="s">
        <v>18</v>
      </c>
      <c r="C3746" t="s">
        <v>14</v>
      </c>
      <c r="D3746" t="s">
        <v>22</v>
      </c>
      <c r="E3746">
        <v>87</v>
      </c>
      <c r="F3746">
        <v>0.25</v>
      </c>
      <c r="G3746">
        <v>165</v>
      </c>
      <c r="H3746" s="1">
        <v>44685</v>
      </c>
      <c r="I3746">
        <v>2022</v>
      </c>
      <c r="J3746">
        <v>5</v>
      </c>
      <c r="K3746" t="s">
        <v>36</v>
      </c>
      <c r="L3746">
        <v>0</v>
      </c>
      <c r="M3746">
        <v>1</v>
      </c>
    </row>
    <row r="3747" spans="1:13" x14ac:dyDescent="0.25">
      <c r="A3747" t="s">
        <v>2599</v>
      </c>
      <c r="B3747" t="s">
        <v>77</v>
      </c>
      <c r="C3747" t="s">
        <v>14</v>
      </c>
      <c r="D3747" t="s">
        <v>68</v>
      </c>
      <c r="E3747">
        <v>45</v>
      </c>
      <c r="F3747">
        <v>0.3</v>
      </c>
      <c r="G3747">
        <v>64</v>
      </c>
      <c r="H3747" s="1">
        <v>44685</v>
      </c>
      <c r="I3747">
        <v>2022</v>
      </c>
      <c r="J3747">
        <v>5</v>
      </c>
      <c r="K3747" t="s">
        <v>30</v>
      </c>
      <c r="L3747">
        <v>0</v>
      </c>
      <c r="M3747">
        <v>1</v>
      </c>
    </row>
    <row r="3748" spans="1:13" x14ac:dyDescent="0.25">
      <c r="A3748" t="s">
        <v>2600</v>
      </c>
      <c r="B3748" t="s">
        <v>24</v>
      </c>
      <c r="C3748" t="s">
        <v>14</v>
      </c>
      <c r="D3748" t="s">
        <v>68</v>
      </c>
      <c r="E3748">
        <v>40</v>
      </c>
      <c r="F3748" t="s">
        <v>21</v>
      </c>
      <c r="G3748">
        <v>7</v>
      </c>
      <c r="H3748" s="1">
        <v>44685</v>
      </c>
      <c r="I3748">
        <v>2022</v>
      </c>
      <c r="J3748">
        <v>5</v>
      </c>
      <c r="K3748" t="s">
        <v>16</v>
      </c>
      <c r="L3748" t="s">
        <v>21</v>
      </c>
      <c r="M3748">
        <v>1</v>
      </c>
    </row>
    <row r="3749" spans="1:13" x14ac:dyDescent="0.25">
      <c r="A3749" t="s">
        <v>2601</v>
      </c>
      <c r="B3749" t="s">
        <v>77</v>
      </c>
      <c r="C3749" t="s">
        <v>14</v>
      </c>
      <c r="D3749" t="s">
        <v>46</v>
      </c>
      <c r="E3749">
        <v>25</v>
      </c>
      <c r="F3749" t="s">
        <v>21</v>
      </c>
      <c r="G3749">
        <v>128</v>
      </c>
      <c r="H3749" s="1">
        <v>44685</v>
      </c>
      <c r="I3749">
        <v>2022</v>
      </c>
      <c r="J3749">
        <v>5</v>
      </c>
      <c r="K3749" t="s">
        <v>36</v>
      </c>
      <c r="L3749" t="s">
        <v>21</v>
      </c>
      <c r="M3749">
        <v>1</v>
      </c>
    </row>
    <row r="3750" spans="1:13" x14ac:dyDescent="0.25">
      <c r="A3750" t="s">
        <v>2602</v>
      </c>
      <c r="B3750" t="s">
        <v>77</v>
      </c>
      <c r="C3750" t="s">
        <v>42</v>
      </c>
      <c r="D3750" t="s">
        <v>22</v>
      </c>
      <c r="E3750" t="s">
        <v>21</v>
      </c>
      <c r="F3750">
        <v>0.3</v>
      </c>
      <c r="G3750">
        <v>45</v>
      </c>
      <c r="H3750" s="1">
        <v>44685</v>
      </c>
      <c r="I3750">
        <v>2022</v>
      </c>
      <c r="J3750">
        <v>5</v>
      </c>
      <c r="K3750" t="s">
        <v>30</v>
      </c>
      <c r="L3750">
        <v>0</v>
      </c>
      <c r="M3750">
        <v>1</v>
      </c>
    </row>
    <row r="3751" spans="1:13" x14ac:dyDescent="0.25">
      <c r="A3751" t="s">
        <v>2603</v>
      </c>
      <c r="B3751" t="s">
        <v>24</v>
      </c>
      <c r="C3751" t="s">
        <v>14</v>
      </c>
      <c r="D3751" t="s">
        <v>22</v>
      </c>
      <c r="E3751" t="s">
        <v>21</v>
      </c>
      <c r="F3751" t="s">
        <v>21</v>
      </c>
      <c r="G3751">
        <v>3400</v>
      </c>
      <c r="H3751" s="1">
        <v>44683</v>
      </c>
      <c r="I3751">
        <v>2022</v>
      </c>
      <c r="J3751">
        <v>5</v>
      </c>
      <c r="K3751" t="s">
        <v>26</v>
      </c>
      <c r="L3751" t="s">
        <v>21</v>
      </c>
      <c r="M3751">
        <v>0</v>
      </c>
    </row>
    <row r="3752" spans="1:13" x14ac:dyDescent="0.25">
      <c r="A3752" t="s">
        <v>2604</v>
      </c>
      <c r="B3752" t="s">
        <v>95</v>
      </c>
      <c r="C3752" t="s">
        <v>29</v>
      </c>
      <c r="D3752" t="s">
        <v>33</v>
      </c>
      <c r="E3752">
        <v>500</v>
      </c>
      <c r="F3752">
        <v>0.67</v>
      </c>
      <c r="G3752">
        <v>45</v>
      </c>
      <c r="H3752" s="1">
        <v>44682</v>
      </c>
      <c r="I3752">
        <v>2022</v>
      </c>
      <c r="J3752">
        <v>5</v>
      </c>
      <c r="K3752" t="s">
        <v>30</v>
      </c>
      <c r="L3752">
        <v>0</v>
      </c>
      <c r="M3752">
        <v>1</v>
      </c>
    </row>
    <row r="3753" spans="1:13" x14ac:dyDescent="0.25">
      <c r="A3753" t="s">
        <v>926</v>
      </c>
      <c r="B3753" t="s">
        <v>35</v>
      </c>
      <c r="C3753" t="s">
        <v>14</v>
      </c>
      <c r="D3753" t="s">
        <v>43</v>
      </c>
      <c r="E3753">
        <v>495</v>
      </c>
      <c r="F3753" t="s">
        <v>21</v>
      </c>
      <c r="G3753">
        <v>657</v>
      </c>
      <c r="H3753" s="1">
        <v>44680</v>
      </c>
      <c r="I3753">
        <v>2022</v>
      </c>
      <c r="J3753">
        <v>4</v>
      </c>
      <c r="K3753" t="s">
        <v>36</v>
      </c>
      <c r="L3753" t="s">
        <v>21</v>
      </c>
      <c r="M3753">
        <v>1</v>
      </c>
    </row>
    <row r="3754" spans="1:13" x14ac:dyDescent="0.25">
      <c r="A3754" t="s">
        <v>1562</v>
      </c>
      <c r="B3754" t="s">
        <v>106</v>
      </c>
      <c r="C3754" t="s">
        <v>14</v>
      </c>
      <c r="D3754" t="s">
        <v>55</v>
      </c>
      <c r="E3754">
        <v>150</v>
      </c>
      <c r="F3754">
        <v>0.19</v>
      </c>
      <c r="G3754">
        <v>130</v>
      </c>
      <c r="H3754" s="1">
        <v>44679</v>
      </c>
      <c r="I3754">
        <v>2022</v>
      </c>
      <c r="J3754">
        <v>4</v>
      </c>
      <c r="K3754" t="s">
        <v>36</v>
      </c>
      <c r="L3754">
        <v>0</v>
      </c>
      <c r="M3754">
        <v>1</v>
      </c>
    </row>
    <row r="3755" spans="1:13" x14ac:dyDescent="0.25">
      <c r="A3755" t="s">
        <v>2242</v>
      </c>
      <c r="B3755" t="s">
        <v>32</v>
      </c>
      <c r="C3755" t="s">
        <v>14</v>
      </c>
      <c r="D3755" t="s">
        <v>15</v>
      </c>
      <c r="E3755">
        <v>25</v>
      </c>
      <c r="F3755" t="s">
        <v>21</v>
      </c>
      <c r="G3755">
        <v>121900</v>
      </c>
      <c r="H3755" s="1">
        <v>44679</v>
      </c>
      <c r="I3755">
        <v>2022</v>
      </c>
      <c r="J3755">
        <v>4</v>
      </c>
      <c r="K3755" t="s">
        <v>26</v>
      </c>
      <c r="L3755" t="s">
        <v>21</v>
      </c>
      <c r="M3755">
        <v>1</v>
      </c>
    </row>
    <row r="3756" spans="1:13" x14ac:dyDescent="0.25">
      <c r="A3756" t="s">
        <v>2605</v>
      </c>
      <c r="B3756" t="s">
        <v>207</v>
      </c>
      <c r="C3756" t="s">
        <v>14</v>
      </c>
      <c r="D3756" t="s">
        <v>22</v>
      </c>
      <c r="E3756">
        <v>50</v>
      </c>
      <c r="F3756" t="s">
        <v>21</v>
      </c>
      <c r="G3756" t="s">
        <v>21</v>
      </c>
      <c r="H3756" s="1">
        <v>44678</v>
      </c>
      <c r="I3756">
        <v>2022</v>
      </c>
      <c r="J3756">
        <v>4</v>
      </c>
      <c r="K3756" t="s">
        <v>22</v>
      </c>
      <c r="L3756" t="s">
        <v>21</v>
      </c>
      <c r="M3756">
        <v>1</v>
      </c>
    </row>
    <row r="3757" spans="1:13" x14ac:dyDescent="0.25">
      <c r="A3757" t="s">
        <v>76</v>
      </c>
      <c r="B3757" t="s">
        <v>77</v>
      </c>
      <c r="C3757" t="s">
        <v>14</v>
      </c>
      <c r="D3757" t="s">
        <v>15</v>
      </c>
      <c r="E3757">
        <v>340</v>
      </c>
      <c r="F3757">
        <v>0.09</v>
      </c>
      <c r="G3757">
        <v>5600</v>
      </c>
      <c r="H3757" s="1">
        <v>44677</v>
      </c>
      <c r="I3757">
        <v>2022</v>
      </c>
      <c r="J3757">
        <v>4</v>
      </c>
      <c r="K3757" t="s">
        <v>26</v>
      </c>
      <c r="L3757">
        <v>0</v>
      </c>
      <c r="M3757">
        <v>1</v>
      </c>
    </row>
    <row r="3758" spans="1:13" x14ac:dyDescent="0.25">
      <c r="A3758" t="s">
        <v>2505</v>
      </c>
      <c r="B3758" t="s">
        <v>24</v>
      </c>
      <c r="C3758" t="s">
        <v>174</v>
      </c>
      <c r="D3758" t="s">
        <v>68</v>
      </c>
      <c r="E3758">
        <v>29</v>
      </c>
      <c r="F3758">
        <v>0.34</v>
      </c>
      <c r="G3758">
        <v>27</v>
      </c>
      <c r="H3758" s="1">
        <v>44677</v>
      </c>
      <c r="I3758">
        <v>2022</v>
      </c>
      <c r="J3758">
        <v>4</v>
      </c>
      <c r="K3758" t="s">
        <v>30</v>
      </c>
      <c r="L3758">
        <v>0</v>
      </c>
      <c r="M3758">
        <v>1</v>
      </c>
    </row>
    <row r="3759" spans="1:13" x14ac:dyDescent="0.25">
      <c r="A3759" t="s">
        <v>2606</v>
      </c>
      <c r="B3759" t="s">
        <v>13</v>
      </c>
      <c r="C3759" t="s">
        <v>539</v>
      </c>
      <c r="D3759" t="s">
        <v>20</v>
      </c>
      <c r="E3759">
        <v>64</v>
      </c>
      <c r="F3759" t="s">
        <v>21</v>
      </c>
      <c r="G3759">
        <v>277</v>
      </c>
      <c r="H3759" s="1">
        <v>44676</v>
      </c>
      <c r="I3759">
        <v>2022</v>
      </c>
      <c r="J3759">
        <v>4</v>
      </c>
      <c r="K3759" t="s">
        <v>36</v>
      </c>
      <c r="L3759" t="s">
        <v>21</v>
      </c>
      <c r="M3759">
        <v>1</v>
      </c>
    </row>
    <row r="3760" spans="1:13" x14ac:dyDescent="0.25">
      <c r="A3760" t="s">
        <v>2607</v>
      </c>
      <c r="B3760" t="s">
        <v>54</v>
      </c>
      <c r="C3760" t="s">
        <v>14</v>
      </c>
      <c r="D3760" t="s">
        <v>33</v>
      </c>
      <c r="E3760">
        <v>22</v>
      </c>
      <c r="F3760" t="s">
        <v>21</v>
      </c>
      <c r="G3760">
        <v>58</v>
      </c>
      <c r="H3760" s="1">
        <v>44676</v>
      </c>
      <c r="I3760">
        <v>2022</v>
      </c>
      <c r="J3760">
        <v>4</v>
      </c>
      <c r="K3760" t="s">
        <v>30</v>
      </c>
      <c r="L3760" t="s">
        <v>21</v>
      </c>
      <c r="M3760">
        <v>1</v>
      </c>
    </row>
    <row r="3761" spans="1:13" x14ac:dyDescent="0.25">
      <c r="A3761" t="s">
        <v>2608</v>
      </c>
      <c r="B3761" t="s">
        <v>18</v>
      </c>
      <c r="C3761" t="s">
        <v>657</v>
      </c>
      <c r="D3761" t="s">
        <v>111</v>
      </c>
      <c r="E3761">
        <v>180</v>
      </c>
      <c r="F3761">
        <v>0.09</v>
      </c>
      <c r="G3761">
        <v>917</v>
      </c>
      <c r="H3761" s="1">
        <v>44672</v>
      </c>
      <c r="I3761">
        <v>2022</v>
      </c>
      <c r="J3761">
        <v>4</v>
      </c>
      <c r="K3761" t="s">
        <v>36</v>
      </c>
      <c r="L3761">
        <v>0</v>
      </c>
      <c r="M3761">
        <v>1</v>
      </c>
    </row>
    <row r="3762" spans="1:13" x14ac:dyDescent="0.25">
      <c r="A3762" t="s">
        <v>2609</v>
      </c>
      <c r="B3762" t="s">
        <v>24</v>
      </c>
      <c r="C3762" t="s">
        <v>230</v>
      </c>
      <c r="D3762" t="s">
        <v>55</v>
      </c>
      <c r="E3762">
        <v>260</v>
      </c>
      <c r="F3762">
        <v>0.3</v>
      </c>
      <c r="G3762">
        <v>502</v>
      </c>
      <c r="H3762" s="1">
        <v>44671</v>
      </c>
      <c r="I3762">
        <v>2022</v>
      </c>
      <c r="J3762">
        <v>4</v>
      </c>
      <c r="K3762" t="s">
        <v>36</v>
      </c>
      <c r="L3762">
        <v>0</v>
      </c>
      <c r="M3762">
        <v>1</v>
      </c>
    </row>
    <row r="3763" spans="1:13" x14ac:dyDescent="0.25">
      <c r="A3763" t="s">
        <v>1459</v>
      </c>
      <c r="B3763" t="s">
        <v>77</v>
      </c>
      <c r="C3763" t="s">
        <v>14</v>
      </c>
      <c r="D3763" t="s">
        <v>15</v>
      </c>
      <c r="E3763">
        <v>52</v>
      </c>
      <c r="F3763" t="s">
        <v>21</v>
      </c>
      <c r="G3763">
        <v>481</v>
      </c>
      <c r="H3763" s="1">
        <v>44671</v>
      </c>
      <c r="I3763">
        <v>2022</v>
      </c>
      <c r="J3763">
        <v>4</v>
      </c>
      <c r="K3763" t="s">
        <v>36</v>
      </c>
      <c r="L3763" t="s">
        <v>21</v>
      </c>
      <c r="M3763">
        <v>1</v>
      </c>
    </row>
    <row r="3764" spans="1:13" x14ac:dyDescent="0.25">
      <c r="A3764" t="s">
        <v>1243</v>
      </c>
      <c r="B3764" t="s">
        <v>77</v>
      </c>
      <c r="C3764" t="s">
        <v>14</v>
      </c>
      <c r="D3764" t="s">
        <v>15</v>
      </c>
      <c r="E3764">
        <v>200</v>
      </c>
      <c r="F3764">
        <v>0.1</v>
      </c>
      <c r="G3764">
        <v>665</v>
      </c>
      <c r="H3764" s="1">
        <v>44670</v>
      </c>
      <c r="I3764">
        <v>2022</v>
      </c>
      <c r="J3764">
        <v>4</v>
      </c>
      <c r="K3764" t="s">
        <v>36</v>
      </c>
      <c r="L3764">
        <v>0</v>
      </c>
      <c r="M3764">
        <v>1</v>
      </c>
    </row>
    <row r="3765" spans="1:13" x14ac:dyDescent="0.25">
      <c r="A3765" t="s">
        <v>2610</v>
      </c>
      <c r="B3765" t="s">
        <v>91</v>
      </c>
      <c r="C3765" t="s">
        <v>230</v>
      </c>
      <c r="D3765" t="s">
        <v>111</v>
      </c>
      <c r="E3765">
        <v>160</v>
      </c>
      <c r="F3765">
        <v>0.04</v>
      </c>
      <c r="G3765">
        <v>755</v>
      </c>
      <c r="H3765" s="1">
        <v>44670</v>
      </c>
      <c r="I3765">
        <v>2022</v>
      </c>
      <c r="J3765">
        <v>4</v>
      </c>
      <c r="K3765" t="s">
        <v>36</v>
      </c>
      <c r="L3765">
        <v>0</v>
      </c>
      <c r="M3765">
        <v>1</v>
      </c>
    </row>
    <row r="3766" spans="1:13" x14ac:dyDescent="0.25">
      <c r="A3766" t="s">
        <v>1626</v>
      </c>
      <c r="B3766" t="s">
        <v>91</v>
      </c>
      <c r="C3766" t="s">
        <v>230</v>
      </c>
      <c r="D3766" t="s">
        <v>22</v>
      </c>
      <c r="E3766">
        <v>159</v>
      </c>
      <c r="F3766" t="s">
        <v>21</v>
      </c>
      <c r="G3766">
        <v>788</v>
      </c>
      <c r="H3766" s="1">
        <v>44670</v>
      </c>
      <c r="I3766">
        <v>2022</v>
      </c>
      <c r="J3766">
        <v>4</v>
      </c>
      <c r="K3766" t="s">
        <v>36</v>
      </c>
      <c r="L3766" t="s">
        <v>21</v>
      </c>
      <c r="M3766">
        <v>1</v>
      </c>
    </row>
    <row r="3767" spans="1:13" x14ac:dyDescent="0.25">
      <c r="A3767" t="s">
        <v>1183</v>
      </c>
      <c r="B3767" t="s">
        <v>91</v>
      </c>
      <c r="C3767" t="s">
        <v>14</v>
      </c>
      <c r="D3767" t="s">
        <v>22</v>
      </c>
      <c r="E3767" t="s">
        <v>21</v>
      </c>
      <c r="F3767" t="s">
        <v>21</v>
      </c>
      <c r="G3767">
        <v>905</v>
      </c>
      <c r="H3767" s="1">
        <v>44670</v>
      </c>
      <c r="I3767">
        <v>2022</v>
      </c>
      <c r="J3767">
        <v>4</v>
      </c>
      <c r="K3767" t="s">
        <v>36</v>
      </c>
      <c r="L3767" t="s">
        <v>21</v>
      </c>
      <c r="M3767">
        <v>0</v>
      </c>
    </row>
    <row r="3768" spans="1:13" x14ac:dyDescent="0.25">
      <c r="A3768" t="s">
        <v>2527</v>
      </c>
      <c r="B3768" t="s">
        <v>140</v>
      </c>
      <c r="C3768" t="s">
        <v>14</v>
      </c>
      <c r="D3768" t="s">
        <v>46</v>
      </c>
      <c r="E3768" t="s">
        <v>21</v>
      </c>
      <c r="F3768">
        <v>0.11</v>
      </c>
      <c r="G3768">
        <v>152</v>
      </c>
      <c r="H3768" s="1">
        <v>44669</v>
      </c>
      <c r="I3768">
        <v>2022</v>
      </c>
      <c r="J3768">
        <v>4</v>
      </c>
      <c r="K3768" t="s">
        <v>36</v>
      </c>
      <c r="L3768">
        <v>0</v>
      </c>
      <c r="M3768">
        <v>1</v>
      </c>
    </row>
    <row r="3769" spans="1:13" x14ac:dyDescent="0.25">
      <c r="A3769" t="s">
        <v>2611</v>
      </c>
      <c r="B3769" t="s">
        <v>32</v>
      </c>
      <c r="C3769" t="s">
        <v>14</v>
      </c>
      <c r="D3769" t="s">
        <v>20</v>
      </c>
      <c r="E3769">
        <v>10</v>
      </c>
      <c r="F3769" t="s">
        <v>21</v>
      </c>
      <c r="G3769">
        <v>4</v>
      </c>
      <c r="H3769" s="1">
        <v>44666</v>
      </c>
      <c r="I3769">
        <v>2022</v>
      </c>
      <c r="J3769">
        <v>4</v>
      </c>
      <c r="K3769" t="s">
        <v>16</v>
      </c>
      <c r="L3769" t="s">
        <v>21</v>
      </c>
      <c r="M3769">
        <v>1</v>
      </c>
    </row>
    <row r="3770" spans="1:13" x14ac:dyDescent="0.25">
      <c r="A3770" t="s">
        <v>2612</v>
      </c>
      <c r="B3770" t="s">
        <v>35</v>
      </c>
      <c r="C3770" t="s">
        <v>14</v>
      </c>
      <c r="D3770" t="s">
        <v>22</v>
      </c>
      <c r="E3770" t="s">
        <v>21</v>
      </c>
      <c r="F3770">
        <v>1</v>
      </c>
      <c r="G3770">
        <v>2</v>
      </c>
      <c r="H3770" s="1">
        <v>44666</v>
      </c>
      <c r="I3770">
        <v>2022</v>
      </c>
      <c r="J3770">
        <v>4</v>
      </c>
      <c r="K3770" t="s">
        <v>16</v>
      </c>
      <c r="L3770">
        <v>1</v>
      </c>
      <c r="M3770">
        <v>1</v>
      </c>
    </row>
    <row r="3771" spans="1:13" x14ac:dyDescent="0.25">
      <c r="A3771" t="s">
        <v>2613</v>
      </c>
      <c r="B3771" t="s">
        <v>35</v>
      </c>
      <c r="C3771" t="s">
        <v>14</v>
      </c>
      <c r="D3771" t="s">
        <v>22</v>
      </c>
      <c r="E3771">
        <v>44</v>
      </c>
      <c r="F3771">
        <v>1</v>
      </c>
      <c r="G3771">
        <v>9</v>
      </c>
      <c r="H3771" s="1">
        <v>44665</v>
      </c>
      <c r="I3771">
        <v>2022</v>
      </c>
      <c r="J3771">
        <v>4</v>
      </c>
      <c r="K3771" t="s">
        <v>16</v>
      </c>
      <c r="L3771">
        <v>1</v>
      </c>
      <c r="M3771">
        <v>1</v>
      </c>
    </row>
    <row r="3772" spans="1:13" x14ac:dyDescent="0.25">
      <c r="A3772" t="s">
        <v>2222</v>
      </c>
      <c r="B3772" t="s">
        <v>35</v>
      </c>
      <c r="C3772" t="s">
        <v>14</v>
      </c>
      <c r="D3772" t="s">
        <v>55</v>
      </c>
      <c r="E3772" t="s">
        <v>21</v>
      </c>
      <c r="F3772" t="s">
        <v>21</v>
      </c>
      <c r="G3772">
        <v>255</v>
      </c>
      <c r="H3772" s="1">
        <v>44665</v>
      </c>
      <c r="I3772">
        <v>2022</v>
      </c>
      <c r="J3772">
        <v>4</v>
      </c>
      <c r="K3772" t="s">
        <v>36</v>
      </c>
      <c r="L3772" t="s">
        <v>21</v>
      </c>
      <c r="M3772">
        <v>0</v>
      </c>
    </row>
    <row r="3773" spans="1:13" x14ac:dyDescent="0.25">
      <c r="A3773" t="s">
        <v>691</v>
      </c>
      <c r="B3773" t="s">
        <v>66</v>
      </c>
      <c r="C3773" t="s">
        <v>14</v>
      </c>
      <c r="D3773" t="s">
        <v>55</v>
      </c>
      <c r="E3773">
        <v>100</v>
      </c>
      <c r="F3773">
        <v>0.14000000000000001</v>
      </c>
      <c r="G3773">
        <v>329</v>
      </c>
      <c r="H3773" s="1">
        <v>44663</v>
      </c>
      <c r="I3773">
        <v>2022</v>
      </c>
      <c r="J3773">
        <v>4</v>
      </c>
      <c r="K3773" t="s">
        <v>36</v>
      </c>
      <c r="L3773">
        <v>0</v>
      </c>
      <c r="M3773">
        <v>1</v>
      </c>
    </row>
    <row r="3774" spans="1:13" x14ac:dyDescent="0.25">
      <c r="A3774" t="s">
        <v>1480</v>
      </c>
      <c r="B3774" t="s">
        <v>24</v>
      </c>
      <c r="C3774" t="s">
        <v>48</v>
      </c>
      <c r="D3774" t="s">
        <v>43</v>
      </c>
      <c r="E3774">
        <v>150</v>
      </c>
      <c r="F3774" t="s">
        <v>21</v>
      </c>
      <c r="G3774">
        <v>1100</v>
      </c>
      <c r="H3774" s="1">
        <v>44662</v>
      </c>
      <c r="I3774">
        <v>2022</v>
      </c>
      <c r="J3774">
        <v>4</v>
      </c>
      <c r="K3774" t="s">
        <v>26</v>
      </c>
      <c r="L3774" t="s">
        <v>21</v>
      </c>
      <c r="M3774">
        <v>1</v>
      </c>
    </row>
    <row r="3775" spans="1:13" x14ac:dyDescent="0.25">
      <c r="A3775" t="s">
        <v>2552</v>
      </c>
      <c r="B3775" t="s">
        <v>95</v>
      </c>
      <c r="C3775" t="s">
        <v>14</v>
      </c>
      <c r="D3775" t="s">
        <v>20</v>
      </c>
      <c r="E3775">
        <v>20</v>
      </c>
      <c r="F3775">
        <v>0.1</v>
      </c>
      <c r="G3775">
        <v>176</v>
      </c>
      <c r="H3775" s="1">
        <v>44659</v>
      </c>
      <c r="I3775">
        <v>2022</v>
      </c>
      <c r="J3775">
        <v>4</v>
      </c>
      <c r="K3775" t="s">
        <v>36</v>
      </c>
      <c r="L3775">
        <v>0</v>
      </c>
      <c r="M3775">
        <v>1</v>
      </c>
    </row>
    <row r="3776" spans="1:13" x14ac:dyDescent="0.25">
      <c r="A3776" t="s">
        <v>713</v>
      </c>
      <c r="B3776" t="s">
        <v>106</v>
      </c>
      <c r="C3776" t="s">
        <v>48</v>
      </c>
      <c r="D3776" t="s">
        <v>347</v>
      </c>
      <c r="E3776">
        <v>1000</v>
      </c>
      <c r="F3776">
        <v>0.17</v>
      </c>
      <c r="G3776">
        <v>838</v>
      </c>
      <c r="H3776" s="1">
        <v>44658</v>
      </c>
      <c r="I3776">
        <v>2022</v>
      </c>
      <c r="J3776">
        <v>4</v>
      </c>
      <c r="K3776" t="s">
        <v>36</v>
      </c>
      <c r="L3776">
        <v>0</v>
      </c>
      <c r="M3776">
        <v>1</v>
      </c>
    </row>
    <row r="3777" spans="1:13" x14ac:dyDescent="0.25">
      <c r="A3777" t="s">
        <v>2614</v>
      </c>
      <c r="B3777" t="s">
        <v>95</v>
      </c>
      <c r="C3777" t="s">
        <v>174</v>
      </c>
      <c r="D3777" t="s">
        <v>15</v>
      </c>
      <c r="E3777">
        <v>70</v>
      </c>
      <c r="F3777" t="s">
        <v>21</v>
      </c>
      <c r="G3777">
        <v>16</v>
      </c>
      <c r="H3777" s="1">
        <v>44658</v>
      </c>
      <c r="I3777">
        <v>2022</v>
      </c>
      <c r="J3777">
        <v>4</v>
      </c>
      <c r="K3777" t="s">
        <v>30</v>
      </c>
      <c r="L3777" t="s">
        <v>21</v>
      </c>
      <c r="M3777">
        <v>1</v>
      </c>
    </row>
    <row r="3778" spans="1:13" x14ac:dyDescent="0.25">
      <c r="A3778" t="s">
        <v>2615</v>
      </c>
      <c r="B3778" t="s">
        <v>217</v>
      </c>
      <c r="C3778" t="s">
        <v>14</v>
      </c>
      <c r="D3778" t="s">
        <v>111</v>
      </c>
      <c r="E3778">
        <v>450</v>
      </c>
      <c r="F3778" t="s">
        <v>21</v>
      </c>
      <c r="G3778">
        <v>752</v>
      </c>
      <c r="H3778" s="1">
        <v>44656</v>
      </c>
      <c r="I3778">
        <v>2022</v>
      </c>
      <c r="J3778">
        <v>4</v>
      </c>
      <c r="K3778" t="s">
        <v>36</v>
      </c>
      <c r="L3778" t="s">
        <v>21</v>
      </c>
      <c r="M3778">
        <v>1</v>
      </c>
    </row>
    <row r="3779" spans="1:13" x14ac:dyDescent="0.25">
      <c r="A3779" t="s">
        <v>2616</v>
      </c>
      <c r="B3779" t="s">
        <v>77</v>
      </c>
      <c r="C3779" t="s">
        <v>14</v>
      </c>
      <c r="D3779" t="s">
        <v>33</v>
      </c>
      <c r="E3779" t="s">
        <v>21</v>
      </c>
      <c r="F3779">
        <v>1</v>
      </c>
      <c r="G3779">
        <v>124</v>
      </c>
      <c r="H3779" s="1">
        <v>44656</v>
      </c>
      <c r="I3779">
        <v>2022</v>
      </c>
      <c r="J3779">
        <v>4</v>
      </c>
      <c r="K3779" t="s">
        <v>36</v>
      </c>
      <c r="L3779">
        <v>1</v>
      </c>
      <c r="M3779">
        <v>1</v>
      </c>
    </row>
    <row r="3780" spans="1:13" x14ac:dyDescent="0.25">
      <c r="A3780" t="s">
        <v>2151</v>
      </c>
      <c r="B3780" t="s">
        <v>52</v>
      </c>
      <c r="C3780" t="s">
        <v>1926</v>
      </c>
      <c r="D3780" t="s">
        <v>49</v>
      </c>
      <c r="E3780">
        <v>75</v>
      </c>
      <c r="F3780">
        <v>0.25</v>
      </c>
      <c r="G3780" t="s">
        <v>21</v>
      </c>
      <c r="H3780" s="1">
        <v>44655</v>
      </c>
      <c r="I3780">
        <v>2022</v>
      </c>
      <c r="J3780">
        <v>4</v>
      </c>
      <c r="K3780" t="s">
        <v>22</v>
      </c>
      <c r="L3780">
        <v>0</v>
      </c>
      <c r="M3780">
        <v>1</v>
      </c>
    </row>
    <row r="3781" spans="1:13" x14ac:dyDescent="0.25">
      <c r="A3781" t="s">
        <v>2617</v>
      </c>
      <c r="B3781" t="s">
        <v>32</v>
      </c>
      <c r="C3781" t="s">
        <v>174</v>
      </c>
      <c r="D3781" t="s">
        <v>15</v>
      </c>
      <c r="E3781">
        <v>23</v>
      </c>
      <c r="F3781">
        <v>0.38</v>
      </c>
      <c r="G3781">
        <v>3</v>
      </c>
      <c r="H3781" s="1">
        <v>44655</v>
      </c>
      <c r="I3781">
        <v>2022</v>
      </c>
      <c r="J3781">
        <v>4</v>
      </c>
      <c r="K3781" t="s">
        <v>16</v>
      </c>
      <c r="L3781">
        <v>0</v>
      </c>
      <c r="M3781">
        <v>1</v>
      </c>
    </row>
    <row r="3782" spans="1:13" x14ac:dyDescent="0.25">
      <c r="A3782" t="s">
        <v>1730</v>
      </c>
      <c r="B3782" t="s">
        <v>77</v>
      </c>
      <c r="C3782" t="s">
        <v>29</v>
      </c>
      <c r="D3782" t="s">
        <v>33</v>
      </c>
      <c r="E3782">
        <v>20</v>
      </c>
      <c r="F3782" t="s">
        <v>21</v>
      </c>
      <c r="G3782">
        <v>42</v>
      </c>
      <c r="H3782" s="1">
        <v>44651</v>
      </c>
      <c r="I3782">
        <v>2022</v>
      </c>
      <c r="J3782">
        <v>3</v>
      </c>
      <c r="K3782" t="s">
        <v>30</v>
      </c>
      <c r="L3782" t="s">
        <v>21</v>
      </c>
      <c r="M3782">
        <v>1</v>
      </c>
    </row>
    <row r="3783" spans="1:13" x14ac:dyDescent="0.25">
      <c r="A3783" t="s">
        <v>2273</v>
      </c>
      <c r="B3783" t="s">
        <v>24</v>
      </c>
      <c r="C3783" t="s">
        <v>48</v>
      </c>
      <c r="D3783" t="s">
        <v>15</v>
      </c>
      <c r="E3783">
        <v>350</v>
      </c>
      <c r="F3783" t="s">
        <v>21</v>
      </c>
      <c r="G3783">
        <v>8600</v>
      </c>
      <c r="H3783" s="1">
        <v>44650</v>
      </c>
      <c r="I3783">
        <v>2022</v>
      </c>
      <c r="J3783">
        <v>3</v>
      </c>
      <c r="K3783" t="s">
        <v>26</v>
      </c>
      <c r="L3783" t="s">
        <v>21</v>
      </c>
      <c r="M3783">
        <v>1</v>
      </c>
    </row>
    <row r="3784" spans="1:13" x14ac:dyDescent="0.25">
      <c r="A3784" t="s">
        <v>2618</v>
      </c>
      <c r="B3784" t="s">
        <v>38</v>
      </c>
      <c r="C3784" t="s">
        <v>83</v>
      </c>
      <c r="D3784" t="s">
        <v>33</v>
      </c>
      <c r="E3784">
        <v>59</v>
      </c>
      <c r="F3784">
        <v>0.4</v>
      </c>
      <c r="G3784">
        <v>40</v>
      </c>
      <c r="H3784" s="1">
        <v>44650</v>
      </c>
      <c r="I3784">
        <v>2022</v>
      </c>
      <c r="J3784">
        <v>3</v>
      </c>
      <c r="K3784" t="s">
        <v>30</v>
      </c>
      <c r="L3784">
        <v>0</v>
      </c>
      <c r="M3784">
        <v>1</v>
      </c>
    </row>
    <row r="3785" spans="1:13" x14ac:dyDescent="0.25">
      <c r="A3785" t="s">
        <v>766</v>
      </c>
      <c r="B3785" t="s">
        <v>95</v>
      </c>
      <c r="C3785" t="s">
        <v>14</v>
      </c>
      <c r="D3785" t="s">
        <v>347</v>
      </c>
      <c r="E3785">
        <v>450</v>
      </c>
      <c r="F3785">
        <v>0.03</v>
      </c>
      <c r="G3785">
        <v>3400</v>
      </c>
      <c r="H3785" s="1">
        <v>44649</v>
      </c>
      <c r="I3785">
        <v>2022</v>
      </c>
      <c r="J3785">
        <v>3</v>
      </c>
      <c r="K3785" t="s">
        <v>26</v>
      </c>
      <c r="L3785">
        <v>0</v>
      </c>
      <c r="M3785">
        <v>1</v>
      </c>
    </row>
    <row r="3786" spans="1:13" x14ac:dyDescent="0.25">
      <c r="A3786" t="s">
        <v>1884</v>
      </c>
      <c r="B3786" t="s">
        <v>106</v>
      </c>
      <c r="C3786" t="s">
        <v>174</v>
      </c>
      <c r="D3786" t="s">
        <v>15</v>
      </c>
      <c r="E3786">
        <v>100</v>
      </c>
      <c r="F3786">
        <v>0.2</v>
      </c>
      <c r="G3786">
        <v>22</v>
      </c>
      <c r="H3786" s="1">
        <v>44649</v>
      </c>
      <c r="I3786">
        <v>2022</v>
      </c>
      <c r="J3786">
        <v>3</v>
      </c>
      <c r="K3786" t="s">
        <v>30</v>
      </c>
      <c r="L3786">
        <v>0</v>
      </c>
      <c r="M3786">
        <v>1</v>
      </c>
    </row>
    <row r="3787" spans="1:13" x14ac:dyDescent="0.25">
      <c r="A3787" t="s">
        <v>2619</v>
      </c>
      <c r="B3787" t="s">
        <v>24</v>
      </c>
      <c r="C3787" t="s">
        <v>48</v>
      </c>
      <c r="D3787" t="s">
        <v>55</v>
      </c>
      <c r="E3787">
        <v>180</v>
      </c>
      <c r="F3787" t="s">
        <v>21</v>
      </c>
      <c r="G3787">
        <v>228</v>
      </c>
      <c r="H3787" s="1">
        <v>44646</v>
      </c>
      <c r="I3787">
        <v>2022</v>
      </c>
      <c r="J3787">
        <v>3</v>
      </c>
      <c r="K3787" t="s">
        <v>36</v>
      </c>
      <c r="L3787" t="s">
        <v>21</v>
      </c>
      <c r="M3787">
        <v>1</v>
      </c>
    </row>
    <row r="3788" spans="1:13" x14ac:dyDescent="0.25">
      <c r="A3788" t="s">
        <v>2620</v>
      </c>
      <c r="B3788" t="s">
        <v>24</v>
      </c>
      <c r="C3788" t="s">
        <v>14</v>
      </c>
      <c r="D3788" t="s">
        <v>111</v>
      </c>
      <c r="E3788" t="s">
        <v>21</v>
      </c>
      <c r="F3788">
        <v>0.17</v>
      </c>
      <c r="G3788">
        <v>474</v>
      </c>
      <c r="H3788" s="1">
        <v>44639</v>
      </c>
      <c r="I3788">
        <v>2022</v>
      </c>
      <c r="J3788">
        <v>3</v>
      </c>
      <c r="K3788" t="s">
        <v>36</v>
      </c>
      <c r="L3788">
        <v>0</v>
      </c>
      <c r="M3788">
        <v>1</v>
      </c>
    </row>
    <row r="3789" spans="1:13" x14ac:dyDescent="0.25">
      <c r="A3789" t="s">
        <v>879</v>
      </c>
      <c r="B3789" t="s">
        <v>32</v>
      </c>
      <c r="C3789" t="s">
        <v>161</v>
      </c>
      <c r="D3789" t="s">
        <v>15</v>
      </c>
      <c r="E3789">
        <v>100</v>
      </c>
      <c r="F3789">
        <v>0.1</v>
      </c>
      <c r="G3789">
        <v>275</v>
      </c>
      <c r="H3789" s="1">
        <v>44637</v>
      </c>
      <c r="I3789">
        <v>2022</v>
      </c>
      <c r="J3789">
        <v>3</v>
      </c>
      <c r="K3789" t="s">
        <v>36</v>
      </c>
      <c r="L3789">
        <v>0</v>
      </c>
      <c r="M3789">
        <v>1</v>
      </c>
    </row>
    <row r="3790" spans="1:13" x14ac:dyDescent="0.25">
      <c r="A3790" t="s">
        <v>2621</v>
      </c>
      <c r="B3790" t="s">
        <v>35</v>
      </c>
      <c r="C3790" t="s">
        <v>14</v>
      </c>
      <c r="D3790" t="s">
        <v>55</v>
      </c>
      <c r="E3790">
        <v>150</v>
      </c>
      <c r="F3790" t="s">
        <v>21</v>
      </c>
      <c r="G3790">
        <v>19</v>
      </c>
      <c r="H3790" s="1">
        <v>44636</v>
      </c>
      <c r="I3790">
        <v>2022</v>
      </c>
      <c r="J3790">
        <v>3</v>
      </c>
      <c r="K3790" t="s">
        <v>30</v>
      </c>
      <c r="L3790" t="s">
        <v>21</v>
      </c>
      <c r="M3790">
        <v>1</v>
      </c>
    </row>
    <row r="3791" spans="1:13" x14ac:dyDescent="0.25">
      <c r="A3791" t="s">
        <v>2622</v>
      </c>
      <c r="B3791" t="s">
        <v>24</v>
      </c>
      <c r="C3791" t="s">
        <v>48</v>
      </c>
      <c r="D3791" t="s">
        <v>33</v>
      </c>
      <c r="E3791">
        <v>300</v>
      </c>
      <c r="F3791">
        <v>0.5</v>
      </c>
      <c r="G3791">
        <v>62</v>
      </c>
      <c r="H3791" s="1">
        <v>44635</v>
      </c>
      <c r="I3791">
        <v>2022</v>
      </c>
      <c r="J3791">
        <v>3</v>
      </c>
      <c r="K3791" t="s">
        <v>30</v>
      </c>
      <c r="L3791">
        <v>0</v>
      </c>
      <c r="M3791">
        <v>1</v>
      </c>
    </row>
    <row r="3792" spans="1:13" x14ac:dyDescent="0.25">
      <c r="A3792" t="s">
        <v>2623</v>
      </c>
      <c r="B3792" t="s">
        <v>91</v>
      </c>
      <c r="C3792" t="s">
        <v>14</v>
      </c>
      <c r="D3792" t="s">
        <v>22</v>
      </c>
      <c r="E3792">
        <v>115</v>
      </c>
      <c r="F3792">
        <v>0.46</v>
      </c>
      <c r="G3792">
        <v>654</v>
      </c>
      <c r="H3792" s="1">
        <v>44635</v>
      </c>
      <c r="I3792">
        <v>2022</v>
      </c>
      <c r="J3792">
        <v>3</v>
      </c>
      <c r="K3792" t="s">
        <v>36</v>
      </c>
      <c r="L3792">
        <v>0</v>
      </c>
      <c r="M3792">
        <v>1</v>
      </c>
    </row>
    <row r="3793" spans="1:13" x14ac:dyDescent="0.25">
      <c r="A3793" t="s">
        <v>2624</v>
      </c>
      <c r="B3793" t="s">
        <v>35</v>
      </c>
      <c r="C3793" t="s">
        <v>14</v>
      </c>
      <c r="D3793" t="s">
        <v>15</v>
      </c>
      <c r="E3793" t="s">
        <v>21</v>
      </c>
      <c r="F3793">
        <v>0.25</v>
      </c>
      <c r="G3793">
        <v>8</v>
      </c>
      <c r="H3793" s="1">
        <v>44635</v>
      </c>
      <c r="I3793">
        <v>2022</v>
      </c>
      <c r="J3793">
        <v>3</v>
      </c>
      <c r="K3793" t="s">
        <v>16</v>
      </c>
      <c r="L3793">
        <v>0</v>
      </c>
      <c r="M3793">
        <v>1</v>
      </c>
    </row>
    <row r="3794" spans="1:13" x14ac:dyDescent="0.25">
      <c r="A3794" t="s">
        <v>2625</v>
      </c>
      <c r="B3794" t="s">
        <v>77</v>
      </c>
      <c r="C3794" t="s">
        <v>14</v>
      </c>
      <c r="D3794" t="s">
        <v>15</v>
      </c>
      <c r="E3794" t="s">
        <v>21</v>
      </c>
      <c r="F3794">
        <v>0.2</v>
      </c>
      <c r="G3794">
        <v>301</v>
      </c>
      <c r="H3794" s="1">
        <v>44630</v>
      </c>
      <c r="I3794">
        <v>2022</v>
      </c>
      <c r="J3794">
        <v>3</v>
      </c>
      <c r="K3794" t="s">
        <v>36</v>
      </c>
      <c r="L3794">
        <v>0</v>
      </c>
      <c r="M3794">
        <v>1</v>
      </c>
    </row>
    <row r="3795" spans="1:13" x14ac:dyDescent="0.25">
      <c r="A3795" t="s">
        <v>1183</v>
      </c>
      <c r="B3795" t="s">
        <v>91</v>
      </c>
      <c r="C3795" t="s">
        <v>14</v>
      </c>
      <c r="D3795" t="s">
        <v>22</v>
      </c>
      <c r="E3795">
        <v>3000</v>
      </c>
      <c r="F3795">
        <v>0.33</v>
      </c>
      <c r="G3795">
        <v>905</v>
      </c>
      <c r="H3795" s="1">
        <v>44628</v>
      </c>
      <c r="I3795">
        <v>2022</v>
      </c>
      <c r="J3795">
        <v>3</v>
      </c>
      <c r="K3795" t="s">
        <v>36</v>
      </c>
      <c r="L3795">
        <v>0</v>
      </c>
      <c r="M3795">
        <v>1</v>
      </c>
    </row>
    <row r="3796" spans="1:13" x14ac:dyDescent="0.25">
      <c r="A3796" t="s">
        <v>2626</v>
      </c>
      <c r="B3796" t="s">
        <v>35</v>
      </c>
      <c r="C3796" t="s">
        <v>14</v>
      </c>
      <c r="D3796" t="s">
        <v>15</v>
      </c>
      <c r="E3796">
        <v>100</v>
      </c>
      <c r="F3796">
        <v>0.12</v>
      </c>
      <c r="G3796">
        <v>406</v>
      </c>
      <c r="H3796" s="1">
        <v>44628</v>
      </c>
      <c r="I3796">
        <v>2022</v>
      </c>
      <c r="J3796">
        <v>3</v>
      </c>
      <c r="K3796" t="s">
        <v>36</v>
      </c>
      <c r="L3796">
        <v>0</v>
      </c>
      <c r="M3796">
        <v>1</v>
      </c>
    </row>
    <row r="3797" spans="1:13" x14ac:dyDescent="0.25">
      <c r="A3797" t="s">
        <v>2627</v>
      </c>
      <c r="B3797" t="s">
        <v>38</v>
      </c>
      <c r="C3797" t="s">
        <v>14</v>
      </c>
      <c r="D3797" t="s">
        <v>111</v>
      </c>
      <c r="E3797">
        <v>100</v>
      </c>
      <c r="F3797">
        <v>0.25</v>
      </c>
      <c r="G3797">
        <v>289</v>
      </c>
      <c r="H3797" s="1">
        <v>44623</v>
      </c>
      <c r="I3797">
        <v>2022</v>
      </c>
      <c r="J3797">
        <v>3</v>
      </c>
      <c r="K3797" t="s">
        <v>36</v>
      </c>
      <c r="L3797">
        <v>0</v>
      </c>
      <c r="M3797">
        <v>1</v>
      </c>
    </row>
    <row r="3798" spans="1:13" x14ac:dyDescent="0.25">
      <c r="A3798" t="s">
        <v>2628</v>
      </c>
      <c r="B3798" t="s">
        <v>35</v>
      </c>
      <c r="C3798" t="s">
        <v>657</v>
      </c>
      <c r="D3798" t="s">
        <v>43</v>
      </c>
      <c r="E3798">
        <v>500</v>
      </c>
      <c r="F3798" t="s">
        <v>21</v>
      </c>
      <c r="G3798">
        <v>1400</v>
      </c>
      <c r="H3798" s="1">
        <v>44622</v>
      </c>
      <c r="I3798">
        <v>2022</v>
      </c>
      <c r="J3798">
        <v>3</v>
      </c>
      <c r="K3798" t="s">
        <v>26</v>
      </c>
      <c r="L3798" t="s">
        <v>21</v>
      </c>
      <c r="M3798">
        <v>1</v>
      </c>
    </row>
    <row r="3799" spans="1:13" x14ac:dyDescent="0.25">
      <c r="A3799" t="s">
        <v>1286</v>
      </c>
      <c r="B3799" t="s">
        <v>24</v>
      </c>
      <c r="C3799" t="s">
        <v>14</v>
      </c>
      <c r="D3799" t="s">
        <v>15</v>
      </c>
      <c r="E3799">
        <v>190</v>
      </c>
      <c r="F3799">
        <v>0.15</v>
      </c>
      <c r="G3799">
        <v>1600</v>
      </c>
      <c r="H3799" s="1">
        <v>44621</v>
      </c>
      <c r="I3799">
        <v>2022</v>
      </c>
      <c r="J3799">
        <v>3</v>
      </c>
      <c r="K3799" t="s">
        <v>26</v>
      </c>
      <c r="L3799">
        <v>0</v>
      </c>
      <c r="M3799">
        <v>1</v>
      </c>
    </row>
    <row r="3800" spans="1:13" x14ac:dyDescent="0.25">
      <c r="A3800" t="s">
        <v>2100</v>
      </c>
      <c r="B3800" t="s">
        <v>207</v>
      </c>
      <c r="C3800" t="s">
        <v>14</v>
      </c>
      <c r="D3800" t="s">
        <v>81</v>
      </c>
      <c r="E3800" t="s">
        <v>21</v>
      </c>
      <c r="F3800" t="s">
        <v>21</v>
      </c>
      <c r="G3800">
        <v>200</v>
      </c>
      <c r="H3800" s="1">
        <v>44617</v>
      </c>
      <c r="I3800">
        <v>2022</v>
      </c>
      <c r="J3800">
        <v>2</v>
      </c>
      <c r="K3800" t="s">
        <v>36</v>
      </c>
      <c r="L3800" t="s">
        <v>21</v>
      </c>
      <c r="M3800">
        <v>0</v>
      </c>
    </row>
    <row r="3801" spans="1:13" x14ac:dyDescent="0.25">
      <c r="A3801" t="s">
        <v>2629</v>
      </c>
      <c r="B3801" t="s">
        <v>77</v>
      </c>
      <c r="C3801" t="s">
        <v>48</v>
      </c>
      <c r="D3801" t="s">
        <v>33</v>
      </c>
      <c r="E3801">
        <v>30</v>
      </c>
      <c r="F3801" t="s">
        <v>21</v>
      </c>
      <c r="G3801">
        <v>85</v>
      </c>
      <c r="H3801" s="1">
        <v>44616</v>
      </c>
      <c r="I3801">
        <v>2022</v>
      </c>
      <c r="J3801">
        <v>2</v>
      </c>
      <c r="K3801" t="s">
        <v>30</v>
      </c>
      <c r="L3801" t="s">
        <v>21</v>
      </c>
      <c r="M3801">
        <v>1</v>
      </c>
    </row>
    <row r="3802" spans="1:13" x14ac:dyDescent="0.25">
      <c r="A3802" t="s">
        <v>2630</v>
      </c>
      <c r="B3802" t="s">
        <v>106</v>
      </c>
      <c r="C3802" t="s">
        <v>48</v>
      </c>
      <c r="D3802" t="s">
        <v>68</v>
      </c>
      <c r="E3802">
        <v>150</v>
      </c>
      <c r="F3802" t="s">
        <v>21</v>
      </c>
      <c r="G3802">
        <v>24</v>
      </c>
      <c r="H3802" s="1">
        <v>44613</v>
      </c>
      <c r="I3802">
        <v>2022</v>
      </c>
      <c r="J3802">
        <v>2</v>
      </c>
      <c r="K3802" t="s">
        <v>30</v>
      </c>
      <c r="L3802" t="s">
        <v>21</v>
      </c>
      <c r="M3802">
        <v>1</v>
      </c>
    </row>
    <row r="3803" spans="1:13" x14ac:dyDescent="0.25">
      <c r="A3803" t="s">
        <v>2631</v>
      </c>
      <c r="B3803" t="s">
        <v>66</v>
      </c>
      <c r="C3803" t="s">
        <v>14</v>
      </c>
      <c r="D3803" t="s">
        <v>22</v>
      </c>
      <c r="E3803">
        <v>111</v>
      </c>
      <c r="F3803">
        <v>0.5</v>
      </c>
      <c r="G3803">
        <v>368</v>
      </c>
      <c r="H3803" s="1">
        <v>44613</v>
      </c>
      <c r="I3803">
        <v>2022</v>
      </c>
      <c r="J3803">
        <v>2</v>
      </c>
      <c r="K3803" t="s">
        <v>36</v>
      </c>
      <c r="L3803">
        <v>0</v>
      </c>
      <c r="M3803">
        <v>1</v>
      </c>
    </row>
    <row r="3804" spans="1:13" x14ac:dyDescent="0.25">
      <c r="A3804" t="s">
        <v>2632</v>
      </c>
      <c r="B3804" t="s">
        <v>77</v>
      </c>
      <c r="C3804" t="s">
        <v>161</v>
      </c>
      <c r="D3804" t="s">
        <v>20</v>
      </c>
      <c r="E3804">
        <v>120</v>
      </c>
      <c r="F3804" t="s">
        <v>21</v>
      </c>
      <c r="G3804">
        <v>28</v>
      </c>
      <c r="H3804" s="1">
        <v>44609</v>
      </c>
      <c r="I3804">
        <v>2022</v>
      </c>
      <c r="J3804">
        <v>2</v>
      </c>
      <c r="K3804" t="s">
        <v>30</v>
      </c>
      <c r="L3804" t="s">
        <v>21</v>
      </c>
      <c r="M3804">
        <v>1</v>
      </c>
    </row>
    <row r="3805" spans="1:13" x14ac:dyDescent="0.25">
      <c r="A3805" t="s">
        <v>2633</v>
      </c>
      <c r="B3805" t="s">
        <v>95</v>
      </c>
      <c r="C3805" t="s">
        <v>230</v>
      </c>
      <c r="D3805" t="s">
        <v>55</v>
      </c>
      <c r="E3805">
        <v>100</v>
      </c>
      <c r="F3805">
        <v>0.15</v>
      </c>
      <c r="G3805">
        <v>118</v>
      </c>
      <c r="H3805" s="1">
        <v>44608</v>
      </c>
      <c r="I3805">
        <v>2022</v>
      </c>
      <c r="J3805">
        <v>2</v>
      </c>
      <c r="K3805" t="s">
        <v>36</v>
      </c>
      <c r="L3805">
        <v>0</v>
      </c>
      <c r="M3805">
        <v>1</v>
      </c>
    </row>
    <row r="3806" spans="1:13" x14ac:dyDescent="0.25">
      <c r="A3806" t="s">
        <v>799</v>
      </c>
      <c r="B3806" t="s">
        <v>91</v>
      </c>
      <c r="C3806" t="s">
        <v>14</v>
      </c>
      <c r="D3806" t="s">
        <v>33</v>
      </c>
      <c r="E3806">
        <v>119</v>
      </c>
      <c r="F3806">
        <v>0.28999999999999998</v>
      </c>
      <c r="G3806">
        <v>35</v>
      </c>
      <c r="H3806" s="1">
        <v>44606</v>
      </c>
      <c r="I3806">
        <v>2022</v>
      </c>
      <c r="J3806">
        <v>2</v>
      </c>
      <c r="K3806" t="s">
        <v>30</v>
      </c>
      <c r="L3806">
        <v>0</v>
      </c>
      <c r="M3806">
        <v>1</v>
      </c>
    </row>
    <row r="3807" spans="1:13" x14ac:dyDescent="0.25">
      <c r="A3807" t="s">
        <v>780</v>
      </c>
      <c r="B3807" t="s">
        <v>13</v>
      </c>
      <c r="C3807" t="s">
        <v>80</v>
      </c>
      <c r="D3807" t="s">
        <v>55</v>
      </c>
      <c r="E3807">
        <v>138</v>
      </c>
      <c r="F3807">
        <v>0.12</v>
      </c>
      <c r="G3807">
        <v>1000</v>
      </c>
      <c r="H3807" s="1">
        <v>44602</v>
      </c>
      <c r="I3807">
        <v>2022</v>
      </c>
      <c r="J3807">
        <v>2</v>
      </c>
      <c r="K3807" t="s">
        <v>26</v>
      </c>
      <c r="L3807">
        <v>0</v>
      </c>
      <c r="M3807">
        <v>1</v>
      </c>
    </row>
    <row r="3808" spans="1:13" x14ac:dyDescent="0.25">
      <c r="A3808" t="s">
        <v>2336</v>
      </c>
      <c r="B3808" t="s">
        <v>95</v>
      </c>
      <c r="C3808" t="s">
        <v>14</v>
      </c>
      <c r="D3808" t="s">
        <v>55</v>
      </c>
      <c r="E3808">
        <v>60</v>
      </c>
      <c r="F3808">
        <v>0.2</v>
      </c>
      <c r="G3808">
        <v>120</v>
      </c>
      <c r="H3808" s="1">
        <v>44602</v>
      </c>
      <c r="I3808">
        <v>2022</v>
      </c>
      <c r="J3808">
        <v>2</v>
      </c>
      <c r="K3808" t="s">
        <v>36</v>
      </c>
      <c r="L3808">
        <v>0</v>
      </c>
      <c r="M3808">
        <v>1</v>
      </c>
    </row>
    <row r="3809" spans="1:13" x14ac:dyDescent="0.25">
      <c r="A3809" t="s">
        <v>272</v>
      </c>
      <c r="B3809" t="s">
        <v>207</v>
      </c>
      <c r="C3809" t="s">
        <v>14</v>
      </c>
      <c r="D3809" t="s">
        <v>15</v>
      </c>
      <c r="E3809">
        <v>2800</v>
      </c>
      <c r="F3809">
        <v>0.2</v>
      </c>
      <c r="G3809">
        <v>1900</v>
      </c>
      <c r="H3809" s="1">
        <v>44600</v>
      </c>
      <c r="I3809">
        <v>2022</v>
      </c>
      <c r="J3809">
        <v>2</v>
      </c>
      <c r="K3809" t="s">
        <v>26</v>
      </c>
      <c r="L3809">
        <v>0</v>
      </c>
      <c r="M3809">
        <v>1</v>
      </c>
    </row>
    <row r="3810" spans="1:13" x14ac:dyDescent="0.25">
      <c r="A3810" t="s">
        <v>2634</v>
      </c>
      <c r="B3810" t="s">
        <v>38</v>
      </c>
      <c r="C3810" t="s">
        <v>14</v>
      </c>
      <c r="D3810" t="s">
        <v>33</v>
      </c>
      <c r="E3810" t="s">
        <v>21</v>
      </c>
      <c r="F3810" t="s">
        <v>21</v>
      </c>
      <c r="G3810">
        <v>78</v>
      </c>
      <c r="H3810" s="1">
        <v>44599</v>
      </c>
      <c r="I3810">
        <v>2022</v>
      </c>
      <c r="J3810">
        <v>2</v>
      </c>
      <c r="K3810" t="s">
        <v>30</v>
      </c>
      <c r="L3810" t="s">
        <v>21</v>
      </c>
      <c r="M3810">
        <v>0</v>
      </c>
    </row>
    <row r="3811" spans="1:13" x14ac:dyDescent="0.25">
      <c r="A3811" t="s">
        <v>2635</v>
      </c>
      <c r="B3811" t="s">
        <v>91</v>
      </c>
      <c r="C3811" t="s">
        <v>14</v>
      </c>
      <c r="D3811" t="s">
        <v>22</v>
      </c>
      <c r="E3811">
        <v>57</v>
      </c>
      <c r="F3811">
        <v>0.2</v>
      </c>
      <c r="G3811">
        <v>133</v>
      </c>
      <c r="H3811" s="1">
        <v>44595</v>
      </c>
      <c r="I3811">
        <v>2022</v>
      </c>
      <c r="J3811">
        <v>2</v>
      </c>
      <c r="K3811" t="s">
        <v>36</v>
      </c>
      <c r="L3811">
        <v>0</v>
      </c>
      <c r="M3811">
        <v>1</v>
      </c>
    </row>
    <row r="3812" spans="1:13" x14ac:dyDescent="0.25">
      <c r="A3812" t="s">
        <v>766</v>
      </c>
      <c r="B3812" t="s">
        <v>95</v>
      </c>
      <c r="C3812" t="s">
        <v>14</v>
      </c>
      <c r="D3812" t="s">
        <v>347</v>
      </c>
      <c r="E3812">
        <v>100</v>
      </c>
      <c r="F3812" t="s">
        <v>21</v>
      </c>
      <c r="G3812">
        <v>3400</v>
      </c>
      <c r="H3812" s="1">
        <v>44587</v>
      </c>
      <c r="I3812">
        <v>2022</v>
      </c>
      <c r="J3812">
        <v>1</v>
      </c>
      <c r="K3812" t="s">
        <v>26</v>
      </c>
      <c r="L3812" t="s">
        <v>21</v>
      </c>
      <c r="M3812">
        <v>1</v>
      </c>
    </row>
    <row r="3813" spans="1:13" x14ac:dyDescent="0.25">
      <c r="A3813" t="s">
        <v>262</v>
      </c>
      <c r="B3813" t="s">
        <v>18</v>
      </c>
      <c r="C3813" t="s">
        <v>14</v>
      </c>
      <c r="D3813" t="s">
        <v>111</v>
      </c>
      <c r="E3813">
        <v>80</v>
      </c>
      <c r="F3813">
        <v>0.33</v>
      </c>
      <c r="G3813">
        <v>266</v>
      </c>
      <c r="H3813" s="1">
        <v>44587</v>
      </c>
      <c r="I3813">
        <v>2022</v>
      </c>
      <c r="J3813">
        <v>1</v>
      </c>
      <c r="K3813" t="s">
        <v>36</v>
      </c>
      <c r="L3813">
        <v>0</v>
      </c>
      <c r="M3813">
        <v>1</v>
      </c>
    </row>
    <row r="3814" spans="1:13" x14ac:dyDescent="0.25">
      <c r="A3814" t="s">
        <v>2119</v>
      </c>
      <c r="B3814" t="s">
        <v>77</v>
      </c>
      <c r="C3814" t="s">
        <v>14</v>
      </c>
      <c r="D3814" t="s">
        <v>15</v>
      </c>
      <c r="E3814">
        <v>330</v>
      </c>
      <c r="F3814" t="s">
        <v>21</v>
      </c>
      <c r="G3814">
        <v>527</v>
      </c>
      <c r="H3814" s="1">
        <v>44581</v>
      </c>
      <c r="I3814">
        <v>2022</v>
      </c>
      <c r="J3814">
        <v>1</v>
      </c>
      <c r="K3814" t="s">
        <v>36</v>
      </c>
      <c r="L3814" t="s">
        <v>21</v>
      </c>
      <c r="M3814">
        <v>1</v>
      </c>
    </row>
    <row r="3815" spans="1:13" x14ac:dyDescent="0.25">
      <c r="A3815" t="s">
        <v>2636</v>
      </c>
      <c r="B3815" t="s">
        <v>13</v>
      </c>
      <c r="C3815" t="s">
        <v>48</v>
      </c>
      <c r="D3815" t="s">
        <v>49</v>
      </c>
      <c r="E3815" t="s">
        <v>21</v>
      </c>
      <c r="F3815">
        <v>1</v>
      </c>
      <c r="G3815">
        <v>9</v>
      </c>
      <c r="H3815" s="1">
        <v>44581</v>
      </c>
      <c r="I3815">
        <v>2022</v>
      </c>
      <c r="J3815">
        <v>1</v>
      </c>
      <c r="K3815" t="s">
        <v>16</v>
      </c>
      <c r="L3815">
        <v>1</v>
      </c>
      <c r="M3815">
        <v>1</v>
      </c>
    </row>
    <row r="3816" spans="1:13" x14ac:dyDescent="0.25">
      <c r="A3816" t="s">
        <v>2218</v>
      </c>
      <c r="B3816" t="s">
        <v>66</v>
      </c>
      <c r="C3816" t="s">
        <v>14</v>
      </c>
      <c r="D3816" t="s">
        <v>20</v>
      </c>
      <c r="E3816" t="s">
        <v>21</v>
      </c>
      <c r="F3816">
        <v>0.25</v>
      </c>
      <c r="G3816">
        <v>8</v>
      </c>
      <c r="H3816" s="1">
        <v>44569</v>
      </c>
      <c r="I3816">
        <v>2022</v>
      </c>
      <c r="J3816">
        <v>1</v>
      </c>
      <c r="K3816" t="s">
        <v>16</v>
      </c>
      <c r="L3816">
        <v>0</v>
      </c>
      <c r="M3816">
        <v>1</v>
      </c>
    </row>
    <row r="3817" spans="1:13" x14ac:dyDescent="0.25">
      <c r="A3817" t="s">
        <v>692</v>
      </c>
      <c r="B3817" t="s">
        <v>95</v>
      </c>
      <c r="C3817" t="s">
        <v>83</v>
      </c>
      <c r="D3817" t="s">
        <v>15</v>
      </c>
      <c r="E3817">
        <v>300</v>
      </c>
      <c r="F3817" t="s">
        <v>21</v>
      </c>
      <c r="G3817">
        <v>8300</v>
      </c>
      <c r="H3817" s="1">
        <v>44552</v>
      </c>
      <c r="I3817">
        <v>2021</v>
      </c>
      <c r="J3817">
        <v>12</v>
      </c>
      <c r="K3817" t="s">
        <v>26</v>
      </c>
      <c r="L3817" t="s">
        <v>21</v>
      </c>
      <c r="M3817">
        <v>1</v>
      </c>
    </row>
    <row r="3818" spans="1:13" x14ac:dyDescent="0.25">
      <c r="A3818" t="s">
        <v>2100</v>
      </c>
      <c r="B3818" t="s">
        <v>207</v>
      </c>
      <c r="C3818" t="s">
        <v>14</v>
      </c>
      <c r="D3818" t="s">
        <v>81</v>
      </c>
      <c r="E3818" t="s">
        <v>21</v>
      </c>
      <c r="F3818" t="s">
        <v>21</v>
      </c>
      <c r="G3818">
        <v>200</v>
      </c>
      <c r="H3818" s="1">
        <v>44538</v>
      </c>
      <c r="I3818">
        <v>2021</v>
      </c>
      <c r="J3818">
        <v>12</v>
      </c>
      <c r="K3818" t="s">
        <v>36</v>
      </c>
      <c r="L3818" t="s">
        <v>21</v>
      </c>
      <c r="M3818">
        <v>0</v>
      </c>
    </row>
    <row r="3819" spans="1:13" x14ac:dyDescent="0.25">
      <c r="A3819" t="s">
        <v>1183</v>
      </c>
      <c r="B3819" t="s">
        <v>91</v>
      </c>
      <c r="C3819" t="s">
        <v>14</v>
      </c>
      <c r="D3819" t="s">
        <v>22</v>
      </c>
      <c r="E3819">
        <v>900</v>
      </c>
      <c r="F3819">
        <v>0.09</v>
      </c>
      <c r="G3819">
        <v>905</v>
      </c>
      <c r="H3819" s="1">
        <v>44531</v>
      </c>
      <c r="I3819">
        <v>2021</v>
      </c>
      <c r="J3819">
        <v>12</v>
      </c>
      <c r="K3819" t="s">
        <v>36</v>
      </c>
      <c r="L3819">
        <v>0</v>
      </c>
      <c r="M3819">
        <v>1</v>
      </c>
    </row>
    <row r="3820" spans="1:13" x14ac:dyDescent="0.25">
      <c r="A3820" t="s">
        <v>2637</v>
      </c>
      <c r="B3820" t="s">
        <v>38</v>
      </c>
      <c r="C3820" t="s">
        <v>14</v>
      </c>
      <c r="D3820" t="s">
        <v>20</v>
      </c>
      <c r="E3820">
        <v>70</v>
      </c>
      <c r="F3820">
        <v>0.27</v>
      </c>
      <c r="G3820">
        <v>46</v>
      </c>
      <c r="H3820" s="1">
        <v>44518</v>
      </c>
      <c r="I3820">
        <v>2021</v>
      </c>
      <c r="J3820">
        <v>11</v>
      </c>
      <c r="K3820" t="s">
        <v>30</v>
      </c>
      <c r="L3820">
        <v>0</v>
      </c>
      <c r="M3820">
        <v>1</v>
      </c>
    </row>
    <row r="3821" spans="1:13" x14ac:dyDescent="0.25">
      <c r="A3821" t="s">
        <v>268</v>
      </c>
      <c r="B3821" t="s">
        <v>91</v>
      </c>
      <c r="C3821" t="s">
        <v>14</v>
      </c>
      <c r="D3821" t="s">
        <v>15</v>
      </c>
      <c r="E3821">
        <v>2000</v>
      </c>
      <c r="F3821">
        <v>0.25</v>
      </c>
      <c r="G3821">
        <v>97</v>
      </c>
      <c r="H3821" s="1">
        <v>44502</v>
      </c>
      <c r="I3821">
        <v>2021</v>
      </c>
      <c r="J3821">
        <v>11</v>
      </c>
      <c r="K3821" t="s">
        <v>30</v>
      </c>
      <c r="L3821">
        <v>0</v>
      </c>
      <c r="M3821">
        <v>1</v>
      </c>
    </row>
    <row r="3822" spans="1:13" x14ac:dyDescent="0.25">
      <c r="A3822" t="s">
        <v>995</v>
      </c>
      <c r="B3822" t="s">
        <v>114</v>
      </c>
      <c r="C3822" t="s">
        <v>14</v>
      </c>
      <c r="D3822" t="s">
        <v>22</v>
      </c>
      <c r="E3822">
        <v>22</v>
      </c>
      <c r="F3822" t="s">
        <v>21</v>
      </c>
      <c r="G3822">
        <v>356</v>
      </c>
      <c r="H3822" s="1">
        <v>44474</v>
      </c>
      <c r="I3822">
        <v>2021</v>
      </c>
      <c r="J3822">
        <v>10</v>
      </c>
      <c r="K3822" t="s">
        <v>36</v>
      </c>
      <c r="L3822" t="s">
        <v>21</v>
      </c>
      <c r="M3822">
        <v>1</v>
      </c>
    </row>
    <row r="3823" spans="1:13" x14ac:dyDescent="0.25">
      <c r="A3823" t="s">
        <v>2638</v>
      </c>
      <c r="B3823" t="s">
        <v>32</v>
      </c>
      <c r="C3823" t="s">
        <v>14</v>
      </c>
      <c r="D3823" t="s">
        <v>46</v>
      </c>
      <c r="E3823" t="s">
        <v>21</v>
      </c>
      <c r="F3823">
        <v>1</v>
      </c>
      <c r="G3823">
        <v>70</v>
      </c>
      <c r="H3823" s="1">
        <v>44470</v>
      </c>
      <c r="I3823">
        <v>2021</v>
      </c>
      <c r="J3823">
        <v>10</v>
      </c>
      <c r="K3823" t="s">
        <v>30</v>
      </c>
      <c r="L3823">
        <v>1</v>
      </c>
      <c r="M3823">
        <v>1</v>
      </c>
    </row>
    <row r="3824" spans="1:13" x14ac:dyDescent="0.25">
      <c r="A3824" t="s">
        <v>1489</v>
      </c>
      <c r="B3824" t="s">
        <v>13</v>
      </c>
      <c r="C3824" t="s">
        <v>14</v>
      </c>
      <c r="D3824" t="s">
        <v>15</v>
      </c>
      <c r="E3824">
        <v>120</v>
      </c>
      <c r="F3824" t="s">
        <v>21</v>
      </c>
      <c r="G3824">
        <v>974</v>
      </c>
      <c r="H3824" s="1">
        <v>44462</v>
      </c>
      <c r="I3824">
        <v>2021</v>
      </c>
      <c r="J3824">
        <v>9</v>
      </c>
      <c r="K3824" t="s">
        <v>36</v>
      </c>
      <c r="L3824" t="s">
        <v>21</v>
      </c>
      <c r="M3824">
        <v>1</v>
      </c>
    </row>
    <row r="3825" spans="1:13" x14ac:dyDescent="0.25">
      <c r="A3825" t="s">
        <v>2363</v>
      </c>
      <c r="B3825" t="s">
        <v>95</v>
      </c>
      <c r="C3825" t="s">
        <v>14</v>
      </c>
      <c r="D3825" t="s">
        <v>55</v>
      </c>
      <c r="E3825" t="s">
        <v>21</v>
      </c>
      <c r="F3825" t="s">
        <v>21</v>
      </c>
      <c r="G3825">
        <v>229</v>
      </c>
      <c r="H3825" s="1">
        <v>44461</v>
      </c>
      <c r="I3825">
        <v>2021</v>
      </c>
      <c r="J3825">
        <v>9</v>
      </c>
      <c r="K3825" t="s">
        <v>36</v>
      </c>
      <c r="L3825" t="s">
        <v>21</v>
      </c>
      <c r="M3825">
        <v>0</v>
      </c>
    </row>
    <row r="3826" spans="1:13" x14ac:dyDescent="0.25">
      <c r="A3826" t="s">
        <v>2639</v>
      </c>
      <c r="B3826" t="s">
        <v>18</v>
      </c>
      <c r="C3826" t="s">
        <v>14</v>
      </c>
      <c r="D3826" t="s">
        <v>20</v>
      </c>
      <c r="E3826" t="s">
        <v>21</v>
      </c>
      <c r="F3826" t="s">
        <v>21</v>
      </c>
      <c r="G3826">
        <v>78</v>
      </c>
      <c r="H3826" s="1">
        <v>44454</v>
      </c>
      <c r="I3826">
        <v>2021</v>
      </c>
      <c r="J3826">
        <v>9</v>
      </c>
      <c r="K3826" t="s">
        <v>30</v>
      </c>
      <c r="L3826" t="s">
        <v>21</v>
      </c>
      <c r="M3826">
        <v>0</v>
      </c>
    </row>
    <row r="3827" spans="1:13" x14ac:dyDescent="0.25">
      <c r="A3827" t="s">
        <v>2640</v>
      </c>
      <c r="B3827" t="s">
        <v>106</v>
      </c>
      <c r="C3827" t="s">
        <v>14</v>
      </c>
      <c r="D3827" t="s">
        <v>33</v>
      </c>
      <c r="E3827">
        <v>41</v>
      </c>
      <c r="F3827">
        <v>0.9</v>
      </c>
      <c r="G3827">
        <v>12</v>
      </c>
      <c r="H3827" s="1">
        <v>44453</v>
      </c>
      <c r="I3827">
        <v>2021</v>
      </c>
      <c r="J3827">
        <v>9</v>
      </c>
      <c r="K3827" t="s">
        <v>30</v>
      </c>
      <c r="L3827">
        <v>0</v>
      </c>
      <c r="M3827">
        <v>1</v>
      </c>
    </row>
    <row r="3828" spans="1:13" x14ac:dyDescent="0.25">
      <c r="A3828" t="s">
        <v>2641</v>
      </c>
      <c r="B3828" t="s">
        <v>24</v>
      </c>
      <c r="C3828" t="s">
        <v>14</v>
      </c>
      <c r="D3828" t="s">
        <v>15</v>
      </c>
      <c r="E3828" t="s">
        <v>21</v>
      </c>
      <c r="F3828" t="s">
        <v>21</v>
      </c>
      <c r="G3828">
        <v>339</v>
      </c>
      <c r="H3828" s="1">
        <v>44453</v>
      </c>
      <c r="I3828">
        <v>2021</v>
      </c>
      <c r="J3828">
        <v>9</v>
      </c>
      <c r="K3828" t="s">
        <v>36</v>
      </c>
      <c r="L3828" t="s">
        <v>21</v>
      </c>
      <c r="M3828">
        <v>0</v>
      </c>
    </row>
    <row r="3829" spans="1:13" x14ac:dyDescent="0.25">
      <c r="A3829" t="s">
        <v>2642</v>
      </c>
      <c r="B3829" t="s">
        <v>28</v>
      </c>
      <c r="C3829" t="s">
        <v>14</v>
      </c>
      <c r="D3829" t="s">
        <v>22</v>
      </c>
      <c r="E3829">
        <v>30</v>
      </c>
      <c r="F3829" t="s">
        <v>21</v>
      </c>
      <c r="G3829">
        <v>1000</v>
      </c>
      <c r="H3829" s="1">
        <v>44438</v>
      </c>
      <c r="I3829">
        <v>2021</v>
      </c>
      <c r="J3829">
        <v>8</v>
      </c>
      <c r="K3829" t="s">
        <v>26</v>
      </c>
      <c r="L3829" t="s">
        <v>21</v>
      </c>
      <c r="M3829">
        <v>1</v>
      </c>
    </row>
    <row r="3830" spans="1:13" x14ac:dyDescent="0.25">
      <c r="A3830" t="s">
        <v>2643</v>
      </c>
      <c r="B3830" t="s">
        <v>106</v>
      </c>
      <c r="C3830" t="s">
        <v>14</v>
      </c>
      <c r="D3830" t="s">
        <v>68</v>
      </c>
      <c r="E3830">
        <v>37</v>
      </c>
      <c r="F3830">
        <v>0.5</v>
      </c>
      <c r="G3830">
        <v>14</v>
      </c>
      <c r="H3830" s="1">
        <v>44432</v>
      </c>
      <c r="I3830">
        <v>2021</v>
      </c>
      <c r="J3830">
        <v>8</v>
      </c>
      <c r="K3830" t="s">
        <v>30</v>
      </c>
      <c r="L3830">
        <v>0</v>
      </c>
      <c r="M3830">
        <v>1</v>
      </c>
    </row>
    <row r="3831" spans="1:13" x14ac:dyDescent="0.25">
      <c r="A3831" t="s">
        <v>609</v>
      </c>
      <c r="B3831" t="s">
        <v>18</v>
      </c>
      <c r="C3831" t="s">
        <v>657</v>
      </c>
      <c r="D3831" t="s">
        <v>22</v>
      </c>
      <c r="E3831">
        <v>1800</v>
      </c>
      <c r="F3831" t="s">
        <v>21</v>
      </c>
      <c r="G3831">
        <v>9400</v>
      </c>
      <c r="H3831" s="1">
        <v>44413</v>
      </c>
      <c r="I3831">
        <v>2021</v>
      </c>
      <c r="J3831">
        <v>8</v>
      </c>
      <c r="K3831" t="s">
        <v>26</v>
      </c>
      <c r="L3831" t="s">
        <v>21</v>
      </c>
      <c r="M3831">
        <v>1</v>
      </c>
    </row>
    <row r="3832" spans="1:13" x14ac:dyDescent="0.25">
      <c r="A3832" t="s">
        <v>2644</v>
      </c>
      <c r="B3832" t="s">
        <v>40</v>
      </c>
      <c r="C3832" t="s">
        <v>48</v>
      </c>
      <c r="D3832" t="s">
        <v>68</v>
      </c>
      <c r="E3832">
        <v>80</v>
      </c>
      <c r="F3832" t="s">
        <v>21</v>
      </c>
      <c r="G3832">
        <v>17</v>
      </c>
      <c r="H3832" s="1">
        <v>44403</v>
      </c>
      <c r="I3832">
        <v>2021</v>
      </c>
      <c r="J3832">
        <v>7</v>
      </c>
      <c r="K3832" t="s">
        <v>30</v>
      </c>
      <c r="L3832" t="s">
        <v>21</v>
      </c>
      <c r="M3832">
        <v>1</v>
      </c>
    </row>
    <row r="3833" spans="1:13" x14ac:dyDescent="0.25">
      <c r="A3833" t="s">
        <v>2645</v>
      </c>
      <c r="B3833" t="s">
        <v>533</v>
      </c>
      <c r="C3833" t="s">
        <v>14</v>
      </c>
      <c r="D3833" t="s">
        <v>22</v>
      </c>
      <c r="E3833">
        <v>2434</v>
      </c>
      <c r="F3833">
        <v>1</v>
      </c>
      <c r="G3833">
        <v>1600</v>
      </c>
      <c r="H3833" s="1">
        <v>44348</v>
      </c>
      <c r="I3833">
        <v>2021</v>
      </c>
      <c r="J3833">
        <v>6</v>
      </c>
      <c r="K3833" t="s">
        <v>26</v>
      </c>
      <c r="L3833">
        <v>1</v>
      </c>
      <c r="M3833">
        <v>1</v>
      </c>
    </row>
    <row r="3834" spans="1:13" x14ac:dyDescent="0.25">
      <c r="A3834" t="s">
        <v>2572</v>
      </c>
      <c r="B3834" t="s">
        <v>77</v>
      </c>
      <c r="C3834" t="s">
        <v>80</v>
      </c>
      <c r="D3834" t="s">
        <v>22</v>
      </c>
      <c r="E3834" t="s">
        <v>21</v>
      </c>
      <c r="F3834" t="s">
        <v>21</v>
      </c>
      <c r="G3834">
        <v>53</v>
      </c>
      <c r="H3834" s="1">
        <v>44321</v>
      </c>
      <c r="I3834">
        <v>2021</v>
      </c>
      <c r="J3834">
        <v>5</v>
      </c>
      <c r="K3834" t="s">
        <v>30</v>
      </c>
      <c r="L3834" t="s">
        <v>21</v>
      </c>
      <c r="M3834">
        <v>0</v>
      </c>
    </row>
    <row r="3835" spans="1:13" x14ac:dyDescent="0.25">
      <c r="A3835" t="s">
        <v>2646</v>
      </c>
      <c r="B3835" t="s">
        <v>106</v>
      </c>
      <c r="C3835" t="s">
        <v>14</v>
      </c>
      <c r="D3835" t="s">
        <v>46</v>
      </c>
      <c r="E3835">
        <v>65</v>
      </c>
      <c r="F3835" t="s">
        <v>21</v>
      </c>
      <c r="G3835">
        <v>122</v>
      </c>
      <c r="H3835" s="1">
        <v>44315</v>
      </c>
      <c r="I3835">
        <v>2021</v>
      </c>
      <c r="J3835">
        <v>4</v>
      </c>
      <c r="K3835" t="s">
        <v>36</v>
      </c>
      <c r="L3835" t="s">
        <v>21</v>
      </c>
      <c r="M3835">
        <v>1</v>
      </c>
    </row>
    <row r="3836" spans="1:13" x14ac:dyDescent="0.25">
      <c r="A3836" t="s">
        <v>2647</v>
      </c>
      <c r="B3836" t="s">
        <v>32</v>
      </c>
      <c r="C3836" t="s">
        <v>14</v>
      </c>
      <c r="D3836" t="s">
        <v>33</v>
      </c>
      <c r="E3836" t="s">
        <v>21</v>
      </c>
      <c r="F3836">
        <v>1</v>
      </c>
      <c r="G3836">
        <v>16</v>
      </c>
      <c r="H3836" s="1">
        <v>44315</v>
      </c>
      <c r="I3836">
        <v>2021</v>
      </c>
      <c r="J3836">
        <v>4</v>
      </c>
      <c r="K3836" t="s">
        <v>30</v>
      </c>
      <c r="L3836">
        <v>1</v>
      </c>
      <c r="M3836">
        <v>1</v>
      </c>
    </row>
    <row r="3837" spans="1:13" x14ac:dyDescent="0.25">
      <c r="A3837" t="s">
        <v>2245</v>
      </c>
      <c r="B3837" t="s">
        <v>32</v>
      </c>
      <c r="C3837" t="s">
        <v>14</v>
      </c>
      <c r="D3837" t="s">
        <v>55</v>
      </c>
      <c r="E3837">
        <v>36</v>
      </c>
      <c r="F3837" t="s">
        <v>21</v>
      </c>
      <c r="G3837">
        <v>165</v>
      </c>
      <c r="H3837" s="1">
        <v>44312</v>
      </c>
      <c r="I3837">
        <v>2021</v>
      </c>
      <c r="J3837">
        <v>4</v>
      </c>
      <c r="K3837" t="s">
        <v>36</v>
      </c>
      <c r="L3837" t="s">
        <v>21</v>
      </c>
      <c r="M3837">
        <v>1</v>
      </c>
    </row>
    <row r="3838" spans="1:13" x14ac:dyDescent="0.25">
      <c r="A3838" t="s">
        <v>575</v>
      </c>
      <c r="B3838" t="s">
        <v>140</v>
      </c>
      <c r="C3838" t="s">
        <v>14</v>
      </c>
      <c r="D3838" t="s">
        <v>15</v>
      </c>
      <c r="E3838">
        <v>160</v>
      </c>
      <c r="F3838">
        <v>7.0000000000000007E-2</v>
      </c>
      <c r="G3838">
        <v>214.5</v>
      </c>
      <c r="H3838" s="1">
        <v>44292</v>
      </c>
      <c r="I3838">
        <v>2021</v>
      </c>
      <c r="J3838">
        <v>4</v>
      </c>
      <c r="K3838" t="s">
        <v>36</v>
      </c>
      <c r="L3838">
        <v>0</v>
      </c>
      <c r="M3838">
        <v>1</v>
      </c>
    </row>
    <row r="3839" spans="1:13" x14ac:dyDescent="0.25">
      <c r="A3839" t="s">
        <v>2271</v>
      </c>
      <c r="B3839" t="s">
        <v>32</v>
      </c>
      <c r="C3839" t="s">
        <v>14</v>
      </c>
      <c r="D3839" t="s">
        <v>46</v>
      </c>
      <c r="E3839" t="s">
        <v>21</v>
      </c>
      <c r="F3839" t="s">
        <v>21</v>
      </c>
      <c r="G3839">
        <v>132</v>
      </c>
      <c r="H3839" s="1">
        <v>44279</v>
      </c>
      <c r="I3839">
        <v>2021</v>
      </c>
      <c r="J3839">
        <v>3</v>
      </c>
      <c r="K3839" t="s">
        <v>36</v>
      </c>
      <c r="L3839" t="s">
        <v>21</v>
      </c>
      <c r="M3839">
        <v>0</v>
      </c>
    </row>
    <row r="3840" spans="1:13" x14ac:dyDescent="0.25">
      <c r="A3840" t="s">
        <v>2648</v>
      </c>
      <c r="B3840" t="s">
        <v>32</v>
      </c>
      <c r="C3840" t="s">
        <v>14</v>
      </c>
      <c r="D3840" t="s">
        <v>20</v>
      </c>
      <c r="E3840">
        <v>47</v>
      </c>
      <c r="F3840" t="s">
        <v>21</v>
      </c>
      <c r="G3840">
        <v>37</v>
      </c>
      <c r="H3840" s="1">
        <v>44264</v>
      </c>
      <c r="I3840">
        <v>2021</v>
      </c>
      <c r="J3840">
        <v>3</v>
      </c>
      <c r="K3840" t="s">
        <v>30</v>
      </c>
      <c r="L3840" t="s">
        <v>21</v>
      </c>
      <c r="M3840">
        <v>1</v>
      </c>
    </row>
    <row r="3841" spans="1:13" x14ac:dyDescent="0.25">
      <c r="A3841" t="s">
        <v>2590</v>
      </c>
      <c r="B3841" t="s">
        <v>140</v>
      </c>
      <c r="C3841" t="s">
        <v>14</v>
      </c>
      <c r="D3841" t="s">
        <v>33</v>
      </c>
      <c r="E3841" t="s">
        <v>21</v>
      </c>
      <c r="F3841" t="s">
        <v>21</v>
      </c>
      <c r="G3841" t="s">
        <v>21</v>
      </c>
      <c r="H3841" s="1">
        <v>44258</v>
      </c>
      <c r="I3841">
        <v>2021</v>
      </c>
      <c r="J3841">
        <v>3</v>
      </c>
      <c r="K3841" t="s">
        <v>22</v>
      </c>
      <c r="L3841" t="s">
        <v>21</v>
      </c>
      <c r="M3841">
        <v>0</v>
      </c>
    </row>
    <row r="3842" spans="1:13" x14ac:dyDescent="0.25">
      <c r="A3842" t="s">
        <v>2649</v>
      </c>
      <c r="B3842" t="s">
        <v>38</v>
      </c>
      <c r="C3842" t="s">
        <v>14</v>
      </c>
      <c r="D3842" t="s">
        <v>46</v>
      </c>
      <c r="E3842" t="s">
        <v>21</v>
      </c>
      <c r="F3842" t="s">
        <v>21</v>
      </c>
      <c r="G3842">
        <v>186</v>
      </c>
      <c r="H3842" s="1">
        <v>44256</v>
      </c>
      <c r="I3842">
        <v>2021</v>
      </c>
      <c r="J3842">
        <v>3</v>
      </c>
      <c r="K3842" t="s">
        <v>36</v>
      </c>
      <c r="L3842" t="s">
        <v>21</v>
      </c>
      <c r="M3842">
        <v>0</v>
      </c>
    </row>
    <row r="3843" spans="1:13" x14ac:dyDescent="0.25">
      <c r="A3843" t="s">
        <v>2650</v>
      </c>
      <c r="B3843" t="s">
        <v>18</v>
      </c>
      <c r="C3843" t="s">
        <v>14</v>
      </c>
      <c r="D3843" t="s">
        <v>22</v>
      </c>
      <c r="E3843" t="s">
        <v>21</v>
      </c>
      <c r="F3843" t="s">
        <v>21</v>
      </c>
      <c r="G3843">
        <v>105</v>
      </c>
      <c r="H3843" s="1">
        <v>44251</v>
      </c>
      <c r="I3843">
        <v>2021</v>
      </c>
      <c r="J3843">
        <v>2</v>
      </c>
      <c r="K3843" t="s">
        <v>36</v>
      </c>
      <c r="L3843" t="s">
        <v>21</v>
      </c>
      <c r="M3843">
        <v>0</v>
      </c>
    </row>
    <row r="3844" spans="1:13" x14ac:dyDescent="0.25">
      <c r="A3844" t="s">
        <v>2651</v>
      </c>
      <c r="B3844" t="s">
        <v>95</v>
      </c>
      <c r="C3844" t="s">
        <v>48</v>
      </c>
      <c r="D3844" t="s">
        <v>22</v>
      </c>
      <c r="E3844">
        <v>200</v>
      </c>
      <c r="F3844" t="s">
        <v>21</v>
      </c>
      <c r="G3844">
        <v>194</v>
      </c>
      <c r="H3844" s="1">
        <v>44250</v>
      </c>
      <c r="I3844">
        <v>2021</v>
      </c>
      <c r="J3844">
        <v>2</v>
      </c>
      <c r="K3844" t="s">
        <v>36</v>
      </c>
      <c r="L3844" t="s">
        <v>21</v>
      </c>
      <c r="M3844">
        <v>1</v>
      </c>
    </row>
    <row r="3845" spans="1:13" x14ac:dyDescent="0.25">
      <c r="A3845" t="s">
        <v>1899</v>
      </c>
      <c r="B3845" t="s">
        <v>66</v>
      </c>
      <c r="C3845" t="s">
        <v>48</v>
      </c>
      <c r="D3845" t="s">
        <v>55</v>
      </c>
      <c r="E3845">
        <v>200</v>
      </c>
      <c r="F3845">
        <v>0.4</v>
      </c>
      <c r="G3845">
        <v>214.2</v>
      </c>
      <c r="H3845" s="1">
        <v>44249</v>
      </c>
      <c r="I3845">
        <v>2021</v>
      </c>
      <c r="J3845">
        <v>2</v>
      </c>
      <c r="K3845" t="s">
        <v>36</v>
      </c>
      <c r="L3845">
        <v>0</v>
      </c>
      <c r="M3845">
        <v>1</v>
      </c>
    </row>
    <row r="3846" spans="1:13" x14ac:dyDescent="0.25">
      <c r="A3846" t="s">
        <v>2313</v>
      </c>
      <c r="B3846" t="s">
        <v>24</v>
      </c>
      <c r="C3846" t="s">
        <v>14</v>
      </c>
      <c r="D3846" t="s">
        <v>43</v>
      </c>
      <c r="E3846">
        <v>243</v>
      </c>
      <c r="F3846" t="s">
        <v>21</v>
      </c>
      <c r="G3846">
        <v>305</v>
      </c>
      <c r="H3846" s="1">
        <v>44236</v>
      </c>
      <c r="I3846">
        <v>2021</v>
      </c>
      <c r="J3846">
        <v>2</v>
      </c>
      <c r="K3846" t="s">
        <v>36</v>
      </c>
      <c r="L3846" t="s">
        <v>21</v>
      </c>
      <c r="M3846">
        <v>1</v>
      </c>
    </row>
    <row r="3847" spans="1:13" x14ac:dyDescent="0.25">
      <c r="A3847" t="s">
        <v>918</v>
      </c>
      <c r="B3847" t="s">
        <v>13</v>
      </c>
      <c r="C3847" t="s">
        <v>14</v>
      </c>
      <c r="D3847" t="s">
        <v>43</v>
      </c>
      <c r="E3847">
        <v>80</v>
      </c>
      <c r="F3847" t="s">
        <v>21</v>
      </c>
      <c r="G3847">
        <v>1200</v>
      </c>
      <c r="H3847" s="1">
        <v>44236</v>
      </c>
      <c r="I3847">
        <v>2021</v>
      </c>
      <c r="J3847">
        <v>2</v>
      </c>
      <c r="K3847" t="s">
        <v>26</v>
      </c>
      <c r="L3847" t="s">
        <v>21</v>
      </c>
      <c r="M3847">
        <v>1</v>
      </c>
    </row>
    <row r="3848" spans="1:13" x14ac:dyDescent="0.25">
      <c r="A3848" t="s">
        <v>2652</v>
      </c>
      <c r="B3848" t="s">
        <v>45</v>
      </c>
      <c r="C3848" t="s">
        <v>14</v>
      </c>
      <c r="D3848" t="s">
        <v>22</v>
      </c>
      <c r="E3848">
        <v>13</v>
      </c>
      <c r="F3848">
        <v>1</v>
      </c>
      <c r="G3848" t="s">
        <v>21</v>
      </c>
      <c r="H3848" s="1">
        <v>44231</v>
      </c>
      <c r="I3848">
        <v>2021</v>
      </c>
      <c r="J3848">
        <v>2</v>
      </c>
      <c r="K3848" t="s">
        <v>22</v>
      </c>
      <c r="L3848">
        <v>1</v>
      </c>
      <c r="M3848">
        <v>1</v>
      </c>
    </row>
    <row r="3849" spans="1:13" x14ac:dyDescent="0.25">
      <c r="A3849" t="s">
        <v>219</v>
      </c>
      <c r="B3849" t="s">
        <v>95</v>
      </c>
      <c r="C3849" t="s">
        <v>83</v>
      </c>
      <c r="D3849" t="s">
        <v>20</v>
      </c>
      <c r="E3849">
        <v>87</v>
      </c>
      <c r="F3849">
        <v>0.2</v>
      </c>
      <c r="G3849">
        <v>39</v>
      </c>
      <c r="H3849" s="1">
        <v>44230</v>
      </c>
      <c r="I3849">
        <v>2021</v>
      </c>
      <c r="J3849">
        <v>2</v>
      </c>
      <c r="K3849" t="s">
        <v>30</v>
      </c>
      <c r="L3849">
        <v>0</v>
      </c>
      <c r="M3849">
        <v>1</v>
      </c>
    </row>
    <row r="3850" spans="1:13" x14ac:dyDescent="0.25">
      <c r="A3850" t="s">
        <v>2653</v>
      </c>
      <c r="B3850" t="s">
        <v>24</v>
      </c>
      <c r="C3850" t="s">
        <v>174</v>
      </c>
      <c r="D3850" t="s">
        <v>33</v>
      </c>
      <c r="E3850">
        <v>45</v>
      </c>
      <c r="F3850">
        <v>1</v>
      </c>
      <c r="G3850">
        <v>61</v>
      </c>
      <c r="H3850" s="1">
        <v>44228</v>
      </c>
      <c r="I3850">
        <v>2021</v>
      </c>
      <c r="J3850">
        <v>2</v>
      </c>
      <c r="K3850" t="s">
        <v>30</v>
      </c>
      <c r="L3850">
        <v>1</v>
      </c>
      <c r="M3850">
        <v>1</v>
      </c>
    </row>
    <row r="3851" spans="1:13" x14ac:dyDescent="0.25">
      <c r="A3851" t="s">
        <v>609</v>
      </c>
      <c r="B3851" t="s">
        <v>18</v>
      </c>
      <c r="C3851" t="s">
        <v>48</v>
      </c>
      <c r="D3851" t="s">
        <v>22</v>
      </c>
      <c r="E3851">
        <v>1800</v>
      </c>
      <c r="F3851" t="s">
        <v>21</v>
      </c>
      <c r="G3851">
        <v>7400</v>
      </c>
      <c r="H3851" s="1">
        <v>44223</v>
      </c>
      <c r="I3851">
        <v>2021</v>
      </c>
      <c r="J3851">
        <v>1</v>
      </c>
      <c r="K3851" t="s">
        <v>26</v>
      </c>
      <c r="L3851" t="s">
        <v>21</v>
      </c>
      <c r="M3851">
        <v>1</v>
      </c>
    </row>
    <row r="3852" spans="1:13" x14ac:dyDescent="0.25">
      <c r="A3852" t="s">
        <v>2654</v>
      </c>
      <c r="B3852" t="s">
        <v>38</v>
      </c>
      <c r="C3852" t="s">
        <v>80</v>
      </c>
      <c r="D3852" t="s">
        <v>46</v>
      </c>
      <c r="E3852">
        <v>20</v>
      </c>
      <c r="F3852" t="s">
        <v>21</v>
      </c>
      <c r="G3852">
        <v>150</v>
      </c>
      <c r="H3852" s="1">
        <v>44223</v>
      </c>
      <c r="I3852">
        <v>2021</v>
      </c>
      <c r="J3852">
        <v>1</v>
      </c>
      <c r="K3852" t="s">
        <v>36</v>
      </c>
      <c r="L3852" t="s">
        <v>21</v>
      </c>
      <c r="M3852">
        <v>1</v>
      </c>
    </row>
    <row r="3853" spans="1:13" x14ac:dyDescent="0.25">
      <c r="A3853" t="s">
        <v>185</v>
      </c>
      <c r="B3853" t="s">
        <v>24</v>
      </c>
      <c r="C3853" t="s">
        <v>14</v>
      </c>
      <c r="D3853" t="s">
        <v>20</v>
      </c>
      <c r="E3853">
        <v>800</v>
      </c>
      <c r="F3853" t="s">
        <v>21</v>
      </c>
      <c r="G3853">
        <v>50</v>
      </c>
      <c r="H3853" s="1">
        <v>44221</v>
      </c>
      <c r="I3853">
        <v>2021</v>
      </c>
      <c r="J3853">
        <v>1</v>
      </c>
      <c r="K3853" t="s">
        <v>30</v>
      </c>
      <c r="L3853" t="s">
        <v>21</v>
      </c>
      <c r="M3853">
        <v>1</v>
      </c>
    </row>
    <row r="3854" spans="1:13" x14ac:dyDescent="0.25">
      <c r="A3854" t="s">
        <v>2655</v>
      </c>
      <c r="B3854" t="s">
        <v>95</v>
      </c>
      <c r="C3854" t="s">
        <v>14</v>
      </c>
      <c r="D3854" t="s">
        <v>20</v>
      </c>
      <c r="E3854">
        <v>180</v>
      </c>
      <c r="F3854">
        <v>0.15</v>
      </c>
      <c r="G3854">
        <v>763</v>
      </c>
      <c r="H3854" s="1">
        <v>44219</v>
      </c>
      <c r="I3854">
        <v>2021</v>
      </c>
      <c r="J3854">
        <v>1</v>
      </c>
      <c r="K3854" t="s">
        <v>36</v>
      </c>
      <c r="L3854">
        <v>0</v>
      </c>
      <c r="M3854">
        <v>1</v>
      </c>
    </row>
    <row r="3855" spans="1:13" x14ac:dyDescent="0.25">
      <c r="A3855" t="s">
        <v>884</v>
      </c>
      <c r="B3855" t="s">
        <v>95</v>
      </c>
      <c r="C3855" t="s">
        <v>14</v>
      </c>
      <c r="D3855" t="s">
        <v>22</v>
      </c>
      <c r="E3855">
        <v>1877</v>
      </c>
      <c r="F3855" t="s">
        <v>21</v>
      </c>
      <c r="G3855">
        <v>2400</v>
      </c>
      <c r="H3855" s="1">
        <v>44217</v>
      </c>
      <c r="I3855">
        <v>2021</v>
      </c>
      <c r="J3855">
        <v>1</v>
      </c>
      <c r="K3855" t="s">
        <v>26</v>
      </c>
      <c r="L3855" t="s">
        <v>21</v>
      </c>
      <c r="M3855">
        <v>1</v>
      </c>
    </row>
    <row r="3856" spans="1:13" x14ac:dyDescent="0.25">
      <c r="A3856" t="s">
        <v>2656</v>
      </c>
      <c r="B3856" t="s">
        <v>54</v>
      </c>
      <c r="C3856" t="s">
        <v>64</v>
      </c>
      <c r="D3856" t="s">
        <v>22</v>
      </c>
      <c r="E3856">
        <v>21</v>
      </c>
      <c r="F3856">
        <v>1</v>
      </c>
      <c r="G3856">
        <v>20</v>
      </c>
      <c r="H3856" s="1">
        <v>44216</v>
      </c>
      <c r="I3856">
        <v>2021</v>
      </c>
      <c r="J3856">
        <v>1</v>
      </c>
      <c r="K3856" t="s">
        <v>30</v>
      </c>
      <c r="L3856">
        <v>1</v>
      </c>
      <c r="M3856">
        <v>1</v>
      </c>
    </row>
    <row r="3857" spans="1:13" x14ac:dyDescent="0.25">
      <c r="A3857" t="s">
        <v>594</v>
      </c>
      <c r="B3857" t="s">
        <v>13</v>
      </c>
      <c r="C3857" t="s">
        <v>14</v>
      </c>
      <c r="D3857" t="s">
        <v>15</v>
      </c>
      <c r="E3857">
        <v>315</v>
      </c>
      <c r="F3857">
        <v>0.15</v>
      </c>
      <c r="G3857">
        <v>1700</v>
      </c>
      <c r="H3857" s="1">
        <v>44209</v>
      </c>
      <c r="I3857">
        <v>2021</v>
      </c>
      <c r="J3857">
        <v>1</v>
      </c>
      <c r="K3857" t="s">
        <v>26</v>
      </c>
      <c r="L3857">
        <v>0</v>
      </c>
      <c r="M3857">
        <v>1</v>
      </c>
    </row>
    <row r="3858" spans="1:13" x14ac:dyDescent="0.25">
      <c r="A3858" t="s">
        <v>2657</v>
      </c>
      <c r="B3858" t="s">
        <v>77</v>
      </c>
      <c r="C3858" t="s">
        <v>14</v>
      </c>
      <c r="D3858" t="s">
        <v>22</v>
      </c>
      <c r="E3858" t="s">
        <v>21</v>
      </c>
      <c r="F3858">
        <v>1</v>
      </c>
      <c r="G3858">
        <v>584</v>
      </c>
      <c r="H3858" s="1">
        <v>44207</v>
      </c>
      <c r="I3858">
        <v>2021</v>
      </c>
      <c r="J3858">
        <v>1</v>
      </c>
      <c r="K3858" t="s">
        <v>36</v>
      </c>
      <c r="L3858">
        <v>1</v>
      </c>
      <c r="M3858">
        <v>1</v>
      </c>
    </row>
    <row r="3859" spans="1:13" x14ac:dyDescent="0.25">
      <c r="A3859" t="s">
        <v>2658</v>
      </c>
      <c r="B3859" t="s">
        <v>77</v>
      </c>
      <c r="C3859" t="s">
        <v>14</v>
      </c>
      <c r="D3859" t="s">
        <v>20</v>
      </c>
      <c r="E3859" t="s">
        <v>21</v>
      </c>
      <c r="F3859">
        <v>1</v>
      </c>
      <c r="G3859">
        <v>15</v>
      </c>
      <c r="H3859" s="1">
        <v>44203</v>
      </c>
      <c r="I3859">
        <v>2021</v>
      </c>
      <c r="J3859">
        <v>1</v>
      </c>
      <c r="K3859" t="s">
        <v>30</v>
      </c>
      <c r="L3859">
        <v>1</v>
      </c>
      <c r="M3859">
        <v>1</v>
      </c>
    </row>
    <row r="3860" spans="1:13" x14ac:dyDescent="0.25">
      <c r="A3860" t="s">
        <v>2472</v>
      </c>
      <c r="B3860" t="s">
        <v>106</v>
      </c>
      <c r="C3860" t="s">
        <v>48</v>
      </c>
      <c r="D3860" t="s">
        <v>20</v>
      </c>
      <c r="E3860">
        <v>1800</v>
      </c>
      <c r="F3860" t="s">
        <v>21</v>
      </c>
      <c r="G3860">
        <v>11</v>
      </c>
      <c r="H3860" s="1">
        <v>44202</v>
      </c>
      <c r="I3860">
        <v>2021</v>
      </c>
      <c r="J3860">
        <v>1</v>
      </c>
      <c r="K3860" t="s">
        <v>30</v>
      </c>
      <c r="L3860" t="s">
        <v>21</v>
      </c>
      <c r="M3860">
        <v>1</v>
      </c>
    </row>
    <row r="3861" spans="1:13" x14ac:dyDescent="0.25">
      <c r="A3861" t="s">
        <v>2659</v>
      </c>
      <c r="B3861" t="s">
        <v>28</v>
      </c>
      <c r="C3861" t="s">
        <v>14</v>
      </c>
      <c r="D3861" t="s">
        <v>20</v>
      </c>
      <c r="E3861">
        <v>78</v>
      </c>
      <c r="F3861" t="s">
        <v>21</v>
      </c>
      <c r="G3861" t="s">
        <v>21</v>
      </c>
      <c r="H3861" s="1">
        <v>44188</v>
      </c>
      <c r="I3861">
        <v>2020</v>
      </c>
      <c r="J3861">
        <v>12</v>
      </c>
      <c r="K3861" t="s">
        <v>22</v>
      </c>
      <c r="L3861" t="s">
        <v>21</v>
      </c>
      <c r="M3861">
        <v>1</v>
      </c>
    </row>
    <row r="3862" spans="1:13" x14ac:dyDescent="0.25">
      <c r="A3862" t="s">
        <v>2660</v>
      </c>
      <c r="B3862" t="s">
        <v>91</v>
      </c>
      <c r="C3862" t="s">
        <v>174</v>
      </c>
      <c r="D3862" t="s">
        <v>55</v>
      </c>
      <c r="E3862">
        <v>120</v>
      </c>
      <c r="F3862">
        <v>0.8</v>
      </c>
      <c r="G3862">
        <v>131</v>
      </c>
      <c r="H3862" s="1">
        <v>44181</v>
      </c>
      <c r="I3862">
        <v>2020</v>
      </c>
      <c r="J3862">
        <v>12</v>
      </c>
      <c r="K3862" t="s">
        <v>36</v>
      </c>
      <c r="L3862">
        <v>0</v>
      </c>
      <c r="M3862">
        <v>1</v>
      </c>
    </row>
    <row r="3863" spans="1:13" x14ac:dyDescent="0.25">
      <c r="A3863" t="s">
        <v>2661</v>
      </c>
      <c r="B3863" t="s">
        <v>38</v>
      </c>
      <c r="C3863" t="s">
        <v>14</v>
      </c>
      <c r="D3863" t="s">
        <v>20</v>
      </c>
      <c r="E3863">
        <v>54</v>
      </c>
      <c r="F3863" t="s">
        <v>21</v>
      </c>
      <c r="G3863">
        <v>352</v>
      </c>
      <c r="H3863" s="1">
        <v>44181</v>
      </c>
      <c r="I3863">
        <v>2020</v>
      </c>
      <c r="J3863">
        <v>12</v>
      </c>
      <c r="K3863" t="s">
        <v>36</v>
      </c>
      <c r="L3863" t="s">
        <v>21</v>
      </c>
      <c r="M3863">
        <v>1</v>
      </c>
    </row>
    <row r="3864" spans="1:13" x14ac:dyDescent="0.25">
      <c r="A3864" t="s">
        <v>2001</v>
      </c>
      <c r="B3864" t="s">
        <v>73</v>
      </c>
      <c r="C3864" t="s">
        <v>48</v>
      </c>
      <c r="D3864" t="s">
        <v>43</v>
      </c>
      <c r="E3864">
        <v>600</v>
      </c>
      <c r="F3864" t="s">
        <v>21</v>
      </c>
      <c r="G3864">
        <v>3200</v>
      </c>
      <c r="H3864" s="1">
        <v>44173</v>
      </c>
      <c r="I3864">
        <v>2020</v>
      </c>
      <c r="J3864">
        <v>12</v>
      </c>
      <c r="K3864" t="s">
        <v>26</v>
      </c>
      <c r="L3864" t="s">
        <v>21</v>
      </c>
      <c r="M3864">
        <v>1</v>
      </c>
    </row>
    <row r="3865" spans="1:13" x14ac:dyDescent="0.25">
      <c r="A3865" t="s">
        <v>2662</v>
      </c>
      <c r="B3865" t="s">
        <v>40</v>
      </c>
      <c r="C3865" t="s">
        <v>14</v>
      </c>
      <c r="D3865" t="s">
        <v>46</v>
      </c>
      <c r="E3865" t="s">
        <v>21</v>
      </c>
      <c r="F3865" t="s">
        <v>21</v>
      </c>
      <c r="G3865">
        <v>120</v>
      </c>
      <c r="H3865" s="1">
        <v>44160</v>
      </c>
      <c r="I3865">
        <v>2020</v>
      </c>
      <c r="J3865">
        <v>11</v>
      </c>
      <c r="K3865" t="s">
        <v>36</v>
      </c>
      <c r="L3865" t="s">
        <v>21</v>
      </c>
      <c r="M3865">
        <v>0</v>
      </c>
    </row>
    <row r="3866" spans="1:13" x14ac:dyDescent="0.25">
      <c r="A3866" t="s">
        <v>2663</v>
      </c>
      <c r="B3866" t="s">
        <v>77</v>
      </c>
      <c r="C3866" t="s">
        <v>174</v>
      </c>
      <c r="D3866" t="s">
        <v>49</v>
      </c>
      <c r="E3866">
        <v>5</v>
      </c>
      <c r="F3866">
        <v>0.25</v>
      </c>
      <c r="G3866">
        <v>3</v>
      </c>
      <c r="H3866" s="1">
        <v>44154</v>
      </c>
      <c r="I3866">
        <v>2020</v>
      </c>
      <c r="J3866">
        <v>11</v>
      </c>
      <c r="K3866" t="s">
        <v>16</v>
      </c>
      <c r="L3866">
        <v>0</v>
      </c>
      <c r="M3866">
        <v>1</v>
      </c>
    </row>
    <row r="3867" spans="1:13" x14ac:dyDescent="0.25">
      <c r="A3867" t="s">
        <v>2664</v>
      </c>
      <c r="B3867" t="s">
        <v>91</v>
      </c>
      <c r="C3867" t="s">
        <v>14</v>
      </c>
      <c r="D3867" t="s">
        <v>33</v>
      </c>
      <c r="E3867" t="s">
        <v>21</v>
      </c>
      <c r="F3867">
        <v>0.5</v>
      </c>
      <c r="G3867">
        <v>116</v>
      </c>
      <c r="H3867" s="1">
        <v>44153</v>
      </c>
      <c r="I3867">
        <v>2020</v>
      </c>
      <c r="J3867">
        <v>11</v>
      </c>
      <c r="K3867" t="s">
        <v>36</v>
      </c>
      <c r="L3867">
        <v>0</v>
      </c>
      <c r="M3867">
        <v>1</v>
      </c>
    </row>
    <row r="3868" spans="1:13" x14ac:dyDescent="0.25">
      <c r="A3868" t="s">
        <v>2665</v>
      </c>
      <c r="B3868" t="s">
        <v>35</v>
      </c>
      <c r="C3868" t="s">
        <v>14</v>
      </c>
      <c r="D3868" t="s">
        <v>33</v>
      </c>
      <c r="E3868">
        <v>154</v>
      </c>
      <c r="F3868">
        <v>1</v>
      </c>
      <c r="G3868">
        <v>45</v>
      </c>
      <c r="H3868" s="1">
        <v>44152</v>
      </c>
      <c r="I3868">
        <v>2020</v>
      </c>
      <c r="J3868">
        <v>11</v>
      </c>
      <c r="K3868" t="s">
        <v>30</v>
      </c>
      <c r="L3868">
        <v>1</v>
      </c>
      <c r="M3868">
        <v>1</v>
      </c>
    </row>
    <row r="3869" spans="1:13" x14ac:dyDescent="0.25">
      <c r="A3869" t="s">
        <v>2666</v>
      </c>
      <c r="B3869" t="s">
        <v>35</v>
      </c>
      <c r="C3869" t="s">
        <v>14</v>
      </c>
      <c r="D3869" t="s">
        <v>22</v>
      </c>
      <c r="E3869">
        <v>18</v>
      </c>
      <c r="F3869">
        <v>0.4</v>
      </c>
      <c r="G3869" t="s">
        <v>21</v>
      </c>
      <c r="H3869" s="1">
        <v>44152</v>
      </c>
      <c r="I3869">
        <v>2020</v>
      </c>
      <c r="J3869">
        <v>11</v>
      </c>
      <c r="K3869" t="s">
        <v>22</v>
      </c>
      <c r="L3869">
        <v>0</v>
      </c>
      <c r="M3869">
        <v>1</v>
      </c>
    </row>
    <row r="3870" spans="1:13" x14ac:dyDescent="0.25">
      <c r="A3870" t="s">
        <v>2667</v>
      </c>
      <c r="B3870" t="s">
        <v>38</v>
      </c>
      <c r="C3870" t="s">
        <v>14</v>
      </c>
      <c r="D3870" t="s">
        <v>46</v>
      </c>
      <c r="E3870" t="s">
        <v>21</v>
      </c>
      <c r="F3870" t="s">
        <v>21</v>
      </c>
      <c r="G3870">
        <v>67</v>
      </c>
      <c r="H3870" s="1">
        <v>44152</v>
      </c>
      <c r="I3870">
        <v>2020</v>
      </c>
      <c r="J3870">
        <v>11</v>
      </c>
      <c r="K3870" t="s">
        <v>30</v>
      </c>
      <c r="L3870" t="s">
        <v>21</v>
      </c>
      <c r="M3870">
        <v>0</v>
      </c>
    </row>
    <row r="3871" spans="1:13" x14ac:dyDescent="0.25">
      <c r="A3871" t="s">
        <v>2668</v>
      </c>
      <c r="B3871" t="s">
        <v>66</v>
      </c>
      <c r="C3871" t="s">
        <v>14</v>
      </c>
      <c r="D3871" t="s">
        <v>46</v>
      </c>
      <c r="E3871" t="s">
        <v>21</v>
      </c>
      <c r="F3871" t="s">
        <v>21</v>
      </c>
      <c r="G3871">
        <v>95</v>
      </c>
      <c r="H3871" s="1">
        <v>44152</v>
      </c>
      <c r="I3871">
        <v>2020</v>
      </c>
      <c r="J3871">
        <v>11</v>
      </c>
      <c r="K3871" t="s">
        <v>30</v>
      </c>
      <c r="L3871" t="s">
        <v>21</v>
      </c>
      <c r="M3871">
        <v>0</v>
      </c>
    </row>
    <row r="3872" spans="1:13" x14ac:dyDescent="0.25">
      <c r="A3872" t="s">
        <v>2669</v>
      </c>
      <c r="B3872" t="s">
        <v>24</v>
      </c>
      <c r="C3872" t="s">
        <v>14</v>
      </c>
      <c r="D3872" t="s">
        <v>22</v>
      </c>
      <c r="E3872">
        <v>30</v>
      </c>
      <c r="F3872">
        <v>0.5</v>
      </c>
      <c r="G3872">
        <v>3.8</v>
      </c>
      <c r="H3872" s="1">
        <v>44144</v>
      </c>
      <c r="I3872">
        <v>2020</v>
      </c>
      <c r="J3872">
        <v>11</v>
      </c>
      <c r="K3872" t="s">
        <v>16</v>
      </c>
      <c r="L3872">
        <v>0</v>
      </c>
      <c r="M3872">
        <v>1</v>
      </c>
    </row>
    <row r="3873" spans="1:13" x14ac:dyDescent="0.25">
      <c r="A3873" t="s">
        <v>2670</v>
      </c>
      <c r="B3873" t="s">
        <v>28</v>
      </c>
      <c r="C3873" t="s">
        <v>14</v>
      </c>
      <c r="D3873" t="s">
        <v>68</v>
      </c>
      <c r="E3873" t="s">
        <v>21</v>
      </c>
      <c r="F3873">
        <v>1</v>
      </c>
      <c r="G3873">
        <v>14</v>
      </c>
      <c r="H3873" s="1">
        <v>44140</v>
      </c>
      <c r="I3873">
        <v>2020</v>
      </c>
      <c r="J3873">
        <v>11</v>
      </c>
      <c r="K3873" t="s">
        <v>30</v>
      </c>
      <c r="L3873">
        <v>1</v>
      </c>
      <c r="M3873">
        <v>1</v>
      </c>
    </row>
    <row r="3874" spans="1:13" x14ac:dyDescent="0.25">
      <c r="A3874" t="s">
        <v>2671</v>
      </c>
      <c r="B3874" t="s">
        <v>24</v>
      </c>
      <c r="C3874" t="s">
        <v>14</v>
      </c>
      <c r="D3874" t="s">
        <v>22</v>
      </c>
      <c r="E3874" t="s">
        <v>21</v>
      </c>
      <c r="F3874">
        <v>0.5</v>
      </c>
      <c r="G3874">
        <v>101.6</v>
      </c>
      <c r="H3874" s="1">
        <v>44137</v>
      </c>
      <c r="I3874">
        <v>2020</v>
      </c>
      <c r="J3874">
        <v>11</v>
      </c>
      <c r="K3874" t="s">
        <v>36</v>
      </c>
      <c r="L3874">
        <v>0</v>
      </c>
      <c r="M3874">
        <v>1</v>
      </c>
    </row>
    <row r="3875" spans="1:13" x14ac:dyDescent="0.25">
      <c r="A3875" t="s">
        <v>2238</v>
      </c>
      <c r="B3875" t="s">
        <v>89</v>
      </c>
      <c r="C3875" t="s">
        <v>14</v>
      </c>
      <c r="D3875" t="s">
        <v>15</v>
      </c>
      <c r="E3875">
        <v>30</v>
      </c>
      <c r="F3875" t="s">
        <v>21</v>
      </c>
      <c r="G3875">
        <v>42</v>
      </c>
      <c r="H3875" s="1">
        <v>44136</v>
      </c>
      <c r="I3875">
        <v>2020</v>
      </c>
      <c r="J3875">
        <v>11</v>
      </c>
      <c r="K3875" t="s">
        <v>30</v>
      </c>
      <c r="L3875" t="s">
        <v>21</v>
      </c>
      <c r="M3875">
        <v>1</v>
      </c>
    </row>
    <row r="3876" spans="1:13" x14ac:dyDescent="0.25">
      <c r="A3876" t="s">
        <v>2672</v>
      </c>
      <c r="B3876" t="s">
        <v>35</v>
      </c>
      <c r="C3876" t="s">
        <v>14</v>
      </c>
      <c r="D3876" t="s">
        <v>68</v>
      </c>
      <c r="E3876">
        <v>82</v>
      </c>
      <c r="F3876" t="s">
        <v>21</v>
      </c>
      <c r="G3876">
        <v>12.5</v>
      </c>
      <c r="H3876" s="1">
        <v>44133</v>
      </c>
      <c r="I3876">
        <v>2020</v>
      </c>
      <c r="J3876">
        <v>10</v>
      </c>
      <c r="K3876" t="s">
        <v>30</v>
      </c>
      <c r="L3876" t="s">
        <v>21</v>
      </c>
      <c r="M3876">
        <v>1</v>
      </c>
    </row>
    <row r="3877" spans="1:13" x14ac:dyDescent="0.25">
      <c r="A3877" t="s">
        <v>2673</v>
      </c>
      <c r="B3877" t="s">
        <v>91</v>
      </c>
      <c r="C3877" t="s">
        <v>14</v>
      </c>
      <c r="D3877" t="s">
        <v>46</v>
      </c>
      <c r="E3877">
        <v>20</v>
      </c>
      <c r="F3877">
        <v>0.08</v>
      </c>
      <c r="G3877">
        <v>560</v>
      </c>
      <c r="H3877" s="1">
        <v>44133</v>
      </c>
      <c r="I3877">
        <v>2020</v>
      </c>
      <c r="J3877">
        <v>10</v>
      </c>
      <c r="K3877" t="s">
        <v>36</v>
      </c>
      <c r="L3877">
        <v>0</v>
      </c>
      <c r="M3877">
        <v>1</v>
      </c>
    </row>
    <row r="3878" spans="1:13" x14ac:dyDescent="0.25">
      <c r="A3878" t="s">
        <v>2674</v>
      </c>
      <c r="B3878" t="s">
        <v>95</v>
      </c>
      <c r="C3878" t="s">
        <v>14</v>
      </c>
      <c r="D3878" t="s">
        <v>33</v>
      </c>
      <c r="E3878" t="s">
        <v>21</v>
      </c>
      <c r="F3878" t="s">
        <v>21</v>
      </c>
      <c r="G3878">
        <v>67</v>
      </c>
      <c r="H3878" s="1">
        <v>44129</v>
      </c>
      <c r="I3878">
        <v>2020</v>
      </c>
      <c r="J3878">
        <v>10</v>
      </c>
      <c r="K3878" t="s">
        <v>30</v>
      </c>
      <c r="L3878" t="s">
        <v>21</v>
      </c>
      <c r="M3878">
        <v>0</v>
      </c>
    </row>
    <row r="3879" spans="1:13" x14ac:dyDescent="0.25">
      <c r="A3879" t="s">
        <v>2675</v>
      </c>
      <c r="B3879" t="s">
        <v>106</v>
      </c>
      <c r="C3879" t="s">
        <v>14</v>
      </c>
      <c r="D3879" t="s">
        <v>68</v>
      </c>
      <c r="E3879">
        <v>8</v>
      </c>
      <c r="F3879" t="s">
        <v>21</v>
      </c>
      <c r="G3879">
        <v>8</v>
      </c>
      <c r="H3879" s="1">
        <v>44127</v>
      </c>
      <c r="I3879">
        <v>2020</v>
      </c>
      <c r="J3879">
        <v>10</v>
      </c>
      <c r="K3879" t="s">
        <v>16</v>
      </c>
      <c r="L3879" t="s">
        <v>21</v>
      </c>
      <c r="M3879">
        <v>1</v>
      </c>
    </row>
    <row r="3880" spans="1:13" x14ac:dyDescent="0.25">
      <c r="A3880" t="s">
        <v>2676</v>
      </c>
      <c r="B3880" t="s">
        <v>32</v>
      </c>
      <c r="C3880" t="s">
        <v>14</v>
      </c>
      <c r="D3880" t="s">
        <v>81</v>
      </c>
      <c r="E3880" t="s">
        <v>21</v>
      </c>
      <c r="F3880">
        <v>1</v>
      </c>
      <c r="G3880">
        <v>1800</v>
      </c>
      <c r="H3880" s="1">
        <v>44125</v>
      </c>
      <c r="I3880">
        <v>2020</v>
      </c>
      <c r="J3880">
        <v>10</v>
      </c>
      <c r="K3880" t="s">
        <v>26</v>
      </c>
      <c r="L3880">
        <v>1</v>
      </c>
      <c r="M3880">
        <v>1</v>
      </c>
    </row>
    <row r="3881" spans="1:13" x14ac:dyDescent="0.25">
      <c r="A3881" t="s">
        <v>458</v>
      </c>
      <c r="B3881" t="s">
        <v>95</v>
      </c>
      <c r="C3881" t="s">
        <v>25</v>
      </c>
      <c r="D3881" t="s">
        <v>429</v>
      </c>
      <c r="E3881" t="s">
        <v>21</v>
      </c>
      <c r="F3881" t="s">
        <v>21</v>
      </c>
      <c r="G3881">
        <v>914</v>
      </c>
      <c r="H3881" s="1">
        <v>44124</v>
      </c>
      <c r="I3881">
        <v>2020</v>
      </c>
      <c r="J3881">
        <v>10</v>
      </c>
      <c r="K3881" t="s">
        <v>36</v>
      </c>
      <c r="L3881" t="s">
        <v>21</v>
      </c>
      <c r="M3881">
        <v>0</v>
      </c>
    </row>
    <row r="3882" spans="1:13" x14ac:dyDescent="0.25">
      <c r="A3882" t="s">
        <v>2677</v>
      </c>
      <c r="B3882" t="s">
        <v>73</v>
      </c>
      <c r="C3882" t="s">
        <v>83</v>
      </c>
      <c r="D3882" t="s">
        <v>111</v>
      </c>
      <c r="E3882">
        <v>90</v>
      </c>
      <c r="F3882">
        <v>0.17</v>
      </c>
      <c r="G3882">
        <v>656</v>
      </c>
      <c r="H3882" s="1">
        <v>44118</v>
      </c>
      <c r="I3882">
        <v>2020</v>
      </c>
      <c r="J3882">
        <v>10</v>
      </c>
      <c r="K3882" t="s">
        <v>36</v>
      </c>
      <c r="L3882">
        <v>0</v>
      </c>
      <c r="M3882">
        <v>1</v>
      </c>
    </row>
    <row r="3883" spans="1:13" x14ac:dyDescent="0.25">
      <c r="A3883" t="s">
        <v>2678</v>
      </c>
      <c r="B3883" t="s">
        <v>54</v>
      </c>
      <c r="C3883" t="s">
        <v>48</v>
      </c>
      <c r="D3883" t="s">
        <v>20</v>
      </c>
      <c r="E3883">
        <v>250</v>
      </c>
      <c r="F3883" t="s">
        <v>21</v>
      </c>
      <c r="G3883">
        <v>28</v>
      </c>
      <c r="H3883" s="1">
        <v>44114</v>
      </c>
      <c r="I3883">
        <v>2020</v>
      </c>
      <c r="J3883">
        <v>10</v>
      </c>
      <c r="K3883" t="s">
        <v>30</v>
      </c>
      <c r="L3883" t="s">
        <v>21</v>
      </c>
      <c r="M3883">
        <v>1</v>
      </c>
    </row>
    <row r="3884" spans="1:13" x14ac:dyDescent="0.25">
      <c r="A3884" t="s">
        <v>2679</v>
      </c>
      <c r="B3884" t="s">
        <v>140</v>
      </c>
      <c r="C3884" t="s">
        <v>14</v>
      </c>
      <c r="D3884" t="s">
        <v>20</v>
      </c>
      <c r="E3884" t="s">
        <v>21</v>
      </c>
      <c r="F3884" t="s">
        <v>21</v>
      </c>
      <c r="G3884">
        <v>105</v>
      </c>
      <c r="H3884" s="1">
        <v>44112</v>
      </c>
      <c r="I3884">
        <v>2020</v>
      </c>
      <c r="J3884">
        <v>10</v>
      </c>
      <c r="K3884" t="s">
        <v>36</v>
      </c>
      <c r="L3884" t="s">
        <v>21</v>
      </c>
      <c r="M3884">
        <v>0</v>
      </c>
    </row>
    <row r="3885" spans="1:13" x14ac:dyDescent="0.25">
      <c r="A3885" t="s">
        <v>2413</v>
      </c>
      <c r="B3885" t="s">
        <v>35</v>
      </c>
      <c r="C3885" t="s">
        <v>14</v>
      </c>
      <c r="D3885" t="s">
        <v>55</v>
      </c>
      <c r="E3885">
        <v>47</v>
      </c>
      <c r="F3885">
        <v>0.06</v>
      </c>
      <c r="G3885">
        <v>356</v>
      </c>
      <c r="H3885" s="1">
        <v>44103</v>
      </c>
      <c r="I3885">
        <v>2020</v>
      </c>
      <c r="J3885">
        <v>9</v>
      </c>
      <c r="K3885" t="s">
        <v>36</v>
      </c>
      <c r="L3885">
        <v>0</v>
      </c>
      <c r="M3885">
        <v>1</v>
      </c>
    </row>
    <row r="3886" spans="1:13" x14ac:dyDescent="0.25">
      <c r="A3886" t="s">
        <v>2680</v>
      </c>
      <c r="B3886" t="s">
        <v>32</v>
      </c>
      <c r="C3886" t="s">
        <v>14</v>
      </c>
      <c r="D3886" t="s">
        <v>33</v>
      </c>
      <c r="E3886" t="s">
        <v>21</v>
      </c>
      <c r="F3886" t="s">
        <v>21</v>
      </c>
      <c r="G3886">
        <v>3.5</v>
      </c>
      <c r="H3886" s="1">
        <v>44103</v>
      </c>
      <c r="I3886">
        <v>2020</v>
      </c>
      <c r="J3886">
        <v>9</v>
      </c>
      <c r="K3886" t="s">
        <v>16</v>
      </c>
      <c r="L3886" t="s">
        <v>21</v>
      </c>
      <c r="M3886">
        <v>0</v>
      </c>
    </row>
    <row r="3887" spans="1:13" x14ac:dyDescent="0.25">
      <c r="A3887" t="s">
        <v>2681</v>
      </c>
      <c r="B3887" t="s">
        <v>66</v>
      </c>
      <c r="C3887" t="s">
        <v>80</v>
      </c>
      <c r="D3887" t="s">
        <v>81</v>
      </c>
      <c r="E3887" t="s">
        <v>21</v>
      </c>
      <c r="F3887" t="s">
        <v>21</v>
      </c>
      <c r="G3887">
        <v>1.54</v>
      </c>
      <c r="H3887" s="1">
        <v>44099</v>
      </c>
      <c r="I3887">
        <v>2020</v>
      </c>
      <c r="J3887">
        <v>9</v>
      </c>
      <c r="K3887" t="s">
        <v>16</v>
      </c>
      <c r="L3887" t="s">
        <v>21</v>
      </c>
      <c r="M3887">
        <v>0</v>
      </c>
    </row>
    <row r="3888" spans="1:13" x14ac:dyDescent="0.25">
      <c r="A3888" t="s">
        <v>1810</v>
      </c>
      <c r="B3888" t="s">
        <v>91</v>
      </c>
      <c r="C3888" t="s">
        <v>657</v>
      </c>
      <c r="D3888" t="s">
        <v>347</v>
      </c>
      <c r="E3888" t="s">
        <v>21</v>
      </c>
      <c r="F3888" t="s">
        <v>21</v>
      </c>
      <c r="G3888">
        <v>19500</v>
      </c>
      <c r="H3888" s="1">
        <v>44097</v>
      </c>
      <c r="I3888">
        <v>2020</v>
      </c>
      <c r="J3888">
        <v>9</v>
      </c>
      <c r="K3888" t="s">
        <v>26</v>
      </c>
      <c r="L3888" t="s">
        <v>21</v>
      </c>
      <c r="M3888">
        <v>0</v>
      </c>
    </row>
    <row r="3889" spans="1:13" x14ac:dyDescent="0.25">
      <c r="A3889" t="s">
        <v>2682</v>
      </c>
      <c r="B3889" t="s">
        <v>54</v>
      </c>
      <c r="C3889" t="s">
        <v>14</v>
      </c>
      <c r="D3889" t="s">
        <v>68</v>
      </c>
      <c r="E3889" t="s">
        <v>21</v>
      </c>
      <c r="F3889">
        <v>0.16</v>
      </c>
      <c r="G3889">
        <v>18</v>
      </c>
      <c r="H3889" s="1">
        <v>44090</v>
      </c>
      <c r="I3889">
        <v>2020</v>
      </c>
      <c r="J3889">
        <v>9</v>
      </c>
      <c r="K3889" t="s">
        <v>30</v>
      </c>
      <c r="L3889">
        <v>0</v>
      </c>
      <c r="M3889">
        <v>1</v>
      </c>
    </row>
    <row r="3890" spans="1:13" x14ac:dyDescent="0.25">
      <c r="A3890" t="s">
        <v>2683</v>
      </c>
      <c r="B3890" t="s">
        <v>38</v>
      </c>
      <c r="C3890" t="s">
        <v>14</v>
      </c>
      <c r="D3890" t="s">
        <v>68</v>
      </c>
      <c r="E3890">
        <v>240</v>
      </c>
      <c r="F3890">
        <v>0.95</v>
      </c>
      <c r="G3890">
        <v>157.9</v>
      </c>
      <c r="H3890" s="1">
        <v>44085</v>
      </c>
      <c r="I3890">
        <v>2020</v>
      </c>
      <c r="J3890">
        <v>9</v>
      </c>
      <c r="K3890" t="s">
        <v>36</v>
      </c>
      <c r="L3890">
        <v>0</v>
      </c>
      <c r="M3890">
        <v>1</v>
      </c>
    </row>
    <row r="3891" spans="1:13" x14ac:dyDescent="0.25">
      <c r="A3891" t="s">
        <v>2684</v>
      </c>
      <c r="B3891" t="s">
        <v>32</v>
      </c>
      <c r="C3891" t="s">
        <v>80</v>
      </c>
      <c r="D3891" t="s">
        <v>20</v>
      </c>
      <c r="E3891">
        <v>20</v>
      </c>
      <c r="F3891" t="s">
        <v>21</v>
      </c>
      <c r="G3891">
        <v>40.5</v>
      </c>
      <c r="H3891" s="1">
        <v>44085</v>
      </c>
      <c r="I3891">
        <v>2020</v>
      </c>
      <c r="J3891">
        <v>9</v>
      </c>
      <c r="K3891" t="s">
        <v>30</v>
      </c>
      <c r="L3891" t="s">
        <v>21</v>
      </c>
      <c r="M3891">
        <v>1</v>
      </c>
    </row>
    <row r="3892" spans="1:13" x14ac:dyDescent="0.25">
      <c r="A3892" t="s">
        <v>2685</v>
      </c>
      <c r="B3892" t="s">
        <v>91</v>
      </c>
      <c r="C3892" t="s">
        <v>14</v>
      </c>
      <c r="D3892" t="s">
        <v>68</v>
      </c>
      <c r="E3892" t="s">
        <v>21</v>
      </c>
      <c r="F3892">
        <v>1</v>
      </c>
      <c r="G3892">
        <v>13.4</v>
      </c>
      <c r="H3892" s="1">
        <v>44085</v>
      </c>
      <c r="I3892">
        <v>2020</v>
      </c>
      <c r="J3892">
        <v>9</v>
      </c>
      <c r="K3892" t="s">
        <v>30</v>
      </c>
      <c r="L3892">
        <v>1</v>
      </c>
      <c r="M3892">
        <v>1</v>
      </c>
    </row>
    <row r="3893" spans="1:13" x14ac:dyDescent="0.25">
      <c r="A3893" t="s">
        <v>1376</v>
      </c>
      <c r="B3893" t="s">
        <v>66</v>
      </c>
      <c r="C3893" t="s">
        <v>14</v>
      </c>
      <c r="D3893" t="s">
        <v>20</v>
      </c>
      <c r="E3893">
        <v>30</v>
      </c>
      <c r="F3893">
        <v>0.05</v>
      </c>
      <c r="G3893">
        <v>67</v>
      </c>
      <c r="H3893" s="1">
        <v>44083</v>
      </c>
      <c r="I3893">
        <v>2020</v>
      </c>
      <c r="J3893">
        <v>9</v>
      </c>
      <c r="K3893" t="s">
        <v>30</v>
      </c>
      <c r="L3893">
        <v>0</v>
      </c>
      <c r="M3893">
        <v>1</v>
      </c>
    </row>
    <row r="3894" spans="1:13" x14ac:dyDescent="0.25">
      <c r="A3894" t="s">
        <v>2236</v>
      </c>
      <c r="B3894" t="s">
        <v>66</v>
      </c>
      <c r="C3894" t="s">
        <v>14</v>
      </c>
      <c r="D3894" t="s">
        <v>33</v>
      </c>
      <c r="E3894" t="s">
        <v>21</v>
      </c>
      <c r="F3894">
        <v>0.1</v>
      </c>
      <c r="G3894">
        <v>132</v>
      </c>
      <c r="H3894" s="1">
        <v>44082</v>
      </c>
      <c r="I3894">
        <v>2020</v>
      </c>
      <c r="J3894">
        <v>9</v>
      </c>
      <c r="K3894" t="s">
        <v>36</v>
      </c>
      <c r="L3894">
        <v>0</v>
      </c>
      <c r="M3894">
        <v>1</v>
      </c>
    </row>
    <row r="3895" spans="1:13" x14ac:dyDescent="0.25">
      <c r="A3895" t="s">
        <v>2686</v>
      </c>
      <c r="B3895" t="s">
        <v>106</v>
      </c>
      <c r="C3895" t="s">
        <v>14</v>
      </c>
      <c r="D3895" t="s">
        <v>33</v>
      </c>
      <c r="E3895" t="s">
        <v>21</v>
      </c>
      <c r="F3895" t="s">
        <v>21</v>
      </c>
      <c r="G3895">
        <v>22.8</v>
      </c>
      <c r="H3895" s="1">
        <v>44079</v>
      </c>
      <c r="I3895">
        <v>2020</v>
      </c>
      <c r="J3895">
        <v>9</v>
      </c>
      <c r="K3895" t="s">
        <v>30</v>
      </c>
      <c r="L3895" t="s">
        <v>21</v>
      </c>
      <c r="M3895">
        <v>0</v>
      </c>
    </row>
    <row r="3896" spans="1:13" x14ac:dyDescent="0.25">
      <c r="A3896" t="s">
        <v>2576</v>
      </c>
      <c r="B3896" t="s">
        <v>117</v>
      </c>
      <c r="C3896" t="s">
        <v>14</v>
      </c>
      <c r="D3896" t="s">
        <v>15</v>
      </c>
      <c r="E3896" t="s">
        <v>21</v>
      </c>
      <c r="F3896" t="s">
        <v>21</v>
      </c>
      <c r="G3896" t="s">
        <v>21</v>
      </c>
      <c r="H3896" s="1">
        <v>44076</v>
      </c>
      <c r="I3896">
        <v>2020</v>
      </c>
      <c r="J3896">
        <v>9</v>
      </c>
      <c r="K3896" t="s">
        <v>22</v>
      </c>
      <c r="L3896" t="s">
        <v>21</v>
      </c>
      <c r="M3896">
        <v>0</v>
      </c>
    </row>
    <row r="3897" spans="1:13" x14ac:dyDescent="0.25">
      <c r="A3897" t="s">
        <v>2687</v>
      </c>
      <c r="B3897" t="s">
        <v>24</v>
      </c>
      <c r="C3897" t="s">
        <v>172</v>
      </c>
      <c r="D3897" t="s">
        <v>68</v>
      </c>
      <c r="E3897" t="s">
        <v>21</v>
      </c>
      <c r="F3897">
        <v>1</v>
      </c>
      <c r="G3897">
        <v>30</v>
      </c>
      <c r="H3897" s="1">
        <v>44076</v>
      </c>
      <c r="I3897">
        <v>2020</v>
      </c>
      <c r="J3897">
        <v>9</v>
      </c>
      <c r="K3897" t="s">
        <v>30</v>
      </c>
      <c r="L3897">
        <v>1</v>
      </c>
      <c r="M3897">
        <v>1</v>
      </c>
    </row>
    <row r="3898" spans="1:13" x14ac:dyDescent="0.25">
      <c r="A3898" t="s">
        <v>2688</v>
      </c>
      <c r="B3898" t="s">
        <v>32</v>
      </c>
      <c r="C3898" t="s">
        <v>14</v>
      </c>
      <c r="D3898" t="s">
        <v>20</v>
      </c>
      <c r="E3898">
        <v>250</v>
      </c>
      <c r="F3898" t="s">
        <v>21</v>
      </c>
      <c r="G3898">
        <v>95.2</v>
      </c>
      <c r="H3898" s="1">
        <v>44075</v>
      </c>
      <c r="I3898">
        <v>2020</v>
      </c>
      <c r="J3898">
        <v>9</v>
      </c>
      <c r="K3898" t="s">
        <v>30</v>
      </c>
      <c r="L3898" t="s">
        <v>21</v>
      </c>
      <c r="M3898">
        <v>1</v>
      </c>
    </row>
    <row r="3899" spans="1:13" x14ac:dyDescent="0.25">
      <c r="A3899" t="s">
        <v>2689</v>
      </c>
      <c r="B3899" t="s">
        <v>77</v>
      </c>
      <c r="C3899" t="s">
        <v>64</v>
      </c>
      <c r="D3899" t="s">
        <v>22</v>
      </c>
      <c r="E3899">
        <v>22</v>
      </c>
      <c r="F3899">
        <v>0.11</v>
      </c>
      <c r="G3899">
        <v>97</v>
      </c>
      <c r="H3899" s="1">
        <v>44075</v>
      </c>
      <c r="I3899">
        <v>2020</v>
      </c>
      <c r="J3899">
        <v>9</v>
      </c>
      <c r="K3899" t="s">
        <v>30</v>
      </c>
      <c r="L3899">
        <v>0</v>
      </c>
      <c r="M3899">
        <v>1</v>
      </c>
    </row>
    <row r="3900" spans="1:13" x14ac:dyDescent="0.25">
      <c r="A3900" t="s">
        <v>2690</v>
      </c>
      <c r="B3900" t="s">
        <v>73</v>
      </c>
      <c r="C3900" t="s">
        <v>48</v>
      </c>
      <c r="D3900" t="s">
        <v>15</v>
      </c>
      <c r="E3900">
        <v>350</v>
      </c>
      <c r="F3900">
        <v>0.1</v>
      </c>
      <c r="G3900">
        <v>548</v>
      </c>
      <c r="H3900" s="1">
        <v>44074</v>
      </c>
      <c r="I3900">
        <v>2020</v>
      </c>
      <c r="J3900">
        <v>8</v>
      </c>
      <c r="K3900" t="s">
        <v>36</v>
      </c>
      <c r="L3900">
        <v>0</v>
      </c>
      <c r="M3900">
        <v>1</v>
      </c>
    </row>
    <row r="3901" spans="1:13" x14ac:dyDescent="0.25">
      <c r="A3901" t="s">
        <v>98</v>
      </c>
      <c r="B3901" t="s">
        <v>99</v>
      </c>
      <c r="C3901" t="s">
        <v>14</v>
      </c>
      <c r="D3901" t="s">
        <v>15</v>
      </c>
      <c r="E3901">
        <v>1000</v>
      </c>
      <c r="F3901">
        <v>0.02</v>
      </c>
      <c r="G3901">
        <v>65.400000000000006</v>
      </c>
      <c r="H3901" s="1">
        <v>44069</v>
      </c>
      <c r="I3901">
        <v>2020</v>
      </c>
      <c r="J3901">
        <v>8</v>
      </c>
      <c r="K3901" t="s">
        <v>30</v>
      </c>
      <c r="L3901">
        <v>0</v>
      </c>
      <c r="M3901">
        <v>1</v>
      </c>
    </row>
    <row r="3902" spans="1:13" x14ac:dyDescent="0.25">
      <c r="A3902" t="s">
        <v>2691</v>
      </c>
      <c r="B3902" t="s">
        <v>45</v>
      </c>
      <c r="C3902" t="s">
        <v>14</v>
      </c>
      <c r="D3902" t="s">
        <v>20</v>
      </c>
      <c r="E3902" t="s">
        <v>21</v>
      </c>
      <c r="F3902" t="s">
        <v>21</v>
      </c>
      <c r="G3902" t="s">
        <v>21</v>
      </c>
      <c r="H3902" s="1">
        <v>44069</v>
      </c>
      <c r="I3902">
        <v>2020</v>
      </c>
      <c r="J3902">
        <v>8</v>
      </c>
      <c r="K3902" t="s">
        <v>22</v>
      </c>
      <c r="L3902" t="s">
        <v>21</v>
      </c>
      <c r="M3902">
        <v>0</v>
      </c>
    </row>
    <row r="3903" spans="1:13" x14ac:dyDescent="0.25">
      <c r="A3903" t="s">
        <v>2692</v>
      </c>
      <c r="B3903" t="s">
        <v>140</v>
      </c>
      <c r="C3903" t="s">
        <v>42</v>
      </c>
      <c r="D3903" t="s">
        <v>15</v>
      </c>
      <c r="E3903">
        <v>30</v>
      </c>
      <c r="F3903" t="s">
        <v>21</v>
      </c>
      <c r="G3903">
        <v>36</v>
      </c>
      <c r="H3903" s="1">
        <v>44067</v>
      </c>
      <c r="I3903">
        <v>2020</v>
      </c>
      <c r="J3903">
        <v>8</v>
      </c>
      <c r="K3903" t="s">
        <v>30</v>
      </c>
      <c r="L3903" t="s">
        <v>21</v>
      </c>
      <c r="M3903">
        <v>1</v>
      </c>
    </row>
    <row r="3904" spans="1:13" x14ac:dyDescent="0.25">
      <c r="A3904" t="s">
        <v>2693</v>
      </c>
      <c r="B3904" t="s">
        <v>32</v>
      </c>
      <c r="C3904" t="s">
        <v>14</v>
      </c>
      <c r="D3904" t="s">
        <v>20</v>
      </c>
      <c r="E3904" t="s">
        <v>21</v>
      </c>
      <c r="F3904" t="s">
        <v>21</v>
      </c>
      <c r="G3904">
        <v>9.5</v>
      </c>
      <c r="H3904" s="1">
        <v>44067</v>
      </c>
      <c r="I3904">
        <v>2020</v>
      </c>
      <c r="J3904">
        <v>8</v>
      </c>
      <c r="K3904" t="s">
        <v>16</v>
      </c>
      <c r="L3904" t="s">
        <v>21</v>
      </c>
      <c r="M3904">
        <v>0</v>
      </c>
    </row>
    <row r="3905" spans="1:13" x14ac:dyDescent="0.25">
      <c r="A3905" t="s">
        <v>2694</v>
      </c>
      <c r="B3905" t="s">
        <v>38</v>
      </c>
      <c r="C3905" t="s">
        <v>14</v>
      </c>
      <c r="D3905" t="s">
        <v>46</v>
      </c>
      <c r="E3905" t="s">
        <v>21</v>
      </c>
      <c r="F3905" t="s">
        <v>21</v>
      </c>
      <c r="G3905">
        <v>76.2</v>
      </c>
      <c r="H3905" s="1">
        <v>44063</v>
      </c>
      <c r="I3905">
        <v>2020</v>
      </c>
      <c r="J3905">
        <v>8</v>
      </c>
      <c r="K3905" t="s">
        <v>30</v>
      </c>
      <c r="L3905" t="s">
        <v>21</v>
      </c>
      <c r="M3905">
        <v>0</v>
      </c>
    </row>
    <row r="3906" spans="1:13" x14ac:dyDescent="0.25">
      <c r="A3906" t="s">
        <v>2695</v>
      </c>
      <c r="B3906" t="s">
        <v>35</v>
      </c>
      <c r="C3906" t="s">
        <v>80</v>
      </c>
      <c r="D3906" t="s">
        <v>49</v>
      </c>
      <c r="E3906">
        <v>8</v>
      </c>
      <c r="F3906">
        <v>0.8</v>
      </c>
      <c r="G3906">
        <v>15.5</v>
      </c>
      <c r="H3906" s="1">
        <v>44062</v>
      </c>
      <c r="I3906">
        <v>2020</v>
      </c>
      <c r="J3906">
        <v>8</v>
      </c>
      <c r="K3906" t="s">
        <v>30</v>
      </c>
      <c r="L3906">
        <v>0</v>
      </c>
      <c r="M3906">
        <v>1</v>
      </c>
    </row>
    <row r="3907" spans="1:13" x14ac:dyDescent="0.25">
      <c r="A3907" t="s">
        <v>2696</v>
      </c>
      <c r="B3907" t="s">
        <v>73</v>
      </c>
      <c r="C3907" t="s">
        <v>83</v>
      </c>
      <c r="D3907" t="s">
        <v>49</v>
      </c>
      <c r="E3907" t="s">
        <v>21</v>
      </c>
      <c r="F3907" t="s">
        <v>21</v>
      </c>
      <c r="G3907">
        <v>1.3</v>
      </c>
      <c r="H3907" s="1">
        <v>44062</v>
      </c>
      <c r="I3907">
        <v>2020</v>
      </c>
      <c r="J3907">
        <v>8</v>
      </c>
      <c r="K3907" t="s">
        <v>16</v>
      </c>
      <c r="L3907" t="s">
        <v>21</v>
      </c>
      <c r="M3907">
        <v>0</v>
      </c>
    </row>
    <row r="3908" spans="1:13" x14ac:dyDescent="0.25">
      <c r="A3908" t="s">
        <v>2697</v>
      </c>
      <c r="B3908" t="s">
        <v>140</v>
      </c>
      <c r="C3908" t="s">
        <v>14</v>
      </c>
      <c r="D3908" t="s">
        <v>68</v>
      </c>
      <c r="E3908" t="s">
        <v>21</v>
      </c>
      <c r="F3908">
        <v>1</v>
      </c>
      <c r="G3908">
        <v>10</v>
      </c>
      <c r="H3908" s="1">
        <v>44061</v>
      </c>
      <c r="I3908">
        <v>2020</v>
      </c>
      <c r="J3908">
        <v>8</v>
      </c>
      <c r="K3908" t="s">
        <v>30</v>
      </c>
      <c r="L3908">
        <v>1</v>
      </c>
      <c r="M3908">
        <v>1</v>
      </c>
    </row>
    <row r="3909" spans="1:13" x14ac:dyDescent="0.25">
      <c r="A3909" t="s">
        <v>2650</v>
      </c>
      <c r="B3909" t="s">
        <v>18</v>
      </c>
      <c r="C3909" t="s">
        <v>657</v>
      </c>
      <c r="D3909" t="s">
        <v>22</v>
      </c>
      <c r="E3909" t="s">
        <v>21</v>
      </c>
      <c r="F3909" t="s">
        <v>21</v>
      </c>
      <c r="G3909">
        <v>105</v>
      </c>
      <c r="H3909" s="1">
        <v>44060</v>
      </c>
      <c r="I3909">
        <v>2020</v>
      </c>
      <c r="J3909">
        <v>8</v>
      </c>
      <c r="K3909" t="s">
        <v>36</v>
      </c>
      <c r="L3909" t="s">
        <v>21</v>
      </c>
      <c r="M3909">
        <v>0</v>
      </c>
    </row>
    <row r="3910" spans="1:13" x14ac:dyDescent="0.25">
      <c r="A3910" t="s">
        <v>173</v>
      </c>
      <c r="B3910" t="s">
        <v>24</v>
      </c>
      <c r="C3910" t="s">
        <v>174</v>
      </c>
      <c r="D3910" t="s">
        <v>15</v>
      </c>
      <c r="E3910">
        <v>30</v>
      </c>
      <c r="F3910" t="s">
        <v>21</v>
      </c>
      <c r="G3910">
        <v>122.3</v>
      </c>
      <c r="H3910" s="1">
        <v>44057</v>
      </c>
      <c r="I3910">
        <v>2020</v>
      </c>
      <c r="J3910">
        <v>8</v>
      </c>
      <c r="K3910" t="s">
        <v>36</v>
      </c>
      <c r="L3910" t="s">
        <v>21</v>
      </c>
      <c r="M3910">
        <v>1</v>
      </c>
    </row>
    <row r="3911" spans="1:13" x14ac:dyDescent="0.25">
      <c r="A3911" t="s">
        <v>995</v>
      </c>
      <c r="B3911" t="s">
        <v>114</v>
      </c>
      <c r="C3911" t="s">
        <v>14</v>
      </c>
      <c r="D3911" t="s">
        <v>43</v>
      </c>
      <c r="E3911" t="s">
        <v>21</v>
      </c>
      <c r="F3911" t="s">
        <v>21</v>
      </c>
      <c r="G3911">
        <v>350.2</v>
      </c>
      <c r="H3911" s="1">
        <v>44057</v>
      </c>
      <c r="I3911">
        <v>2020</v>
      </c>
      <c r="J3911">
        <v>8</v>
      </c>
      <c r="K3911" t="s">
        <v>36</v>
      </c>
      <c r="L3911" t="s">
        <v>21</v>
      </c>
      <c r="M3911">
        <v>0</v>
      </c>
    </row>
    <row r="3912" spans="1:13" x14ac:dyDescent="0.25">
      <c r="A3912" t="s">
        <v>2698</v>
      </c>
      <c r="B3912" t="s">
        <v>66</v>
      </c>
      <c r="C3912" t="s">
        <v>14</v>
      </c>
      <c r="D3912" t="s">
        <v>22</v>
      </c>
      <c r="E3912" t="s">
        <v>21</v>
      </c>
      <c r="F3912" t="s">
        <v>21</v>
      </c>
      <c r="G3912">
        <v>45</v>
      </c>
      <c r="H3912" s="1">
        <v>44055</v>
      </c>
      <c r="I3912">
        <v>2020</v>
      </c>
      <c r="J3912">
        <v>8</v>
      </c>
      <c r="K3912" t="s">
        <v>30</v>
      </c>
      <c r="L3912" t="s">
        <v>21</v>
      </c>
      <c r="M3912">
        <v>0</v>
      </c>
    </row>
    <row r="3913" spans="1:13" x14ac:dyDescent="0.25">
      <c r="A3913" t="s">
        <v>885</v>
      </c>
      <c r="B3913" t="s">
        <v>18</v>
      </c>
      <c r="C3913" t="s">
        <v>14</v>
      </c>
      <c r="D3913" t="s">
        <v>22</v>
      </c>
      <c r="E3913">
        <v>250</v>
      </c>
      <c r="F3913">
        <v>0.25</v>
      </c>
      <c r="G3913">
        <v>2.2999999999999998</v>
      </c>
      <c r="H3913" s="1">
        <v>44054</v>
      </c>
      <c r="I3913">
        <v>2020</v>
      </c>
      <c r="J3913">
        <v>8</v>
      </c>
      <c r="K3913" t="s">
        <v>16</v>
      </c>
      <c r="L3913">
        <v>0</v>
      </c>
      <c r="M3913">
        <v>1</v>
      </c>
    </row>
    <row r="3914" spans="1:13" x14ac:dyDescent="0.25">
      <c r="A3914" t="s">
        <v>2699</v>
      </c>
      <c r="B3914" t="s">
        <v>95</v>
      </c>
      <c r="C3914" t="s">
        <v>64</v>
      </c>
      <c r="D3914" t="s">
        <v>49</v>
      </c>
      <c r="E3914">
        <v>20</v>
      </c>
      <c r="F3914">
        <v>1</v>
      </c>
      <c r="G3914">
        <v>0.98</v>
      </c>
      <c r="H3914" s="1">
        <v>44051</v>
      </c>
      <c r="I3914">
        <v>2020</v>
      </c>
      <c r="J3914">
        <v>8</v>
      </c>
      <c r="K3914" t="s">
        <v>16</v>
      </c>
      <c r="L3914">
        <v>1</v>
      </c>
      <c r="M3914">
        <v>1</v>
      </c>
    </row>
    <row r="3915" spans="1:13" x14ac:dyDescent="0.25">
      <c r="A3915" t="s">
        <v>262</v>
      </c>
      <c r="B3915" t="s">
        <v>24</v>
      </c>
      <c r="C3915" t="s">
        <v>14</v>
      </c>
      <c r="D3915" t="s">
        <v>55</v>
      </c>
      <c r="E3915">
        <v>150</v>
      </c>
      <c r="F3915">
        <v>0.38</v>
      </c>
      <c r="G3915">
        <v>186.4</v>
      </c>
      <c r="H3915" s="1">
        <v>44050</v>
      </c>
      <c r="I3915">
        <v>2020</v>
      </c>
      <c r="J3915">
        <v>8</v>
      </c>
      <c r="K3915" t="s">
        <v>36</v>
      </c>
      <c r="L3915">
        <v>0</v>
      </c>
      <c r="M3915">
        <v>1</v>
      </c>
    </row>
    <row r="3916" spans="1:13" x14ac:dyDescent="0.25">
      <c r="A3916" t="s">
        <v>2700</v>
      </c>
      <c r="B3916" t="s">
        <v>66</v>
      </c>
      <c r="C3916" t="s">
        <v>323</v>
      </c>
      <c r="D3916" t="s">
        <v>49</v>
      </c>
      <c r="E3916" t="s">
        <v>21</v>
      </c>
      <c r="F3916" t="s">
        <v>21</v>
      </c>
      <c r="G3916">
        <v>1.8</v>
      </c>
      <c r="H3916" s="1">
        <v>44050</v>
      </c>
      <c r="I3916">
        <v>2020</v>
      </c>
      <c r="J3916">
        <v>8</v>
      </c>
      <c r="K3916" t="s">
        <v>16</v>
      </c>
      <c r="L3916" t="s">
        <v>21</v>
      </c>
      <c r="M3916">
        <v>0</v>
      </c>
    </row>
    <row r="3917" spans="1:13" x14ac:dyDescent="0.25">
      <c r="A3917" t="s">
        <v>2701</v>
      </c>
      <c r="B3917" t="s">
        <v>95</v>
      </c>
      <c r="C3917" t="s">
        <v>174</v>
      </c>
      <c r="D3917" t="s">
        <v>33</v>
      </c>
      <c r="E3917">
        <v>75</v>
      </c>
      <c r="F3917">
        <v>0.5</v>
      </c>
      <c r="G3917">
        <v>53</v>
      </c>
      <c r="H3917" s="1">
        <v>44049</v>
      </c>
      <c r="I3917">
        <v>2020</v>
      </c>
      <c r="J3917">
        <v>8</v>
      </c>
      <c r="K3917" t="s">
        <v>30</v>
      </c>
      <c r="L3917">
        <v>0</v>
      </c>
      <c r="M3917">
        <v>1</v>
      </c>
    </row>
    <row r="3918" spans="1:13" x14ac:dyDescent="0.25">
      <c r="A3918" t="s">
        <v>2702</v>
      </c>
      <c r="B3918" t="s">
        <v>99</v>
      </c>
      <c r="C3918" t="s">
        <v>14</v>
      </c>
      <c r="D3918" t="s">
        <v>22</v>
      </c>
      <c r="E3918">
        <v>56</v>
      </c>
      <c r="F3918" t="s">
        <v>21</v>
      </c>
      <c r="G3918">
        <v>20</v>
      </c>
      <c r="H3918" s="1">
        <v>44048</v>
      </c>
      <c r="I3918">
        <v>2020</v>
      </c>
      <c r="J3918">
        <v>8</v>
      </c>
      <c r="K3918" t="s">
        <v>30</v>
      </c>
      <c r="L3918" t="s">
        <v>21</v>
      </c>
      <c r="M3918">
        <v>1</v>
      </c>
    </row>
    <row r="3919" spans="1:13" x14ac:dyDescent="0.25">
      <c r="A3919" t="s">
        <v>581</v>
      </c>
      <c r="B3919" t="s">
        <v>73</v>
      </c>
      <c r="C3919" t="s">
        <v>74</v>
      </c>
      <c r="D3919" t="s">
        <v>20</v>
      </c>
      <c r="E3919">
        <v>4375</v>
      </c>
      <c r="F3919">
        <v>0.25</v>
      </c>
      <c r="G3919" t="s">
        <v>21</v>
      </c>
      <c r="H3919" s="1">
        <v>44042</v>
      </c>
      <c r="I3919">
        <v>2020</v>
      </c>
      <c r="J3919">
        <v>7</v>
      </c>
      <c r="K3919" t="s">
        <v>22</v>
      </c>
      <c r="L3919">
        <v>0</v>
      </c>
      <c r="M3919">
        <v>1</v>
      </c>
    </row>
    <row r="3920" spans="1:13" x14ac:dyDescent="0.25">
      <c r="A3920" t="s">
        <v>2703</v>
      </c>
      <c r="B3920" t="s">
        <v>24</v>
      </c>
      <c r="C3920" t="s">
        <v>14</v>
      </c>
      <c r="D3920" t="s">
        <v>20</v>
      </c>
      <c r="E3920">
        <v>87</v>
      </c>
      <c r="F3920">
        <v>1</v>
      </c>
      <c r="G3920">
        <v>42.4</v>
      </c>
      <c r="H3920" s="1">
        <v>44042</v>
      </c>
      <c r="I3920">
        <v>2020</v>
      </c>
      <c r="J3920">
        <v>7</v>
      </c>
      <c r="K3920" t="s">
        <v>30</v>
      </c>
      <c r="L3920">
        <v>1</v>
      </c>
      <c r="M3920">
        <v>1</v>
      </c>
    </row>
    <row r="3921" spans="1:13" x14ac:dyDescent="0.25">
      <c r="A3921" t="s">
        <v>2704</v>
      </c>
      <c r="B3921" t="s">
        <v>77</v>
      </c>
      <c r="C3921" t="s">
        <v>14</v>
      </c>
      <c r="D3921" t="s">
        <v>20</v>
      </c>
      <c r="E3921" t="s">
        <v>21</v>
      </c>
      <c r="F3921" t="s">
        <v>21</v>
      </c>
      <c r="G3921">
        <v>472</v>
      </c>
      <c r="H3921" s="1">
        <v>44042</v>
      </c>
      <c r="I3921">
        <v>2020</v>
      </c>
      <c r="J3921">
        <v>7</v>
      </c>
      <c r="K3921" t="s">
        <v>36</v>
      </c>
      <c r="L3921" t="s">
        <v>21</v>
      </c>
      <c r="M3921">
        <v>0</v>
      </c>
    </row>
    <row r="3922" spans="1:13" x14ac:dyDescent="0.25">
      <c r="A3922" t="s">
        <v>2705</v>
      </c>
      <c r="B3922" t="s">
        <v>95</v>
      </c>
      <c r="C3922" t="s">
        <v>14</v>
      </c>
      <c r="D3922" t="s">
        <v>22</v>
      </c>
      <c r="E3922" t="s">
        <v>21</v>
      </c>
      <c r="F3922" t="s">
        <v>21</v>
      </c>
      <c r="G3922">
        <v>13</v>
      </c>
      <c r="H3922" s="1">
        <v>44041</v>
      </c>
      <c r="I3922">
        <v>2020</v>
      </c>
      <c r="J3922">
        <v>7</v>
      </c>
      <c r="K3922" t="s">
        <v>30</v>
      </c>
      <c r="L3922" t="s">
        <v>21</v>
      </c>
      <c r="M3922">
        <v>0</v>
      </c>
    </row>
    <row r="3923" spans="1:13" x14ac:dyDescent="0.25">
      <c r="A3923" t="s">
        <v>927</v>
      </c>
      <c r="B3923" t="s">
        <v>533</v>
      </c>
      <c r="C3923" t="s">
        <v>14</v>
      </c>
      <c r="D3923" t="s">
        <v>22</v>
      </c>
      <c r="E3923">
        <v>180</v>
      </c>
      <c r="F3923">
        <v>0.09</v>
      </c>
      <c r="G3923">
        <v>649</v>
      </c>
      <c r="H3923" s="1">
        <v>44040</v>
      </c>
      <c r="I3923">
        <v>2020</v>
      </c>
      <c r="J3923">
        <v>7</v>
      </c>
      <c r="K3923" t="s">
        <v>36</v>
      </c>
      <c r="L3923">
        <v>0</v>
      </c>
      <c r="M3923">
        <v>1</v>
      </c>
    </row>
    <row r="3924" spans="1:13" x14ac:dyDescent="0.25">
      <c r="A3924" t="s">
        <v>930</v>
      </c>
      <c r="B3924" t="s">
        <v>95</v>
      </c>
      <c r="C3924" t="s">
        <v>48</v>
      </c>
      <c r="D3924" t="s">
        <v>518</v>
      </c>
      <c r="E3924">
        <v>350</v>
      </c>
      <c r="F3924">
        <v>0.05</v>
      </c>
      <c r="G3924">
        <v>1600</v>
      </c>
      <c r="H3924" s="1">
        <v>44039</v>
      </c>
      <c r="I3924">
        <v>2020</v>
      </c>
      <c r="J3924">
        <v>7</v>
      </c>
      <c r="K3924" t="s">
        <v>26</v>
      </c>
      <c r="L3924">
        <v>0</v>
      </c>
      <c r="M3924">
        <v>1</v>
      </c>
    </row>
    <row r="3925" spans="1:13" x14ac:dyDescent="0.25">
      <c r="A3925" t="s">
        <v>2706</v>
      </c>
      <c r="B3925" t="s">
        <v>77</v>
      </c>
      <c r="C3925" t="s">
        <v>83</v>
      </c>
      <c r="D3925" t="s">
        <v>33</v>
      </c>
      <c r="E3925">
        <v>75</v>
      </c>
      <c r="F3925">
        <v>0.72</v>
      </c>
      <c r="G3925">
        <v>60.18</v>
      </c>
      <c r="H3925" s="1">
        <v>44039</v>
      </c>
      <c r="I3925">
        <v>2020</v>
      </c>
      <c r="J3925">
        <v>7</v>
      </c>
      <c r="K3925" t="s">
        <v>30</v>
      </c>
      <c r="L3925">
        <v>0</v>
      </c>
      <c r="M3925">
        <v>1</v>
      </c>
    </row>
    <row r="3926" spans="1:13" x14ac:dyDescent="0.25">
      <c r="A3926" t="s">
        <v>2707</v>
      </c>
      <c r="B3926" t="s">
        <v>40</v>
      </c>
      <c r="C3926" t="s">
        <v>80</v>
      </c>
      <c r="D3926" t="s">
        <v>22</v>
      </c>
      <c r="E3926" t="s">
        <v>21</v>
      </c>
      <c r="F3926" t="s">
        <v>21</v>
      </c>
      <c r="G3926">
        <v>29.7</v>
      </c>
      <c r="H3926" s="1">
        <v>44039</v>
      </c>
      <c r="I3926">
        <v>2020</v>
      </c>
      <c r="J3926">
        <v>7</v>
      </c>
      <c r="K3926" t="s">
        <v>30</v>
      </c>
      <c r="L3926" t="s">
        <v>21</v>
      </c>
      <c r="M3926">
        <v>0</v>
      </c>
    </row>
    <row r="3927" spans="1:13" x14ac:dyDescent="0.25">
      <c r="A3927" t="s">
        <v>814</v>
      </c>
      <c r="B3927" t="s">
        <v>40</v>
      </c>
      <c r="C3927" t="s">
        <v>14</v>
      </c>
      <c r="D3927" t="s">
        <v>55</v>
      </c>
      <c r="E3927">
        <v>64</v>
      </c>
      <c r="F3927">
        <v>0.12</v>
      </c>
      <c r="G3927">
        <v>309</v>
      </c>
      <c r="H3927" s="1">
        <v>44035</v>
      </c>
      <c r="I3927">
        <v>2020</v>
      </c>
      <c r="J3927">
        <v>7</v>
      </c>
      <c r="K3927" t="s">
        <v>36</v>
      </c>
      <c r="L3927">
        <v>0</v>
      </c>
      <c r="M3927">
        <v>1</v>
      </c>
    </row>
    <row r="3928" spans="1:13" x14ac:dyDescent="0.25">
      <c r="A3928" t="s">
        <v>2708</v>
      </c>
      <c r="B3928" t="s">
        <v>24</v>
      </c>
      <c r="C3928" t="s">
        <v>25</v>
      </c>
      <c r="D3928" t="s">
        <v>33</v>
      </c>
      <c r="E3928" t="s">
        <v>21</v>
      </c>
      <c r="F3928">
        <v>1</v>
      </c>
      <c r="G3928">
        <v>27</v>
      </c>
      <c r="H3928" s="1">
        <v>44035</v>
      </c>
      <c r="I3928">
        <v>2020</v>
      </c>
      <c r="J3928">
        <v>7</v>
      </c>
      <c r="K3928" t="s">
        <v>30</v>
      </c>
      <c r="L3928">
        <v>1</v>
      </c>
      <c r="M3928">
        <v>1</v>
      </c>
    </row>
    <row r="3929" spans="1:13" x14ac:dyDescent="0.25">
      <c r="A3929" t="s">
        <v>141</v>
      </c>
      <c r="B3929" t="s">
        <v>45</v>
      </c>
      <c r="C3929" t="s">
        <v>14</v>
      </c>
      <c r="D3929" t="s">
        <v>20</v>
      </c>
      <c r="E3929">
        <v>960</v>
      </c>
      <c r="F3929">
        <v>0.06</v>
      </c>
      <c r="G3929">
        <v>154</v>
      </c>
      <c r="H3929" s="1">
        <v>44033</v>
      </c>
      <c r="I3929">
        <v>2020</v>
      </c>
      <c r="J3929">
        <v>7</v>
      </c>
      <c r="K3929" t="s">
        <v>36</v>
      </c>
      <c r="L3929">
        <v>0</v>
      </c>
      <c r="M3929">
        <v>1</v>
      </c>
    </row>
    <row r="3930" spans="1:13" x14ac:dyDescent="0.25">
      <c r="A3930" t="s">
        <v>2709</v>
      </c>
      <c r="B3930" t="s">
        <v>77</v>
      </c>
      <c r="C3930" t="s">
        <v>14</v>
      </c>
      <c r="D3930" t="s">
        <v>33</v>
      </c>
      <c r="E3930">
        <v>22</v>
      </c>
      <c r="F3930">
        <v>0.49</v>
      </c>
      <c r="G3930">
        <v>15</v>
      </c>
      <c r="H3930" s="1">
        <v>44032</v>
      </c>
      <c r="I3930">
        <v>2020</v>
      </c>
      <c r="J3930">
        <v>7</v>
      </c>
      <c r="K3930" t="s">
        <v>30</v>
      </c>
      <c r="L3930">
        <v>0</v>
      </c>
      <c r="M3930">
        <v>1</v>
      </c>
    </row>
    <row r="3931" spans="1:13" x14ac:dyDescent="0.25">
      <c r="A3931" t="s">
        <v>2710</v>
      </c>
      <c r="B3931" t="s">
        <v>207</v>
      </c>
      <c r="C3931" t="s">
        <v>48</v>
      </c>
      <c r="D3931" t="s">
        <v>55</v>
      </c>
      <c r="E3931">
        <v>120</v>
      </c>
      <c r="F3931" t="s">
        <v>21</v>
      </c>
      <c r="G3931">
        <v>404.6</v>
      </c>
      <c r="H3931" s="1">
        <v>44029</v>
      </c>
      <c r="I3931">
        <v>2020</v>
      </c>
      <c r="J3931">
        <v>7</v>
      </c>
      <c r="K3931" t="s">
        <v>36</v>
      </c>
      <c r="L3931" t="s">
        <v>21</v>
      </c>
      <c r="M3931">
        <v>1</v>
      </c>
    </row>
    <row r="3932" spans="1:13" x14ac:dyDescent="0.25">
      <c r="A3932" t="s">
        <v>2711</v>
      </c>
      <c r="B3932" t="s">
        <v>73</v>
      </c>
      <c r="C3932" t="s">
        <v>174</v>
      </c>
      <c r="D3932" t="s">
        <v>68</v>
      </c>
      <c r="E3932" t="s">
        <v>21</v>
      </c>
      <c r="F3932" t="s">
        <v>21</v>
      </c>
      <c r="G3932">
        <v>22.4</v>
      </c>
      <c r="H3932" s="1">
        <v>44028</v>
      </c>
      <c r="I3932">
        <v>2020</v>
      </c>
      <c r="J3932">
        <v>7</v>
      </c>
      <c r="K3932" t="s">
        <v>30</v>
      </c>
      <c r="L3932" t="s">
        <v>21</v>
      </c>
      <c r="M3932">
        <v>0</v>
      </c>
    </row>
    <row r="3933" spans="1:13" x14ac:dyDescent="0.25">
      <c r="A3933" t="s">
        <v>2712</v>
      </c>
      <c r="B3933" t="s">
        <v>54</v>
      </c>
      <c r="C3933" t="s">
        <v>14</v>
      </c>
      <c r="D3933" t="s">
        <v>55</v>
      </c>
      <c r="E3933">
        <v>60</v>
      </c>
      <c r="F3933">
        <v>0.15</v>
      </c>
      <c r="G3933">
        <v>251.2</v>
      </c>
      <c r="H3933" s="1">
        <v>44027</v>
      </c>
      <c r="I3933">
        <v>2020</v>
      </c>
      <c r="J3933">
        <v>7</v>
      </c>
      <c r="K3933" t="s">
        <v>36</v>
      </c>
      <c r="L3933">
        <v>0</v>
      </c>
      <c r="M3933">
        <v>1</v>
      </c>
    </row>
    <row r="3934" spans="1:13" x14ac:dyDescent="0.25">
      <c r="A3934" t="s">
        <v>2713</v>
      </c>
      <c r="B3934" t="s">
        <v>73</v>
      </c>
      <c r="C3934" t="s">
        <v>80</v>
      </c>
      <c r="D3934" t="s">
        <v>20</v>
      </c>
      <c r="E3934">
        <v>300</v>
      </c>
      <c r="F3934">
        <v>0.2</v>
      </c>
      <c r="G3934">
        <v>197.2</v>
      </c>
      <c r="H3934" s="1">
        <v>44026</v>
      </c>
      <c r="I3934">
        <v>2020</v>
      </c>
      <c r="J3934">
        <v>7</v>
      </c>
      <c r="K3934" t="s">
        <v>36</v>
      </c>
      <c r="L3934">
        <v>0</v>
      </c>
      <c r="M3934">
        <v>1</v>
      </c>
    </row>
    <row r="3935" spans="1:13" x14ac:dyDescent="0.25">
      <c r="A3935" t="s">
        <v>556</v>
      </c>
      <c r="B3935" t="s">
        <v>32</v>
      </c>
      <c r="C3935" t="s">
        <v>14</v>
      </c>
      <c r="D3935" t="s">
        <v>43</v>
      </c>
      <c r="E3935" t="s">
        <v>21</v>
      </c>
      <c r="F3935" t="s">
        <v>21</v>
      </c>
      <c r="G3935">
        <v>307.60000000000002</v>
      </c>
      <c r="H3935" s="1">
        <v>44026</v>
      </c>
      <c r="I3935">
        <v>2020</v>
      </c>
      <c r="J3935">
        <v>7</v>
      </c>
      <c r="K3935" t="s">
        <v>36</v>
      </c>
      <c r="L3935" t="s">
        <v>21</v>
      </c>
      <c r="M3935">
        <v>0</v>
      </c>
    </row>
    <row r="3936" spans="1:13" x14ac:dyDescent="0.25">
      <c r="A3936" t="s">
        <v>2714</v>
      </c>
      <c r="B3936" t="s">
        <v>18</v>
      </c>
      <c r="C3936" t="s">
        <v>14</v>
      </c>
      <c r="D3936" t="s">
        <v>15</v>
      </c>
      <c r="E3936">
        <v>63</v>
      </c>
      <c r="F3936" t="s">
        <v>21</v>
      </c>
      <c r="G3936">
        <v>56</v>
      </c>
      <c r="H3936" s="1">
        <v>44025</v>
      </c>
      <c r="I3936">
        <v>2020</v>
      </c>
      <c r="J3936">
        <v>7</v>
      </c>
      <c r="K3936" t="s">
        <v>30</v>
      </c>
      <c r="L3936" t="s">
        <v>21</v>
      </c>
      <c r="M3936">
        <v>1</v>
      </c>
    </row>
    <row r="3937" spans="1:13" x14ac:dyDescent="0.25">
      <c r="A3937" t="s">
        <v>1131</v>
      </c>
      <c r="B3937" t="s">
        <v>117</v>
      </c>
      <c r="C3937" t="s">
        <v>48</v>
      </c>
      <c r="D3937" t="s">
        <v>46</v>
      </c>
      <c r="E3937">
        <v>140</v>
      </c>
      <c r="F3937" t="s">
        <v>21</v>
      </c>
      <c r="G3937">
        <v>70</v>
      </c>
      <c r="H3937" s="1">
        <v>44022</v>
      </c>
      <c r="I3937">
        <v>2020</v>
      </c>
      <c r="J3937">
        <v>7</v>
      </c>
      <c r="K3937" t="s">
        <v>30</v>
      </c>
      <c r="L3937" t="s">
        <v>21</v>
      </c>
      <c r="M3937">
        <v>1</v>
      </c>
    </row>
    <row r="3938" spans="1:13" x14ac:dyDescent="0.25">
      <c r="A3938" t="s">
        <v>2715</v>
      </c>
      <c r="B3938" t="s">
        <v>24</v>
      </c>
      <c r="C3938" t="s">
        <v>64</v>
      </c>
      <c r="D3938" t="s">
        <v>55</v>
      </c>
      <c r="E3938">
        <v>100</v>
      </c>
      <c r="F3938">
        <v>0.12</v>
      </c>
      <c r="G3938">
        <v>307</v>
      </c>
      <c r="H3938" s="1">
        <v>44021</v>
      </c>
      <c r="I3938">
        <v>2020</v>
      </c>
      <c r="J3938">
        <v>7</v>
      </c>
      <c r="K3938" t="s">
        <v>36</v>
      </c>
      <c r="L3938">
        <v>0</v>
      </c>
      <c r="M3938">
        <v>1</v>
      </c>
    </row>
    <row r="3939" spans="1:13" x14ac:dyDescent="0.25">
      <c r="A3939" t="s">
        <v>2716</v>
      </c>
      <c r="B3939" t="s">
        <v>77</v>
      </c>
      <c r="C3939" t="s">
        <v>48</v>
      </c>
      <c r="D3939" t="s">
        <v>20</v>
      </c>
      <c r="E3939">
        <v>40</v>
      </c>
      <c r="F3939" t="s">
        <v>21</v>
      </c>
      <c r="G3939">
        <v>25.6</v>
      </c>
      <c r="H3939" s="1">
        <v>44021</v>
      </c>
      <c r="I3939">
        <v>2020</v>
      </c>
      <c r="J3939">
        <v>7</v>
      </c>
      <c r="K3939" t="s">
        <v>30</v>
      </c>
      <c r="L3939" t="s">
        <v>21</v>
      </c>
      <c r="M3939">
        <v>1</v>
      </c>
    </row>
    <row r="3940" spans="1:13" x14ac:dyDescent="0.25">
      <c r="A3940" t="s">
        <v>755</v>
      </c>
      <c r="B3940" t="s">
        <v>77</v>
      </c>
      <c r="C3940" t="s">
        <v>14</v>
      </c>
      <c r="D3940" t="s">
        <v>15</v>
      </c>
      <c r="E3940">
        <v>85</v>
      </c>
      <c r="F3940" t="s">
        <v>21</v>
      </c>
      <c r="G3940">
        <v>746</v>
      </c>
      <c r="H3940" s="1">
        <v>44020</v>
      </c>
      <c r="I3940">
        <v>2020</v>
      </c>
      <c r="J3940">
        <v>7</v>
      </c>
      <c r="K3940" t="s">
        <v>36</v>
      </c>
      <c r="L3940" t="s">
        <v>21</v>
      </c>
      <c r="M3940">
        <v>1</v>
      </c>
    </row>
    <row r="3941" spans="1:13" x14ac:dyDescent="0.25">
      <c r="A3941" t="s">
        <v>2717</v>
      </c>
      <c r="B3941" t="s">
        <v>77</v>
      </c>
      <c r="C3941" t="s">
        <v>14</v>
      </c>
      <c r="D3941" t="s">
        <v>15</v>
      </c>
      <c r="E3941" t="s">
        <v>21</v>
      </c>
      <c r="F3941" t="s">
        <v>21</v>
      </c>
      <c r="G3941">
        <v>1200</v>
      </c>
      <c r="H3941" s="1">
        <v>44020</v>
      </c>
      <c r="I3941">
        <v>2020</v>
      </c>
      <c r="J3941">
        <v>7</v>
      </c>
      <c r="K3941" t="s">
        <v>26</v>
      </c>
      <c r="L3941" t="s">
        <v>21</v>
      </c>
      <c r="M3941">
        <v>0</v>
      </c>
    </row>
    <row r="3942" spans="1:13" x14ac:dyDescent="0.25">
      <c r="A3942" t="s">
        <v>2281</v>
      </c>
      <c r="B3942" t="s">
        <v>91</v>
      </c>
      <c r="C3942" t="s">
        <v>14</v>
      </c>
      <c r="D3942" t="s">
        <v>46</v>
      </c>
      <c r="E3942">
        <v>56</v>
      </c>
      <c r="F3942" t="s">
        <v>21</v>
      </c>
      <c r="G3942">
        <v>117</v>
      </c>
      <c r="H3942" s="1">
        <v>44013</v>
      </c>
      <c r="I3942">
        <v>2020</v>
      </c>
      <c r="J3942">
        <v>7</v>
      </c>
      <c r="K3942" t="s">
        <v>36</v>
      </c>
      <c r="L3942" t="s">
        <v>21</v>
      </c>
      <c r="M3942">
        <v>1</v>
      </c>
    </row>
    <row r="3943" spans="1:13" x14ac:dyDescent="0.25">
      <c r="A3943" t="s">
        <v>2718</v>
      </c>
      <c r="B3943" t="s">
        <v>54</v>
      </c>
      <c r="C3943" t="s">
        <v>14</v>
      </c>
      <c r="D3943" t="s">
        <v>55</v>
      </c>
      <c r="E3943">
        <v>18</v>
      </c>
      <c r="F3943" t="s">
        <v>21</v>
      </c>
      <c r="G3943">
        <v>38</v>
      </c>
      <c r="H3943" s="1">
        <v>44013</v>
      </c>
      <c r="I3943">
        <v>2020</v>
      </c>
      <c r="J3943">
        <v>7</v>
      </c>
      <c r="K3943" t="s">
        <v>30</v>
      </c>
      <c r="L3943" t="s">
        <v>21</v>
      </c>
      <c r="M3943">
        <v>1</v>
      </c>
    </row>
    <row r="3944" spans="1:13" x14ac:dyDescent="0.25">
      <c r="A3944" t="s">
        <v>2719</v>
      </c>
      <c r="B3944" t="s">
        <v>32</v>
      </c>
      <c r="C3944" t="s">
        <v>14</v>
      </c>
      <c r="D3944" t="s">
        <v>46</v>
      </c>
      <c r="E3944">
        <v>12</v>
      </c>
      <c r="F3944" t="s">
        <v>21</v>
      </c>
      <c r="G3944">
        <v>19</v>
      </c>
      <c r="H3944" s="1">
        <v>44013</v>
      </c>
      <c r="I3944">
        <v>2020</v>
      </c>
      <c r="J3944">
        <v>7</v>
      </c>
      <c r="K3944" t="s">
        <v>30</v>
      </c>
      <c r="L3944" t="s">
        <v>21</v>
      </c>
      <c r="M3944">
        <v>1</v>
      </c>
    </row>
    <row r="3945" spans="1:13" x14ac:dyDescent="0.25">
      <c r="A3945" t="s">
        <v>2720</v>
      </c>
      <c r="B3945" t="s">
        <v>18</v>
      </c>
      <c r="C3945" t="s">
        <v>14</v>
      </c>
      <c r="D3945" t="s">
        <v>46</v>
      </c>
      <c r="E3945">
        <v>5</v>
      </c>
      <c r="F3945" t="s">
        <v>21</v>
      </c>
      <c r="G3945">
        <v>57.8</v>
      </c>
      <c r="H3945" s="1">
        <v>44013</v>
      </c>
      <c r="I3945">
        <v>2020</v>
      </c>
      <c r="J3945">
        <v>7</v>
      </c>
      <c r="K3945" t="s">
        <v>30</v>
      </c>
      <c r="L3945" t="s">
        <v>21</v>
      </c>
      <c r="M3945">
        <v>1</v>
      </c>
    </row>
    <row r="3946" spans="1:13" x14ac:dyDescent="0.25">
      <c r="A3946" t="s">
        <v>2721</v>
      </c>
      <c r="B3946" t="s">
        <v>54</v>
      </c>
      <c r="C3946" t="s">
        <v>14</v>
      </c>
      <c r="D3946" t="s">
        <v>46</v>
      </c>
      <c r="E3946">
        <v>17</v>
      </c>
      <c r="F3946">
        <v>0.05</v>
      </c>
      <c r="G3946">
        <v>100.8</v>
      </c>
      <c r="H3946" s="1">
        <v>44012</v>
      </c>
      <c r="I3946">
        <v>2020</v>
      </c>
      <c r="J3946">
        <v>6</v>
      </c>
      <c r="K3946" t="s">
        <v>36</v>
      </c>
      <c r="L3946">
        <v>0</v>
      </c>
      <c r="M3946">
        <v>1</v>
      </c>
    </row>
    <row r="3947" spans="1:13" x14ac:dyDescent="0.25">
      <c r="A3947" t="s">
        <v>2722</v>
      </c>
      <c r="B3947" t="s">
        <v>45</v>
      </c>
      <c r="C3947" t="s">
        <v>14</v>
      </c>
      <c r="D3947" t="s">
        <v>55</v>
      </c>
      <c r="E3947" t="s">
        <v>21</v>
      </c>
      <c r="F3947" t="s">
        <v>21</v>
      </c>
      <c r="G3947">
        <v>132</v>
      </c>
      <c r="H3947" s="1">
        <v>44012</v>
      </c>
      <c r="I3947">
        <v>2020</v>
      </c>
      <c r="J3947">
        <v>6</v>
      </c>
      <c r="K3947" t="s">
        <v>36</v>
      </c>
      <c r="L3947" t="s">
        <v>21</v>
      </c>
      <c r="M3947">
        <v>0</v>
      </c>
    </row>
    <row r="3948" spans="1:13" x14ac:dyDescent="0.25">
      <c r="A3948" t="s">
        <v>2645</v>
      </c>
      <c r="B3948" t="s">
        <v>533</v>
      </c>
      <c r="C3948" t="s">
        <v>14</v>
      </c>
      <c r="D3948" t="s">
        <v>111</v>
      </c>
      <c r="E3948">
        <v>400</v>
      </c>
      <c r="F3948">
        <v>7.0000000000000007E-2</v>
      </c>
      <c r="G3948">
        <v>1300</v>
      </c>
      <c r="H3948" s="1">
        <v>44011</v>
      </c>
      <c r="I3948">
        <v>2020</v>
      </c>
      <c r="J3948">
        <v>6</v>
      </c>
      <c r="K3948" t="s">
        <v>26</v>
      </c>
      <c r="L3948">
        <v>0</v>
      </c>
      <c r="M3948">
        <v>1</v>
      </c>
    </row>
    <row r="3949" spans="1:13" x14ac:dyDescent="0.25">
      <c r="A3949" t="s">
        <v>1899</v>
      </c>
      <c r="B3949" t="s">
        <v>66</v>
      </c>
      <c r="C3949" t="s">
        <v>48</v>
      </c>
      <c r="D3949" t="s">
        <v>55</v>
      </c>
      <c r="E3949">
        <v>130</v>
      </c>
      <c r="F3949">
        <v>0.22</v>
      </c>
      <c r="G3949">
        <v>214.2</v>
      </c>
      <c r="H3949" s="1">
        <v>44011</v>
      </c>
      <c r="I3949">
        <v>2020</v>
      </c>
      <c r="J3949">
        <v>6</v>
      </c>
      <c r="K3949" t="s">
        <v>36</v>
      </c>
      <c r="L3949">
        <v>0</v>
      </c>
      <c r="M3949">
        <v>1</v>
      </c>
    </row>
    <row r="3950" spans="1:13" x14ac:dyDescent="0.25">
      <c r="A3950" t="s">
        <v>2153</v>
      </c>
      <c r="B3950" t="s">
        <v>66</v>
      </c>
      <c r="C3950" t="s">
        <v>83</v>
      </c>
      <c r="D3950" t="s">
        <v>22</v>
      </c>
      <c r="E3950">
        <v>100</v>
      </c>
      <c r="F3950" t="s">
        <v>21</v>
      </c>
      <c r="G3950">
        <v>3600</v>
      </c>
      <c r="H3950" s="1">
        <v>44011</v>
      </c>
      <c r="I3950">
        <v>2020</v>
      </c>
      <c r="J3950">
        <v>6</v>
      </c>
      <c r="K3950" t="s">
        <v>26</v>
      </c>
      <c r="L3950" t="s">
        <v>21</v>
      </c>
      <c r="M3950">
        <v>1</v>
      </c>
    </row>
    <row r="3951" spans="1:13" x14ac:dyDescent="0.25">
      <c r="A3951" t="s">
        <v>2671</v>
      </c>
      <c r="B3951" t="s">
        <v>24</v>
      </c>
      <c r="C3951" t="s">
        <v>14</v>
      </c>
      <c r="D3951" t="s">
        <v>22</v>
      </c>
      <c r="E3951">
        <v>61</v>
      </c>
      <c r="F3951" t="s">
        <v>21</v>
      </c>
      <c r="G3951">
        <v>101.6</v>
      </c>
      <c r="H3951" s="1">
        <v>44011</v>
      </c>
      <c r="I3951">
        <v>2020</v>
      </c>
      <c r="J3951">
        <v>6</v>
      </c>
      <c r="K3951" t="s">
        <v>36</v>
      </c>
      <c r="L3951" t="s">
        <v>21</v>
      </c>
      <c r="M3951">
        <v>1</v>
      </c>
    </row>
    <row r="3952" spans="1:13" x14ac:dyDescent="0.25">
      <c r="A3952" t="s">
        <v>575</v>
      </c>
      <c r="B3952" t="s">
        <v>140</v>
      </c>
      <c r="C3952" t="s">
        <v>14</v>
      </c>
      <c r="D3952" t="s">
        <v>15</v>
      </c>
      <c r="E3952">
        <v>20</v>
      </c>
      <c r="F3952" t="s">
        <v>21</v>
      </c>
      <c r="G3952">
        <v>214.5</v>
      </c>
      <c r="H3952" s="1">
        <v>44011</v>
      </c>
      <c r="I3952">
        <v>2020</v>
      </c>
      <c r="J3952">
        <v>6</v>
      </c>
      <c r="K3952" t="s">
        <v>36</v>
      </c>
      <c r="L3952" t="s">
        <v>21</v>
      </c>
      <c r="M3952">
        <v>1</v>
      </c>
    </row>
    <row r="3953" spans="1:13" x14ac:dyDescent="0.25">
      <c r="A3953" t="s">
        <v>2723</v>
      </c>
      <c r="B3953" t="s">
        <v>24</v>
      </c>
      <c r="C3953" t="s">
        <v>14</v>
      </c>
      <c r="D3953" t="s">
        <v>22</v>
      </c>
      <c r="E3953" t="s">
        <v>21</v>
      </c>
      <c r="F3953">
        <v>1</v>
      </c>
      <c r="G3953">
        <v>4</v>
      </c>
      <c r="H3953" s="1">
        <v>44010</v>
      </c>
      <c r="I3953">
        <v>2020</v>
      </c>
      <c r="J3953">
        <v>6</v>
      </c>
      <c r="K3953" t="s">
        <v>16</v>
      </c>
      <c r="L3953">
        <v>1</v>
      </c>
      <c r="M3953">
        <v>1</v>
      </c>
    </row>
    <row r="3954" spans="1:13" x14ac:dyDescent="0.25">
      <c r="A3954" t="s">
        <v>2724</v>
      </c>
      <c r="B3954" t="s">
        <v>66</v>
      </c>
      <c r="C3954" t="s">
        <v>14</v>
      </c>
      <c r="D3954" t="s">
        <v>46</v>
      </c>
      <c r="E3954" t="s">
        <v>21</v>
      </c>
      <c r="F3954" t="s">
        <v>21</v>
      </c>
      <c r="G3954">
        <v>1200</v>
      </c>
      <c r="H3954" s="1">
        <v>44009</v>
      </c>
      <c r="I3954">
        <v>2020</v>
      </c>
      <c r="J3954">
        <v>6</v>
      </c>
      <c r="K3954" t="s">
        <v>26</v>
      </c>
      <c r="L3954" t="s">
        <v>21</v>
      </c>
      <c r="M3954">
        <v>0</v>
      </c>
    </row>
    <row r="3955" spans="1:13" x14ac:dyDescent="0.25">
      <c r="A3955" t="s">
        <v>500</v>
      </c>
      <c r="B3955" t="s">
        <v>89</v>
      </c>
      <c r="C3955" t="s">
        <v>14</v>
      </c>
      <c r="D3955" t="s">
        <v>43</v>
      </c>
      <c r="E3955" t="s">
        <v>21</v>
      </c>
      <c r="F3955" t="s">
        <v>21</v>
      </c>
      <c r="G3955">
        <v>228</v>
      </c>
      <c r="H3955" s="1">
        <v>44007</v>
      </c>
      <c r="I3955">
        <v>2020</v>
      </c>
      <c r="J3955">
        <v>6</v>
      </c>
      <c r="K3955" t="s">
        <v>36</v>
      </c>
      <c r="L3955" t="s">
        <v>21</v>
      </c>
      <c r="M3955">
        <v>0</v>
      </c>
    </row>
    <row r="3956" spans="1:13" x14ac:dyDescent="0.25">
      <c r="A3956" t="s">
        <v>1712</v>
      </c>
      <c r="B3956" t="s">
        <v>54</v>
      </c>
      <c r="C3956" t="s">
        <v>14</v>
      </c>
      <c r="D3956" t="s">
        <v>15</v>
      </c>
      <c r="E3956">
        <v>451</v>
      </c>
      <c r="F3956">
        <v>0.06</v>
      </c>
      <c r="G3956" t="s">
        <v>21</v>
      </c>
      <c r="H3956" s="1">
        <v>44006</v>
      </c>
      <c r="I3956">
        <v>2020</v>
      </c>
      <c r="J3956">
        <v>6</v>
      </c>
      <c r="K3956" t="s">
        <v>22</v>
      </c>
      <c r="L3956">
        <v>0</v>
      </c>
      <c r="M3956">
        <v>1</v>
      </c>
    </row>
    <row r="3957" spans="1:13" x14ac:dyDescent="0.25">
      <c r="A3957" t="s">
        <v>56</v>
      </c>
      <c r="B3957" t="s">
        <v>18</v>
      </c>
      <c r="C3957" t="s">
        <v>14</v>
      </c>
      <c r="D3957" t="s">
        <v>15</v>
      </c>
      <c r="E3957">
        <v>174</v>
      </c>
      <c r="F3957">
        <v>0.12</v>
      </c>
      <c r="G3957">
        <v>455.2</v>
      </c>
      <c r="H3957" s="1">
        <v>44006</v>
      </c>
      <c r="I3957">
        <v>2020</v>
      </c>
      <c r="J3957">
        <v>6</v>
      </c>
      <c r="K3957" t="s">
        <v>36</v>
      </c>
      <c r="L3957">
        <v>0</v>
      </c>
      <c r="M3957">
        <v>1</v>
      </c>
    </row>
    <row r="3958" spans="1:13" x14ac:dyDescent="0.25">
      <c r="A3958" t="s">
        <v>2001</v>
      </c>
      <c r="B3958" t="s">
        <v>73</v>
      </c>
      <c r="C3958" t="s">
        <v>14</v>
      </c>
      <c r="D3958" t="s">
        <v>43</v>
      </c>
      <c r="E3958" t="s">
        <v>21</v>
      </c>
      <c r="F3958" t="s">
        <v>21</v>
      </c>
      <c r="G3958">
        <v>3200</v>
      </c>
      <c r="H3958" s="1">
        <v>44006</v>
      </c>
      <c r="I3958">
        <v>2020</v>
      </c>
      <c r="J3958">
        <v>6</v>
      </c>
      <c r="K3958" t="s">
        <v>26</v>
      </c>
      <c r="L3958" t="s">
        <v>21</v>
      </c>
      <c r="M3958">
        <v>0</v>
      </c>
    </row>
    <row r="3959" spans="1:13" x14ac:dyDescent="0.25">
      <c r="A3959" t="s">
        <v>2725</v>
      </c>
      <c r="B3959" t="s">
        <v>66</v>
      </c>
      <c r="C3959" t="s">
        <v>25</v>
      </c>
      <c r="D3959" t="s">
        <v>43</v>
      </c>
      <c r="E3959">
        <v>430</v>
      </c>
      <c r="F3959">
        <v>0.09</v>
      </c>
      <c r="G3959">
        <v>4800</v>
      </c>
      <c r="H3959" s="1">
        <v>44005</v>
      </c>
      <c r="I3959">
        <v>2020</v>
      </c>
      <c r="J3959">
        <v>6</v>
      </c>
      <c r="K3959" t="s">
        <v>26</v>
      </c>
      <c r="L3959">
        <v>0</v>
      </c>
      <c r="M3959">
        <v>1</v>
      </c>
    </row>
    <row r="3960" spans="1:13" x14ac:dyDescent="0.25">
      <c r="A3960" t="s">
        <v>2726</v>
      </c>
      <c r="B3960" t="s">
        <v>77</v>
      </c>
      <c r="C3960" t="s">
        <v>14</v>
      </c>
      <c r="D3960" t="s">
        <v>46</v>
      </c>
      <c r="E3960">
        <v>90</v>
      </c>
      <c r="F3960">
        <v>0.9</v>
      </c>
      <c r="G3960">
        <v>103</v>
      </c>
      <c r="H3960" s="1">
        <v>44005</v>
      </c>
      <c r="I3960">
        <v>2020</v>
      </c>
      <c r="J3960">
        <v>6</v>
      </c>
      <c r="K3960" t="s">
        <v>36</v>
      </c>
      <c r="L3960">
        <v>0</v>
      </c>
      <c r="M3960">
        <v>1</v>
      </c>
    </row>
    <row r="3961" spans="1:13" x14ac:dyDescent="0.25">
      <c r="A3961" t="s">
        <v>2727</v>
      </c>
      <c r="B3961" t="s">
        <v>114</v>
      </c>
      <c r="C3961" t="s">
        <v>14</v>
      </c>
      <c r="D3961" t="s">
        <v>49</v>
      </c>
      <c r="E3961">
        <v>6</v>
      </c>
      <c r="F3961">
        <v>1</v>
      </c>
      <c r="G3961">
        <v>3</v>
      </c>
      <c r="H3961" s="1">
        <v>44005</v>
      </c>
      <c r="I3961">
        <v>2020</v>
      </c>
      <c r="J3961">
        <v>6</v>
      </c>
      <c r="K3961" t="s">
        <v>16</v>
      </c>
      <c r="L3961">
        <v>1</v>
      </c>
      <c r="M3961">
        <v>1</v>
      </c>
    </row>
    <row r="3962" spans="1:13" x14ac:dyDescent="0.25">
      <c r="A3962" t="s">
        <v>132</v>
      </c>
      <c r="B3962" t="s">
        <v>77</v>
      </c>
      <c r="C3962" t="s">
        <v>14</v>
      </c>
      <c r="D3962" t="s">
        <v>15</v>
      </c>
      <c r="E3962">
        <v>715</v>
      </c>
      <c r="F3962">
        <v>7.0000000000000007E-2</v>
      </c>
      <c r="G3962">
        <v>18</v>
      </c>
      <c r="H3962" s="1">
        <v>44004</v>
      </c>
      <c r="I3962">
        <v>2020</v>
      </c>
      <c r="J3962">
        <v>6</v>
      </c>
      <c r="K3962" t="s">
        <v>30</v>
      </c>
      <c r="L3962">
        <v>0</v>
      </c>
      <c r="M3962">
        <v>1</v>
      </c>
    </row>
    <row r="3963" spans="1:13" x14ac:dyDescent="0.25">
      <c r="A3963" t="s">
        <v>1810</v>
      </c>
      <c r="B3963" t="s">
        <v>91</v>
      </c>
      <c r="C3963" t="s">
        <v>80</v>
      </c>
      <c r="D3963" t="s">
        <v>347</v>
      </c>
      <c r="E3963">
        <v>200</v>
      </c>
      <c r="F3963" t="s">
        <v>21</v>
      </c>
      <c r="G3963">
        <v>19500</v>
      </c>
      <c r="H3963" s="1">
        <v>44001</v>
      </c>
      <c r="I3963">
        <v>2020</v>
      </c>
      <c r="J3963">
        <v>6</v>
      </c>
      <c r="K3963" t="s">
        <v>26</v>
      </c>
      <c r="L3963" t="s">
        <v>21</v>
      </c>
      <c r="M3963">
        <v>1</v>
      </c>
    </row>
    <row r="3964" spans="1:13" x14ac:dyDescent="0.25">
      <c r="A3964" t="s">
        <v>2728</v>
      </c>
      <c r="B3964" t="s">
        <v>32</v>
      </c>
      <c r="C3964" t="s">
        <v>14</v>
      </c>
      <c r="D3964" t="s">
        <v>33</v>
      </c>
      <c r="E3964">
        <v>15</v>
      </c>
      <c r="F3964" t="s">
        <v>21</v>
      </c>
      <c r="G3964">
        <v>32</v>
      </c>
      <c r="H3964" s="1">
        <v>44000</v>
      </c>
      <c r="I3964">
        <v>2020</v>
      </c>
      <c r="J3964">
        <v>6</v>
      </c>
      <c r="K3964" t="s">
        <v>30</v>
      </c>
      <c r="L3964" t="s">
        <v>21</v>
      </c>
      <c r="M3964">
        <v>1</v>
      </c>
    </row>
    <row r="3965" spans="1:13" x14ac:dyDescent="0.25">
      <c r="A3965" t="s">
        <v>2729</v>
      </c>
      <c r="B3965" t="s">
        <v>77</v>
      </c>
      <c r="C3965" t="s">
        <v>48</v>
      </c>
      <c r="D3965" t="s">
        <v>81</v>
      </c>
      <c r="E3965">
        <v>40</v>
      </c>
      <c r="F3965">
        <v>0.25</v>
      </c>
      <c r="G3965">
        <v>582</v>
      </c>
      <c r="H3965" s="1">
        <v>43999</v>
      </c>
      <c r="I3965">
        <v>2020</v>
      </c>
      <c r="J3965">
        <v>6</v>
      </c>
      <c r="K3965" t="s">
        <v>36</v>
      </c>
      <c r="L3965">
        <v>0</v>
      </c>
      <c r="M3965">
        <v>1</v>
      </c>
    </row>
    <row r="3966" spans="1:13" x14ac:dyDescent="0.25">
      <c r="A3966" t="s">
        <v>2730</v>
      </c>
      <c r="B3966" t="s">
        <v>77</v>
      </c>
      <c r="C3966" t="s">
        <v>48</v>
      </c>
      <c r="D3966" t="s">
        <v>194</v>
      </c>
      <c r="E3966">
        <v>1500</v>
      </c>
      <c r="F3966">
        <v>0.5</v>
      </c>
      <c r="G3966">
        <v>496</v>
      </c>
      <c r="H3966" s="1">
        <v>43998</v>
      </c>
      <c r="I3966">
        <v>2020</v>
      </c>
      <c r="J3966">
        <v>6</v>
      </c>
      <c r="K3966" t="s">
        <v>36</v>
      </c>
      <c r="L3966">
        <v>0</v>
      </c>
      <c r="M3966">
        <v>1</v>
      </c>
    </row>
    <row r="3967" spans="1:13" x14ac:dyDescent="0.25">
      <c r="A3967" t="s">
        <v>1384</v>
      </c>
      <c r="B3967" t="s">
        <v>66</v>
      </c>
      <c r="C3967" t="s">
        <v>64</v>
      </c>
      <c r="D3967" t="s">
        <v>518</v>
      </c>
      <c r="E3967">
        <v>360</v>
      </c>
      <c r="F3967">
        <v>0.05</v>
      </c>
      <c r="G3967">
        <v>9900</v>
      </c>
      <c r="H3967" s="1">
        <v>43998</v>
      </c>
      <c r="I3967">
        <v>2020</v>
      </c>
      <c r="J3967">
        <v>6</v>
      </c>
      <c r="K3967" t="s">
        <v>26</v>
      </c>
      <c r="L3967">
        <v>0</v>
      </c>
      <c r="M3967">
        <v>1</v>
      </c>
    </row>
    <row r="3968" spans="1:13" x14ac:dyDescent="0.25">
      <c r="A3968" t="s">
        <v>1085</v>
      </c>
      <c r="B3968" t="s">
        <v>38</v>
      </c>
      <c r="C3968" t="s">
        <v>14</v>
      </c>
      <c r="D3968" t="s">
        <v>15</v>
      </c>
      <c r="E3968">
        <v>70</v>
      </c>
      <c r="F3968">
        <v>0.01</v>
      </c>
      <c r="G3968">
        <v>40</v>
      </c>
      <c r="H3968" s="1">
        <v>43998</v>
      </c>
      <c r="I3968">
        <v>2020</v>
      </c>
      <c r="J3968">
        <v>6</v>
      </c>
      <c r="K3968" t="s">
        <v>30</v>
      </c>
      <c r="L3968">
        <v>0</v>
      </c>
      <c r="M3968">
        <v>1</v>
      </c>
    </row>
    <row r="3969" spans="1:13" x14ac:dyDescent="0.25">
      <c r="A3969" t="s">
        <v>2731</v>
      </c>
      <c r="B3969" t="s">
        <v>35</v>
      </c>
      <c r="C3969" t="s">
        <v>14</v>
      </c>
      <c r="D3969" t="s">
        <v>46</v>
      </c>
      <c r="E3969">
        <v>44</v>
      </c>
      <c r="F3969">
        <v>0.25</v>
      </c>
      <c r="G3969">
        <v>50</v>
      </c>
      <c r="H3969" s="1">
        <v>43998</v>
      </c>
      <c r="I3969">
        <v>2020</v>
      </c>
      <c r="J3969">
        <v>6</v>
      </c>
      <c r="K3969" t="s">
        <v>30</v>
      </c>
      <c r="L3969">
        <v>0</v>
      </c>
      <c r="M3969">
        <v>1</v>
      </c>
    </row>
    <row r="3970" spans="1:13" x14ac:dyDescent="0.25">
      <c r="A3970" t="s">
        <v>2732</v>
      </c>
      <c r="B3970" t="s">
        <v>38</v>
      </c>
      <c r="C3970" t="s">
        <v>14</v>
      </c>
      <c r="D3970" t="s">
        <v>20</v>
      </c>
      <c r="E3970" t="s">
        <v>21</v>
      </c>
      <c r="F3970">
        <v>0.11</v>
      </c>
      <c r="G3970">
        <v>117</v>
      </c>
      <c r="H3970" s="1">
        <v>43997</v>
      </c>
      <c r="I3970">
        <v>2020</v>
      </c>
      <c r="J3970">
        <v>6</v>
      </c>
      <c r="K3970" t="s">
        <v>36</v>
      </c>
      <c r="L3970">
        <v>0</v>
      </c>
      <c r="M3970">
        <v>1</v>
      </c>
    </row>
    <row r="3971" spans="1:13" x14ac:dyDescent="0.25">
      <c r="A3971" t="s">
        <v>2733</v>
      </c>
      <c r="B3971" t="s">
        <v>24</v>
      </c>
      <c r="C3971" t="s">
        <v>14</v>
      </c>
      <c r="D3971" t="s">
        <v>33</v>
      </c>
      <c r="E3971" t="s">
        <v>21</v>
      </c>
      <c r="F3971">
        <v>1</v>
      </c>
      <c r="G3971">
        <v>10</v>
      </c>
      <c r="H3971" s="1">
        <v>43997</v>
      </c>
      <c r="I3971">
        <v>2020</v>
      </c>
      <c r="J3971">
        <v>6</v>
      </c>
      <c r="K3971" t="s">
        <v>30</v>
      </c>
      <c r="L3971">
        <v>1</v>
      </c>
      <c r="M3971">
        <v>1</v>
      </c>
    </row>
    <row r="3972" spans="1:13" x14ac:dyDescent="0.25">
      <c r="A3972" t="s">
        <v>112</v>
      </c>
      <c r="B3972" t="s">
        <v>66</v>
      </c>
      <c r="C3972" t="s">
        <v>74</v>
      </c>
      <c r="D3972" t="s">
        <v>15</v>
      </c>
      <c r="E3972">
        <v>225</v>
      </c>
      <c r="F3972">
        <v>0.25</v>
      </c>
      <c r="G3972">
        <v>24700</v>
      </c>
      <c r="H3972" s="1">
        <v>43994</v>
      </c>
      <c r="I3972">
        <v>2020</v>
      </c>
      <c r="J3972">
        <v>6</v>
      </c>
      <c r="K3972" t="s">
        <v>26</v>
      </c>
      <c r="L3972">
        <v>0</v>
      </c>
      <c r="M3972">
        <v>1</v>
      </c>
    </row>
    <row r="3973" spans="1:13" x14ac:dyDescent="0.25">
      <c r="A3973" t="s">
        <v>2734</v>
      </c>
      <c r="B3973" t="s">
        <v>77</v>
      </c>
      <c r="C3973" t="s">
        <v>14</v>
      </c>
      <c r="D3973" t="s">
        <v>33</v>
      </c>
      <c r="E3973">
        <v>63</v>
      </c>
      <c r="F3973">
        <v>0.48</v>
      </c>
      <c r="G3973">
        <v>50</v>
      </c>
      <c r="H3973" s="1">
        <v>43994</v>
      </c>
      <c r="I3973">
        <v>2020</v>
      </c>
      <c r="J3973">
        <v>6</v>
      </c>
      <c r="K3973" t="s">
        <v>30</v>
      </c>
      <c r="L3973">
        <v>0</v>
      </c>
      <c r="M3973">
        <v>1</v>
      </c>
    </row>
    <row r="3974" spans="1:13" x14ac:dyDescent="0.25">
      <c r="A3974" t="s">
        <v>2735</v>
      </c>
      <c r="B3974" t="s">
        <v>140</v>
      </c>
      <c r="C3974" t="s">
        <v>2736</v>
      </c>
      <c r="D3974" t="s">
        <v>22</v>
      </c>
      <c r="E3974">
        <v>120</v>
      </c>
      <c r="F3974">
        <v>0.1</v>
      </c>
      <c r="G3974" t="s">
        <v>21</v>
      </c>
      <c r="H3974" s="1">
        <v>43993</v>
      </c>
      <c r="I3974">
        <v>2020</v>
      </c>
      <c r="J3974">
        <v>6</v>
      </c>
      <c r="K3974" t="s">
        <v>22</v>
      </c>
      <c r="L3974">
        <v>0</v>
      </c>
      <c r="M3974">
        <v>1</v>
      </c>
    </row>
    <row r="3975" spans="1:13" x14ac:dyDescent="0.25">
      <c r="A3975" t="s">
        <v>975</v>
      </c>
      <c r="B3975" t="s">
        <v>24</v>
      </c>
      <c r="C3975" t="s">
        <v>14</v>
      </c>
      <c r="D3975" t="s">
        <v>49</v>
      </c>
      <c r="E3975">
        <v>3</v>
      </c>
      <c r="F3975">
        <v>0.27</v>
      </c>
      <c r="G3975">
        <v>2</v>
      </c>
      <c r="H3975" s="1">
        <v>43993</v>
      </c>
      <c r="I3975">
        <v>2020</v>
      </c>
      <c r="J3975">
        <v>6</v>
      </c>
      <c r="K3975" t="s">
        <v>16</v>
      </c>
      <c r="L3975">
        <v>0</v>
      </c>
      <c r="M3975">
        <v>1</v>
      </c>
    </row>
    <row r="3976" spans="1:13" x14ac:dyDescent="0.25">
      <c r="A3976" t="s">
        <v>2737</v>
      </c>
      <c r="B3976" t="s">
        <v>32</v>
      </c>
      <c r="C3976" t="s">
        <v>14</v>
      </c>
      <c r="D3976" t="s">
        <v>22</v>
      </c>
      <c r="E3976">
        <v>10</v>
      </c>
      <c r="F3976">
        <v>0.18</v>
      </c>
      <c r="G3976" t="s">
        <v>21</v>
      </c>
      <c r="H3976" s="1">
        <v>43992</v>
      </c>
      <c r="I3976">
        <v>2020</v>
      </c>
      <c r="J3976">
        <v>6</v>
      </c>
      <c r="K3976" t="s">
        <v>22</v>
      </c>
      <c r="L3976">
        <v>0</v>
      </c>
      <c r="M3976">
        <v>1</v>
      </c>
    </row>
    <row r="3977" spans="1:13" x14ac:dyDescent="0.25">
      <c r="A3977" t="s">
        <v>2738</v>
      </c>
      <c r="B3977" t="s">
        <v>89</v>
      </c>
      <c r="C3977" t="s">
        <v>174</v>
      </c>
      <c r="D3977" t="s">
        <v>22</v>
      </c>
      <c r="E3977">
        <v>26</v>
      </c>
      <c r="F3977" t="s">
        <v>21</v>
      </c>
      <c r="G3977">
        <v>39.6</v>
      </c>
      <c r="H3977" s="1">
        <v>43991</v>
      </c>
      <c r="I3977">
        <v>2020</v>
      </c>
      <c r="J3977">
        <v>6</v>
      </c>
      <c r="K3977" t="s">
        <v>30</v>
      </c>
      <c r="L3977" t="s">
        <v>21</v>
      </c>
      <c r="M3977">
        <v>1</v>
      </c>
    </row>
    <row r="3978" spans="1:13" x14ac:dyDescent="0.25">
      <c r="A3978" t="s">
        <v>2739</v>
      </c>
      <c r="B3978" t="s">
        <v>32</v>
      </c>
      <c r="C3978" t="s">
        <v>14</v>
      </c>
      <c r="D3978" t="s">
        <v>55</v>
      </c>
      <c r="E3978">
        <v>46</v>
      </c>
      <c r="F3978">
        <v>0.08</v>
      </c>
      <c r="G3978">
        <v>139</v>
      </c>
      <c r="H3978" s="1">
        <v>43987</v>
      </c>
      <c r="I3978">
        <v>2020</v>
      </c>
      <c r="J3978">
        <v>6</v>
      </c>
      <c r="K3978" t="s">
        <v>36</v>
      </c>
      <c r="L3978">
        <v>0</v>
      </c>
      <c r="M3978">
        <v>1</v>
      </c>
    </row>
    <row r="3979" spans="1:13" x14ac:dyDescent="0.25">
      <c r="A3979" t="s">
        <v>1670</v>
      </c>
      <c r="B3979" t="s">
        <v>77</v>
      </c>
      <c r="C3979" t="s">
        <v>14</v>
      </c>
      <c r="D3979" t="s">
        <v>46</v>
      </c>
      <c r="E3979">
        <v>18</v>
      </c>
      <c r="F3979">
        <v>0.14000000000000001</v>
      </c>
      <c r="G3979">
        <v>106</v>
      </c>
      <c r="H3979" s="1">
        <v>43987</v>
      </c>
      <c r="I3979">
        <v>2020</v>
      </c>
      <c r="J3979">
        <v>6</v>
      </c>
      <c r="K3979" t="s">
        <v>36</v>
      </c>
      <c r="L3979">
        <v>0</v>
      </c>
      <c r="M3979">
        <v>1</v>
      </c>
    </row>
    <row r="3980" spans="1:13" x14ac:dyDescent="0.25">
      <c r="A3980" t="s">
        <v>2740</v>
      </c>
      <c r="B3980" t="s">
        <v>28</v>
      </c>
      <c r="C3980" t="s">
        <v>14</v>
      </c>
      <c r="D3980" t="s">
        <v>46</v>
      </c>
      <c r="E3980">
        <v>50</v>
      </c>
      <c r="F3980">
        <v>0.4</v>
      </c>
      <c r="G3980">
        <v>52</v>
      </c>
      <c r="H3980" s="1">
        <v>43986</v>
      </c>
      <c r="I3980">
        <v>2020</v>
      </c>
      <c r="J3980">
        <v>6</v>
      </c>
      <c r="K3980" t="s">
        <v>30</v>
      </c>
      <c r="L3980">
        <v>0</v>
      </c>
      <c r="M3980">
        <v>1</v>
      </c>
    </row>
    <row r="3981" spans="1:13" x14ac:dyDescent="0.25">
      <c r="A3981" t="s">
        <v>2741</v>
      </c>
      <c r="B3981" t="s">
        <v>114</v>
      </c>
      <c r="C3981" t="s">
        <v>14</v>
      </c>
      <c r="D3981" t="s">
        <v>68</v>
      </c>
      <c r="E3981">
        <v>39</v>
      </c>
      <c r="F3981">
        <v>0.14000000000000001</v>
      </c>
      <c r="G3981">
        <v>29</v>
      </c>
      <c r="H3981" s="1">
        <v>43986</v>
      </c>
      <c r="I3981">
        <v>2020</v>
      </c>
      <c r="J3981">
        <v>6</v>
      </c>
      <c r="K3981" t="s">
        <v>30</v>
      </c>
      <c r="L3981">
        <v>0</v>
      </c>
      <c r="M3981">
        <v>1</v>
      </c>
    </row>
    <row r="3982" spans="1:13" x14ac:dyDescent="0.25">
      <c r="A3982" t="s">
        <v>2742</v>
      </c>
      <c r="B3982" t="s">
        <v>66</v>
      </c>
      <c r="C3982" t="s">
        <v>14</v>
      </c>
      <c r="D3982" t="s">
        <v>46</v>
      </c>
      <c r="E3982" t="s">
        <v>21</v>
      </c>
      <c r="F3982" t="s">
        <v>21</v>
      </c>
      <c r="G3982">
        <v>75</v>
      </c>
      <c r="H3982" s="1">
        <v>43986</v>
      </c>
      <c r="I3982">
        <v>2020</v>
      </c>
      <c r="J3982">
        <v>6</v>
      </c>
      <c r="K3982" t="s">
        <v>30</v>
      </c>
      <c r="L3982" t="s">
        <v>21</v>
      </c>
      <c r="M3982">
        <v>0</v>
      </c>
    </row>
    <row r="3983" spans="1:13" x14ac:dyDescent="0.25">
      <c r="A3983" t="s">
        <v>212</v>
      </c>
      <c r="B3983" t="s">
        <v>77</v>
      </c>
      <c r="C3983" t="s">
        <v>80</v>
      </c>
      <c r="D3983" t="s">
        <v>43</v>
      </c>
      <c r="E3983">
        <v>120</v>
      </c>
      <c r="F3983">
        <v>0.08</v>
      </c>
      <c r="G3983">
        <v>324</v>
      </c>
      <c r="H3983" s="1">
        <v>43985</v>
      </c>
      <c r="I3983">
        <v>2020</v>
      </c>
      <c r="J3983">
        <v>6</v>
      </c>
      <c r="K3983" t="s">
        <v>36</v>
      </c>
      <c r="L3983">
        <v>0</v>
      </c>
      <c r="M3983">
        <v>1</v>
      </c>
    </row>
    <row r="3984" spans="1:13" x14ac:dyDescent="0.25">
      <c r="A3984" t="s">
        <v>2233</v>
      </c>
      <c r="B3984" t="s">
        <v>490</v>
      </c>
      <c r="C3984" t="s">
        <v>14</v>
      </c>
      <c r="D3984" t="s">
        <v>22</v>
      </c>
      <c r="E3984">
        <v>70</v>
      </c>
      <c r="F3984" t="s">
        <v>21</v>
      </c>
      <c r="G3984">
        <v>1</v>
      </c>
      <c r="H3984" s="1">
        <v>43985</v>
      </c>
      <c r="I3984">
        <v>2020</v>
      </c>
      <c r="J3984">
        <v>6</v>
      </c>
      <c r="K3984" t="s">
        <v>16</v>
      </c>
      <c r="L3984" t="s">
        <v>21</v>
      </c>
      <c r="M3984">
        <v>1</v>
      </c>
    </row>
    <row r="3985" spans="1:13" x14ac:dyDescent="0.25">
      <c r="A3985" t="s">
        <v>2743</v>
      </c>
      <c r="B3985" t="s">
        <v>66</v>
      </c>
      <c r="C3985" t="s">
        <v>14</v>
      </c>
      <c r="D3985" t="s">
        <v>55</v>
      </c>
      <c r="E3985">
        <v>40</v>
      </c>
      <c r="F3985">
        <v>0.21</v>
      </c>
      <c r="G3985">
        <v>117</v>
      </c>
      <c r="H3985" s="1">
        <v>43985</v>
      </c>
      <c r="I3985">
        <v>2020</v>
      </c>
      <c r="J3985">
        <v>6</v>
      </c>
      <c r="K3985" t="s">
        <v>36</v>
      </c>
      <c r="L3985">
        <v>0</v>
      </c>
      <c r="M3985">
        <v>1</v>
      </c>
    </row>
    <row r="3986" spans="1:13" x14ac:dyDescent="0.25">
      <c r="A3986" t="s">
        <v>2744</v>
      </c>
      <c r="B3986" t="s">
        <v>77</v>
      </c>
      <c r="C3986" t="s">
        <v>14</v>
      </c>
      <c r="D3986" t="s">
        <v>43</v>
      </c>
      <c r="E3986">
        <v>22</v>
      </c>
      <c r="F3986">
        <v>0.14000000000000001</v>
      </c>
      <c r="G3986">
        <v>120</v>
      </c>
      <c r="H3986" s="1">
        <v>43985</v>
      </c>
      <c r="I3986">
        <v>2020</v>
      </c>
      <c r="J3986">
        <v>6</v>
      </c>
      <c r="K3986" t="s">
        <v>36</v>
      </c>
      <c r="L3986">
        <v>0</v>
      </c>
      <c r="M3986">
        <v>1</v>
      </c>
    </row>
    <row r="3987" spans="1:13" x14ac:dyDescent="0.25">
      <c r="A3987" t="s">
        <v>2745</v>
      </c>
      <c r="B3987" t="s">
        <v>66</v>
      </c>
      <c r="C3987" t="s">
        <v>83</v>
      </c>
      <c r="D3987" t="s">
        <v>20</v>
      </c>
      <c r="E3987">
        <v>100</v>
      </c>
      <c r="F3987" t="s">
        <v>21</v>
      </c>
      <c r="G3987">
        <v>55</v>
      </c>
      <c r="H3987" s="1">
        <v>43984</v>
      </c>
      <c r="I3987">
        <v>2020</v>
      </c>
      <c r="J3987">
        <v>6</v>
      </c>
      <c r="K3987" t="s">
        <v>30</v>
      </c>
      <c r="L3987" t="s">
        <v>21</v>
      </c>
      <c r="M3987">
        <v>1</v>
      </c>
    </row>
    <row r="3988" spans="1:13" x14ac:dyDescent="0.25">
      <c r="A3988" t="s">
        <v>85</v>
      </c>
      <c r="B3988" t="s">
        <v>66</v>
      </c>
      <c r="C3988" t="s">
        <v>14</v>
      </c>
      <c r="D3988" t="s">
        <v>81</v>
      </c>
      <c r="E3988">
        <v>40</v>
      </c>
      <c r="F3988">
        <v>0.02</v>
      </c>
      <c r="G3988">
        <v>3100</v>
      </c>
      <c r="H3988" s="1">
        <v>43984</v>
      </c>
      <c r="I3988">
        <v>2020</v>
      </c>
      <c r="J3988">
        <v>6</v>
      </c>
      <c r="K3988" t="s">
        <v>26</v>
      </c>
      <c r="L3988">
        <v>0</v>
      </c>
      <c r="M3988">
        <v>1</v>
      </c>
    </row>
    <row r="3989" spans="1:13" x14ac:dyDescent="0.25">
      <c r="A3989" t="s">
        <v>2170</v>
      </c>
      <c r="B3989" t="s">
        <v>77</v>
      </c>
      <c r="C3989" t="s">
        <v>14</v>
      </c>
      <c r="D3989" t="s">
        <v>46</v>
      </c>
      <c r="E3989">
        <v>14</v>
      </c>
      <c r="F3989">
        <v>0.15</v>
      </c>
      <c r="G3989">
        <v>453</v>
      </c>
      <c r="H3989" s="1">
        <v>43984</v>
      </c>
      <c r="I3989">
        <v>2020</v>
      </c>
      <c r="J3989">
        <v>6</v>
      </c>
      <c r="K3989" t="s">
        <v>36</v>
      </c>
      <c r="L3989">
        <v>0</v>
      </c>
      <c r="M3989">
        <v>1</v>
      </c>
    </row>
    <row r="3990" spans="1:13" x14ac:dyDescent="0.25">
      <c r="A3990" t="s">
        <v>2746</v>
      </c>
      <c r="B3990" t="s">
        <v>38</v>
      </c>
      <c r="C3990" t="s">
        <v>14</v>
      </c>
      <c r="D3990" t="s">
        <v>33</v>
      </c>
      <c r="E3990">
        <v>12</v>
      </c>
      <c r="F3990">
        <v>0.16</v>
      </c>
      <c r="G3990">
        <v>58</v>
      </c>
      <c r="H3990" s="1">
        <v>43984</v>
      </c>
      <c r="I3990">
        <v>2020</v>
      </c>
      <c r="J3990">
        <v>6</v>
      </c>
      <c r="K3990" t="s">
        <v>30</v>
      </c>
      <c r="L3990">
        <v>0</v>
      </c>
      <c r="M3990">
        <v>1</v>
      </c>
    </row>
    <row r="3991" spans="1:13" x14ac:dyDescent="0.25">
      <c r="A3991" t="s">
        <v>2747</v>
      </c>
      <c r="B3991" t="s">
        <v>18</v>
      </c>
      <c r="C3991" t="s">
        <v>14</v>
      </c>
      <c r="D3991" t="s">
        <v>20</v>
      </c>
      <c r="E3991">
        <v>12</v>
      </c>
      <c r="F3991" t="s">
        <v>21</v>
      </c>
      <c r="G3991">
        <v>10</v>
      </c>
      <c r="H3991" s="1">
        <v>43984</v>
      </c>
      <c r="I3991">
        <v>2020</v>
      </c>
      <c r="J3991">
        <v>6</v>
      </c>
      <c r="K3991" t="s">
        <v>30</v>
      </c>
      <c r="L3991" t="s">
        <v>21</v>
      </c>
      <c r="M3991">
        <v>1</v>
      </c>
    </row>
    <row r="3992" spans="1:13" x14ac:dyDescent="0.25">
      <c r="A3992" t="s">
        <v>948</v>
      </c>
      <c r="B3992" t="s">
        <v>24</v>
      </c>
      <c r="C3992" t="s">
        <v>14</v>
      </c>
      <c r="D3992" t="s">
        <v>15</v>
      </c>
      <c r="E3992">
        <v>1400</v>
      </c>
      <c r="F3992">
        <v>0.18</v>
      </c>
      <c r="G3992">
        <v>79</v>
      </c>
      <c r="H3992" s="1">
        <v>43983</v>
      </c>
      <c r="I3992">
        <v>2020</v>
      </c>
      <c r="J3992">
        <v>6</v>
      </c>
      <c r="K3992" t="s">
        <v>30</v>
      </c>
      <c r="L3992">
        <v>0</v>
      </c>
      <c r="M3992">
        <v>1</v>
      </c>
    </row>
    <row r="3993" spans="1:13" x14ac:dyDescent="0.25">
      <c r="A3993" t="s">
        <v>2690</v>
      </c>
      <c r="B3993" t="s">
        <v>73</v>
      </c>
      <c r="C3993" t="s">
        <v>48</v>
      </c>
      <c r="D3993" t="s">
        <v>15</v>
      </c>
      <c r="E3993">
        <v>350</v>
      </c>
      <c r="F3993">
        <v>0.1</v>
      </c>
      <c r="G3993">
        <v>548</v>
      </c>
      <c r="H3993" s="1">
        <v>43983</v>
      </c>
      <c r="I3993">
        <v>2020</v>
      </c>
      <c r="J3993">
        <v>6</v>
      </c>
      <c r="K3993" t="s">
        <v>36</v>
      </c>
      <c r="L3993">
        <v>0</v>
      </c>
      <c r="M3993">
        <v>1</v>
      </c>
    </row>
    <row r="3994" spans="1:13" x14ac:dyDescent="0.25">
      <c r="A3994" t="s">
        <v>2748</v>
      </c>
      <c r="B3994" t="s">
        <v>91</v>
      </c>
      <c r="C3994" t="s">
        <v>14</v>
      </c>
      <c r="D3994" t="s">
        <v>46</v>
      </c>
      <c r="E3994">
        <v>24</v>
      </c>
      <c r="F3994">
        <v>0.22</v>
      </c>
      <c r="G3994">
        <v>24</v>
      </c>
      <c r="H3994" s="1">
        <v>43983</v>
      </c>
      <c r="I3994">
        <v>2020</v>
      </c>
      <c r="J3994">
        <v>6</v>
      </c>
      <c r="K3994" t="s">
        <v>30</v>
      </c>
      <c r="L3994">
        <v>0</v>
      </c>
      <c r="M3994">
        <v>1</v>
      </c>
    </row>
    <row r="3995" spans="1:13" x14ac:dyDescent="0.25">
      <c r="A3995" t="s">
        <v>940</v>
      </c>
      <c r="B3995" t="s">
        <v>77</v>
      </c>
      <c r="C3995" t="s">
        <v>14</v>
      </c>
      <c r="D3995" t="s">
        <v>46</v>
      </c>
      <c r="E3995">
        <v>62</v>
      </c>
      <c r="F3995">
        <v>0.15</v>
      </c>
      <c r="G3995">
        <v>732</v>
      </c>
      <c r="H3995" s="1">
        <v>43980</v>
      </c>
      <c r="I3995">
        <v>2020</v>
      </c>
      <c r="J3995">
        <v>5</v>
      </c>
      <c r="K3995" t="s">
        <v>36</v>
      </c>
      <c r="L3995">
        <v>0</v>
      </c>
      <c r="M3995">
        <v>1</v>
      </c>
    </row>
    <row r="3996" spans="1:13" x14ac:dyDescent="0.25">
      <c r="A3996" t="s">
        <v>2749</v>
      </c>
      <c r="B3996" t="s">
        <v>91</v>
      </c>
      <c r="C3996" t="s">
        <v>14</v>
      </c>
      <c r="D3996" t="s">
        <v>68</v>
      </c>
      <c r="E3996">
        <v>32</v>
      </c>
      <c r="F3996">
        <v>0.6</v>
      </c>
      <c r="G3996">
        <v>17</v>
      </c>
      <c r="H3996" s="1">
        <v>43980</v>
      </c>
      <c r="I3996">
        <v>2020</v>
      </c>
      <c r="J3996">
        <v>5</v>
      </c>
      <c r="K3996" t="s">
        <v>30</v>
      </c>
      <c r="L3996">
        <v>0</v>
      </c>
      <c r="M3996">
        <v>1</v>
      </c>
    </row>
    <row r="3997" spans="1:13" x14ac:dyDescent="0.25">
      <c r="A3997" t="s">
        <v>2750</v>
      </c>
      <c r="B3997" t="s">
        <v>18</v>
      </c>
      <c r="C3997" t="s">
        <v>48</v>
      </c>
      <c r="D3997" t="s">
        <v>22</v>
      </c>
      <c r="E3997">
        <v>270</v>
      </c>
      <c r="F3997">
        <v>0.18</v>
      </c>
      <c r="G3997">
        <v>224</v>
      </c>
      <c r="H3997" s="1">
        <v>43979</v>
      </c>
      <c r="I3997">
        <v>2020</v>
      </c>
      <c r="J3997">
        <v>5</v>
      </c>
      <c r="K3997" t="s">
        <v>36</v>
      </c>
      <c r="L3997">
        <v>0</v>
      </c>
      <c r="M3997">
        <v>1</v>
      </c>
    </row>
    <row r="3998" spans="1:13" x14ac:dyDescent="0.25">
      <c r="A3998" t="s">
        <v>251</v>
      </c>
      <c r="B3998" t="s">
        <v>66</v>
      </c>
      <c r="C3998" t="s">
        <v>14</v>
      </c>
      <c r="D3998" t="s">
        <v>15</v>
      </c>
      <c r="E3998">
        <v>219</v>
      </c>
      <c r="F3998">
        <v>0.3</v>
      </c>
      <c r="G3998">
        <v>340</v>
      </c>
      <c r="H3998" s="1">
        <v>43979</v>
      </c>
      <c r="I3998">
        <v>2020</v>
      </c>
      <c r="J3998">
        <v>5</v>
      </c>
      <c r="K3998" t="s">
        <v>36</v>
      </c>
      <c r="L3998">
        <v>0</v>
      </c>
      <c r="M3998">
        <v>1</v>
      </c>
    </row>
    <row r="3999" spans="1:13" x14ac:dyDescent="0.25">
      <c r="A3999" t="s">
        <v>2343</v>
      </c>
      <c r="B3999" t="s">
        <v>18</v>
      </c>
      <c r="C3999" t="s">
        <v>14</v>
      </c>
      <c r="D3999" t="s">
        <v>20</v>
      </c>
      <c r="E3999">
        <v>200</v>
      </c>
      <c r="F3999" t="s">
        <v>21</v>
      </c>
      <c r="G3999">
        <v>19</v>
      </c>
      <c r="H3999" s="1">
        <v>43979</v>
      </c>
      <c r="I3999">
        <v>2020</v>
      </c>
      <c r="J3999">
        <v>5</v>
      </c>
      <c r="K3999" t="s">
        <v>30</v>
      </c>
      <c r="L3999" t="s">
        <v>21</v>
      </c>
      <c r="M3999">
        <v>1</v>
      </c>
    </row>
    <row r="4000" spans="1:13" x14ac:dyDescent="0.25">
      <c r="A4000" t="s">
        <v>41</v>
      </c>
      <c r="B4000" t="s">
        <v>40</v>
      </c>
      <c r="C4000" t="s">
        <v>42</v>
      </c>
      <c r="D4000" t="s">
        <v>111</v>
      </c>
      <c r="E4000">
        <v>36</v>
      </c>
      <c r="F4000">
        <v>0.08</v>
      </c>
      <c r="G4000">
        <v>157</v>
      </c>
      <c r="H4000" s="1">
        <v>43979</v>
      </c>
      <c r="I4000">
        <v>2020</v>
      </c>
      <c r="J4000">
        <v>5</v>
      </c>
      <c r="K4000" t="s">
        <v>36</v>
      </c>
      <c r="L4000">
        <v>0</v>
      </c>
      <c r="M4000">
        <v>1</v>
      </c>
    </row>
    <row r="4001" spans="1:13" x14ac:dyDescent="0.25">
      <c r="A4001" t="s">
        <v>2751</v>
      </c>
      <c r="B4001" t="s">
        <v>24</v>
      </c>
      <c r="C4001" t="s">
        <v>14</v>
      </c>
      <c r="D4001" t="s">
        <v>68</v>
      </c>
      <c r="E4001">
        <v>20</v>
      </c>
      <c r="F4001">
        <v>0.25</v>
      </c>
      <c r="G4001">
        <v>7</v>
      </c>
      <c r="H4001" s="1">
        <v>43979</v>
      </c>
      <c r="I4001">
        <v>2020</v>
      </c>
      <c r="J4001">
        <v>5</v>
      </c>
      <c r="K4001" t="s">
        <v>16</v>
      </c>
      <c r="L4001">
        <v>0</v>
      </c>
      <c r="M4001">
        <v>1</v>
      </c>
    </row>
    <row r="4002" spans="1:13" x14ac:dyDescent="0.25">
      <c r="A4002" t="s">
        <v>2752</v>
      </c>
      <c r="B4002" t="s">
        <v>106</v>
      </c>
      <c r="C4002" t="s">
        <v>14</v>
      </c>
      <c r="D4002" t="s">
        <v>20</v>
      </c>
      <c r="E4002">
        <v>150</v>
      </c>
      <c r="F4002">
        <v>0.12</v>
      </c>
      <c r="G4002">
        <v>89</v>
      </c>
      <c r="H4002" s="1">
        <v>43978</v>
      </c>
      <c r="I4002">
        <v>2020</v>
      </c>
      <c r="J4002">
        <v>5</v>
      </c>
      <c r="K4002" t="s">
        <v>30</v>
      </c>
      <c r="L4002">
        <v>0</v>
      </c>
      <c r="M4002">
        <v>1</v>
      </c>
    </row>
    <row r="4003" spans="1:13" x14ac:dyDescent="0.25">
      <c r="A4003" t="s">
        <v>2497</v>
      </c>
      <c r="B4003" t="s">
        <v>77</v>
      </c>
      <c r="C4003" t="s">
        <v>230</v>
      </c>
      <c r="D4003" t="s">
        <v>22</v>
      </c>
      <c r="E4003">
        <v>62</v>
      </c>
      <c r="F4003">
        <v>0.08</v>
      </c>
      <c r="G4003">
        <v>30</v>
      </c>
      <c r="H4003" s="1">
        <v>43978</v>
      </c>
      <c r="I4003">
        <v>2020</v>
      </c>
      <c r="J4003">
        <v>5</v>
      </c>
      <c r="K4003" t="s">
        <v>30</v>
      </c>
      <c r="L4003">
        <v>0</v>
      </c>
      <c r="M4003">
        <v>1</v>
      </c>
    </row>
    <row r="4004" spans="1:13" x14ac:dyDescent="0.25">
      <c r="A4004" t="s">
        <v>112</v>
      </c>
      <c r="B4004" t="s">
        <v>66</v>
      </c>
      <c r="C4004" t="s">
        <v>48</v>
      </c>
      <c r="D4004" t="s">
        <v>15</v>
      </c>
      <c r="E4004">
        <v>600</v>
      </c>
      <c r="F4004">
        <v>0.23</v>
      </c>
      <c r="G4004">
        <v>24700</v>
      </c>
      <c r="H4004" s="1">
        <v>43977</v>
      </c>
      <c r="I4004">
        <v>2020</v>
      </c>
      <c r="J4004">
        <v>5</v>
      </c>
      <c r="K4004" t="s">
        <v>26</v>
      </c>
      <c r="L4004">
        <v>0</v>
      </c>
      <c r="M4004">
        <v>1</v>
      </c>
    </row>
    <row r="4005" spans="1:13" x14ac:dyDescent="0.25">
      <c r="A4005" t="s">
        <v>2753</v>
      </c>
      <c r="B4005" t="s">
        <v>106</v>
      </c>
      <c r="C4005" t="s">
        <v>14</v>
      </c>
      <c r="D4005" t="s">
        <v>20</v>
      </c>
      <c r="E4005">
        <v>137</v>
      </c>
      <c r="F4005">
        <v>1</v>
      </c>
      <c r="G4005">
        <v>108</v>
      </c>
      <c r="H4005" s="1">
        <v>43977</v>
      </c>
      <c r="I4005">
        <v>2020</v>
      </c>
      <c r="J4005">
        <v>5</v>
      </c>
      <c r="K4005" t="s">
        <v>36</v>
      </c>
      <c r="L4005">
        <v>1</v>
      </c>
      <c r="M4005">
        <v>1</v>
      </c>
    </row>
    <row r="4006" spans="1:13" x14ac:dyDescent="0.25">
      <c r="A4006" t="s">
        <v>2754</v>
      </c>
      <c r="B4006" t="s">
        <v>77</v>
      </c>
      <c r="C4006" t="s">
        <v>14</v>
      </c>
      <c r="D4006" t="s">
        <v>22</v>
      </c>
      <c r="E4006">
        <v>50</v>
      </c>
      <c r="F4006" t="s">
        <v>21</v>
      </c>
      <c r="G4006">
        <v>207</v>
      </c>
      <c r="H4006" s="1">
        <v>43977</v>
      </c>
      <c r="I4006">
        <v>2020</v>
      </c>
      <c r="J4006">
        <v>5</v>
      </c>
      <c r="K4006" t="s">
        <v>36</v>
      </c>
      <c r="L4006" t="s">
        <v>21</v>
      </c>
      <c r="M4006">
        <v>1</v>
      </c>
    </row>
    <row r="4007" spans="1:13" x14ac:dyDescent="0.25">
      <c r="A4007" t="s">
        <v>2347</v>
      </c>
      <c r="B4007" t="s">
        <v>66</v>
      </c>
      <c r="C4007" t="s">
        <v>48</v>
      </c>
      <c r="D4007" t="s">
        <v>55</v>
      </c>
      <c r="E4007">
        <v>200</v>
      </c>
      <c r="F4007" t="s">
        <v>21</v>
      </c>
      <c r="G4007">
        <v>247</v>
      </c>
      <c r="H4007" s="1">
        <v>43976</v>
      </c>
      <c r="I4007">
        <v>2020</v>
      </c>
      <c r="J4007">
        <v>5</v>
      </c>
      <c r="K4007" t="s">
        <v>36</v>
      </c>
      <c r="L4007" t="s">
        <v>21</v>
      </c>
      <c r="M4007">
        <v>1</v>
      </c>
    </row>
    <row r="4008" spans="1:13" x14ac:dyDescent="0.25">
      <c r="A4008" t="s">
        <v>2755</v>
      </c>
      <c r="B4008" t="s">
        <v>13</v>
      </c>
      <c r="C4008" t="s">
        <v>19</v>
      </c>
      <c r="D4008" t="s">
        <v>22</v>
      </c>
      <c r="E4008">
        <v>21</v>
      </c>
      <c r="F4008" t="s">
        <v>21</v>
      </c>
      <c r="G4008" t="s">
        <v>21</v>
      </c>
      <c r="H4008" s="1">
        <v>43973</v>
      </c>
      <c r="I4008">
        <v>2020</v>
      </c>
      <c r="J4008">
        <v>5</v>
      </c>
      <c r="K4008" t="s">
        <v>22</v>
      </c>
      <c r="L4008" t="s">
        <v>21</v>
      </c>
      <c r="M4008">
        <v>1</v>
      </c>
    </row>
    <row r="4009" spans="1:13" x14ac:dyDescent="0.25">
      <c r="A4009" t="s">
        <v>2756</v>
      </c>
      <c r="B4009" t="s">
        <v>54</v>
      </c>
      <c r="C4009" t="s">
        <v>14</v>
      </c>
      <c r="D4009" t="s">
        <v>20</v>
      </c>
      <c r="E4009">
        <v>400</v>
      </c>
      <c r="F4009">
        <v>0.1</v>
      </c>
      <c r="G4009">
        <v>146</v>
      </c>
      <c r="H4009" s="1">
        <v>43972</v>
      </c>
      <c r="I4009">
        <v>2020</v>
      </c>
      <c r="J4009">
        <v>5</v>
      </c>
      <c r="K4009" t="s">
        <v>36</v>
      </c>
      <c r="L4009">
        <v>0</v>
      </c>
      <c r="M4009">
        <v>1</v>
      </c>
    </row>
    <row r="4010" spans="1:13" x14ac:dyDescent="0.25">
      <c r="A4010" t="s">
        <v>2757</v>
      </c>
      <c r="B4010" t="s">
        <v>73</v>
      </c>
      <c r="C4010" t="s">
        <v>48</v>
      </c>
      <c r="D4010" t="s">
        <v>68</v>
      </c>
      <c r="E4010">
        <v>70</v>
      </c>
      <c r="F4010">
        <v>0.35</v>
      </c>
      <c r="G4010">
        <v>3</v>
      </c>
      <c r="H4010" s="1">
        <v>43972</v>
      </c>
      <c r="I4010">
        <v>2020</v>
      </c>
      <c r="J4010">
        <v>5</v>
      </c>
      <c r="K4010" t="s">
        <v>16</v>
      </c>
      <c r="L4010">
        <v>0</v>
      </c>
      <c r="M4010">
        <v>1</v>
      </c>
    </row>
    <row r="4011" spans="1:13" x14ac:dyDescent="0.25">
      <c r="A4011" t="s">
        <v>2758</v>
      </c>
      <c r="B4011" t="s">
        <v>114</v>
      </c>
      <c r="C4011" t="s">
        <v>14</v>
      </c>
      <c r="D4011" t="s">
        <v>68</v>
      </c>
      <c r="E4011">
        <v>18</v>
      </c>
      <c r="F4011">
        <v>0.36</v>
      </c>
      <c r="G4011">
        <v>30</v>
      </c>
      <c r="H4011" s="1">
        <v>43972</v>
      </c>
      <c r="I4011">
        <v>2020</v>
      </c>
      <c r="J4011">
        <v>5</v>
      </c>
      <c r="K4011" t="s">
        <v>30</v>
      </c>
      <c r="L4011">
        <v>0</v>
      </c>
      <c r="M4011">
        <v>1</v>
      </c>
    </row>
    <row r="4012" spans="1:13" x14ac:dyDescent="0.25">
      <c r="A4012" t="s">
        <v>2759</v>
      </c>
      <c r="B4012" t="s">
        <v>66</v>
      </c>
      <c r="C4012" t="s">
        <v>539</v>
      </c>
      <c r="D4012" t="s">
        <v>20</v>
      </c>
      <c r="E4012" t="s">
        <v>21</v>
      </c>
      <c r="F4012" t="s">
        <v>21</v>
      </c>
      <c r="G4012">
        <v>100</v>
      </c>
      <c r="H4012" s="1">
        <v>43972</v>
      </c>
      <c r="I4012">
        <v>2020</v>
      </c>
      <c r="J4012">
        <v>5</v>
      </c>
      <c r="K4012" t="s">
        <v>36</v>
      </c>
      <c r="L4012" t="s">
        <v>21</v>
      </c>
      <c r="M4012">
        <v>0</v>
      </c>
    </row>
    <row r="4013" spans="1:13" x14ac:dyDescent="0.25">
      <c r="A4013" t="s">
        <v>790</v>
      </c>
      <c r="B4013" t="s">
        <v>66</v>
      </c>
      <c r="C4013" t="s">
        <v>48</v>
      </c>
      <c r="D4013" t="s">
        <v>429</v>
      </c>
      <c r="E4013">
        <v>1400</v>
      </c>
      <c r="F4013">
        <v>0.35</v>
      </c>
      <c r="G4013">
        <v>3800</v>
      </c>
      <c r="H4013" s="1">
        <v>43971</v>
      </c>
      <c r="I4013">
        <v>2020</v>
      </c>
      <c r="J4013">
        <v>5</v>
      </c>
      <c r="K4013" t="s">
        <v>26</v>
      </c>
      <c r="L4013">
        <v>0</v>
      </c>
      <c r="M4013">
        <v>1</v>
      </c>
    </row>
    <row r="4014" spans="1:13" x14ac:dyDescent="0.25">
      <c r="A4014" t="s">
        <v>2760</v>
      </c>
      <c r="B4014" t="s">
        <v>117</v>
      </c>
      <c r="C4014" t="s">
        <v>14</v>
      </c>
      <c r="D4014" t="s">
        <v>43</v>
      </c>
      <c r="E4014">
        <v>300</v>
      </c>
      <c r="F4014">
        <v>0.18</v>
      </c>
      <c r="G4014">
        <v>530</v>
      </c>
      <c r="H4014" s="1">
        <v>43971</v>
      </c>
      <c r="I4014">
        <v>2020</v>
      </c>
      <c r="J4014">
        <v>5</v>
      </c>
      <c r="K4014" t="s">
        <v>36</v>
      </c>
      <c r="L4014">
        <v>0</v>
      </c>
      <c r="M4014">
        <v>1</v>
      </c>
    </row>
    <row r="4015" spans="1:13" x14ac:dyDescent="0.25">
      <c r="A4015" t="s">
        <v>2761</v>
      </c>
      <c r="B4015" t="s">
        <v>73</v>
      </c>
      <c r="C4015" t="s">
        <v>14</v>
      </c>
      <c r="D4015" t="s">
        <v>33</v>
      </c>
      <c r="E4015">
        <v>221</v>
      </c>
      <c r="F4015">
        <v>1</v>
      </c>
      <c r="G4015">
        <v>62</v>
      </c>
      <c r="H4015" s="1">
        <v>43971</v>
      </c>
      <c r="I4015">
        <v>2020</v>
      </c>
      <c r="J4015">
        <v>5</v>
      </c>
      <c r="K4015" t="s">
        <v>30</v>
      </c>
      <c r="L4015">
        <v>1</v>
      </c>
      <c r="M4015">
        <v>1</v>
      </c>
    </row>
    <row r="4016" spans="1:13" x14ac:dyDescent="0.25">
      <c r="A4016" t="s">
        <v>973</v>
      </c>
      <c r="B4016" t="s">
        <v>77</v>
      </c>
      <c r="C4016" t="s">
        <v>14</v>
      </c>
      <c r="D4016" t="s">
        <v>81</v>
      </c>
      <c r="E4016">
        <v>112</v>
      </c>
      <c r="F4016">
        <v>7.0000000000000007E-2</v>
      </c>
      <c r="G4016">
        <v>2500</v>
      </c>
      <c r="H4016" s="1">
        <v>43971</v>
      </c>
      <c r="I4016">
        <v>2020</v>
      </c>
      <c r="J4016">
        <v>5</v>
      </c>
      <c r="K4016" t="s">
        <v>26</v>
      </c>
      <c r="L4016">
        <v>0</v>
      </c>
      <c r="M4016">
        <v>1</v>
      </c>
    </row>
    <row r="4017" spans="1:13" x14ac:dyDescent="0.25">
      <c r="A4017" t="s">
        <v>525</v>
      </c>
      <c r="B4017" t="s">
        <v>54</v>
      </c>
      <c r="C4017" t="s">
        <v>48</v>
      </c>
      <c r="D4017" t="s">
        <v>55</v>
      </c>
      <c r="E4017">
        <v>101</v>
      </c>
      <c r="F4017">
        <v>0.25</v>
      </c>
      <c r="G4017">
        <v>222</v>
      </c>
      <c r="H4017" s="1">
        <v>43971</v>
      </c>
      <c r="I4017">
        <v>2020</v>
      </c>
      <c r="J4017">
        <v>5</v>
      </c>
      <c r="K4017" t="s">
        <v>36</v>
      </c>
      <c r="L4017">
        <v>0</v>
      </c>
      <c r="M4017">
        <v>1</v>
      </c>
    </row>
    <row r="4018" spans="1:13" x14ac:dyDescent="0.25">
      <c r="A4018" t="s">
        <v>2102</v>
      </c>
      <c r="B4018" t="s">
        <v>89</v>
      </c>
      <c r="C4018" t="s">
        <v>14</v>
      </c>
      <c r="D4018" t="s">
        <v>55</v>
      </c>
      <c r="E4018">
        <v>39</v>
      </c>
      <c r="F4018">
        <v>0.06</v>
      </c>
      <c r="G4018">
        <v>240</v>
      </c>
      <c r="H4018" s="1">
        <v>43971</v>
      </c>
      <c r="I4018">
        <v>2020</v>
      </c>
      <c r="J4018">
        <v>5</v>
      </c>
      <c r="K4018" t="s">
        <v>36</v>
      </c>
      <c r="L4018">
        <v>0</v>
      </c>
      <c r="M4018">
        <v>1</v>
      </c>
    </row>
    <row r="4019" spans="1:13" x14ac:dyDescent="0.25">
      <c r="A4019" t="s">
        <v>253</v>
      </c>
      <c r="B4019" t="s">
        <v>24</v>
      </c>
      <c r="C4019" t="s">
        <v>48</v>
      </c>
      <c r="D4019" t="s">
        <v>55</v>
      </c>
      <c r="E4019">
        <v>450</v>
      </c>
      <c r="F4019">
        <v>0.15</v>
      </c>
      <c r="G4019">
        <v>157</v>
      </c>
      <c r="H4019" s="1">
        <v>43970</v>
      </c>
      <c r="I4019">
        <v>2020</v>
      </c>
      <c r="J4019">
        <v>5</v>
      </c>
      <c r="K4019" t="s">
        <v>36</v>
      </c>
      <c r="L4019">
        <v>0</v>
      </c>
      <c r="M4019">
        <v>1</v>
      </c>
    </row>
    <row r="4020" spans="1:13" x14ac:dyDescent="0.25">
      <c r="A4020" t="s">
        <v>2322</v>
      </c>
      <c r="B4020" t="s">
        <v>73</v>
      </c>
      <c r="C4020" t="s">
        <v>80</v>
      </c>
      <c r="D4020" t="s">
        <v>33</v>
      </c>
      <c r="E4020">
        <v>69</v>
      </c>
      <c r="F4020">
        <v>0.31</v>
      </c>
      <c r="G4020">
        <v>88</v>
      </c>
      <c r="H4020" s="1">
        <v>43970</v>
      </c>
      <c r="I4020">
        <v>2020</v>
      </c>
      <c r="J4020">
        <v>5</v>
      </c>
      <c r="K4020" t="s">
        <v>30</v>
      </c>
      <c r="L4020">
        <v>0</v>
      </c>
      <c r="M4020">
        <v>1</v>
      </c>
    </row>
    <row r="4021" spans="1:13" x14ac:dyDescent="0.25">
      <c r="A4021" t="s">
        <v>2762</v>
      </c>
      <c r="B4021" t="s">
        <v>114</v>
      </c>
      <c r="C4021" t="s">
        <v>80</v>
      </c>
      <c r="D4021" t="s">
        <v>22</v>
      </c>
      <c r="E4021">
        <v>10</v>
      </c>
      <c r="F4021">
        <v>1</v>
      </c>
      <c r="G4021" t="s">
        <v>21</v>
      </c>
      <c r="H4021" s="1">
        <v>43970</v>
      </c>
      <c r="I4021">
        <v>2020</v>
      </c>
      <c r="J4021">
        <v>5</v>
      </c>
      <c r="K4021" t="s">
        <v>22</v>
      </c>
      <c r="L4021">
        <v>1</v>
      </c>
      <c r="M4021">
        <v>1</v>
      </c>
    </row>
    <row r="4022" spans="1:13" x14ac:dyDescent="0.25">
      <c r="A4022" t="s">
        <v>2763</v>
      </c>
      <c r="B4022" t="s">
        <v>77</v>
      </c>
      <c r="C4022" t="s">
        <v>14</v>
      </c>
      <c r="D4022" t="s">
        <v>46</v>
      </c>
      <c r="E4022" t="s">
        <v>21</v>
      </c>
      <c r="F4022" t="s">
        <v>21</v>
      </c>
      <c r="G4022">
        <v>252</v>
      </c>
      <c r="H4022" s="1">
        <v>43970</v>
      </c>
      <c r="I4022">
        <v>2020</v>
      </c>
      <c r="J4022">
        <v>5</v>
      </c>
      <c r="K4022" t="s">
        <v>36</v>
      </c>
      <c r="L4022" t="s">
        <v>21</v>
      </c>
      <c r="M4022">
        <v>0</v>
      </c>
    </row>
    <row r="4023" spans="1:13" x14ac:dyDescent="0.25">
      <c r="A4023" t="s">
        <v>112</v>
      </c>
      <c r="B4023" t="s">
        <v>66</v>
      </c>
      <c r="C4023" t="s">
        <v>14</v>
      </c>
      <c r="D4023" t="s">
        <v>15</v>
      </c>
      <c r="E4023">
        <v>3000</v>
      </c>
      <c r="F4023">
        <v>0.13</v>
      </c>
      <c r="G4023">
        <v>24700</v>
      </c>
      <c r="H4023" s="1">
        <v>43969</v>
      </c>
      <c r="I4023">
        <v>2020</v>
      </c>
      <c r="J4023">
        <v>5</v>
      </c>
      <c r="K4023" t="s">
        <v>26</v>
      </c>
      <c r="L4023">
        <v>0</v>
      </c>
      <c r="M4023">
        <v>1</v>
      </c>
    </row>
    <row r="4024" spans="1:13" x14ac:dyDescent="0.25">
      <c r="A4024" t="s">
        <v>2764</v>
      </c>
      <c r="B4024" t="s">
        <v>73</v>
      </c>
      <c r="C4024" t="s">
        <v>64</v>
      </c>
      <c r="D4024" t="s">
        <v>20</v>
      </c>
      <c r="E4024">
        <v>1500</v>
      </c>
      <c r="F4024">
        <v>0.25</v>
      </c>
      <c r="G4024" t="s">
        <v>21</v>
      </c>
      <c r="H4024" s="1">
        <v>43969</v>
      </c>
      <c r="I4024">
        <v>2020</v>
      </c>
      <c r="J4024">
        <v>5</v>
      </c>
      <c r="K4024" t="s">
        <v>22</v>
      </c>
      <c r="L4024">
        <v>0</v>
      </c>
      <c r="M4024">
        <v>1</v>
      </c>
    </row>
    <row r="4025" spans="1:13" x14ac:dyDescent="0.25">
      <c r="A4025" t="s">
        <v>930</v>
      </c>
      <c r="B4025" t="s">
        <v>95</v>
      </c>
      <c r="C4025" t="s">
        <v>48</v>
      </c>
      <c r="D4025" t="s">
        <v>518</v>
      </c>
      <c r="E4025">
        <v>1100</v>
      </c>
      <c r="F4025">
        <v>0.14000000000000001</v>
      </c>
      <c r="G4025">
        <v>1600</v>
      </c>
      <c r="H4025" s="1">
        <v>43969</v>
      </c>
      <c r="I4025">
        <v>2020</v>
      </c>
      <c r="J4025">
        <v>5</v>
      </c>
      <c r="K4025" t="s">
        <v>26</v>
      </c>
      <c r="L4025">
        <v>0</v>
      </c>
      <c r="M4025">
        <v>1</v>
      </c>
    </row>
    <row r="4026" spans="1:13" x14ac:dyDescent="0.25">
      <c r="A4026" t="s">
        <v>1810</v>
      </c>
      <c r="B4026" t="s">
        <v>91</v>
      </c>
      <c r="C4026" t="s">
        <v>48</v>
      </c>
      <c r="D4026" t="s">
        <v>347</v>
      </c>
      <c r="E4026">
        <v>100</v>
      </c>
      <c r="F4026">
        <v>0.2</v>
      </c>
      <c r="G4026">
        <v>19500</v>
      </c>
      <c r="H4026" s="1">
        <v>43969</v>
      </c>
      <c r="I4026">
        <v>2020</v>
      </c>
      <c r="J4026">
        <v>5</v>
      </c>
      <c r="K4026" t="s">
        <v>26</v>
      </c>
      <c r="L4026">
        <v>0</v>
      </c>
      <c r="M4026">
        <v>1</v>
      </c>
    </row>
    <row r="4027" spans="1:13" x14ac:dyDescent="0.25">
      <c r="A4027" t="s">
        <v>2765</v>
      </c>
      <c r="B4027" t="s">
        <v>140</v>
      </c>
      <c r="C4027" t="s">
        <v>14</v>
      </c>
      <c r="D4027" t="s">
        <v>111</v>
      </c>
      <c r="E4027">
        <v>57</v>
      </c>
      <c r="F4027" t="s">
        <v>21</v>
      </c>
      <c r="G4027">
        <v>553</v>
      </c>
      <c r="H4027" s="1">
        <v>43969</v>
      </c>
      <c r="I4027">
        <v>2020</v>
      </c>
      <c r="J4027">
        <v>5</v>
      </c>
      <c r="K4027" t="s">
        <v>36</v>
      </c>
      <c r="L4027" t="s">
        <v>21</v>
      </c>
      <c r="M4027">
        <v>1</v>
      </c>
    </row>
    <row r="4028" spans="1:13" x14ac:dyDescent="0.25">
      <c r="A4028" t="s">
        <v>2766</v>
      </c>
      <c r="B4028" t="s">
        <v>342</v>
      </c>
      <c r="C4028" t="s">
        <v>14</v>
      </c>
      <c r="D4028" t="s">
        <v>81</v>
      </c>
      <c r="E4028">
        <v>45</v>
      </c>
      <c r="F4028">
        <v>0.05</v>
      </c>
      <c r="G4028" t="s">
        <v>21</v>
      </c>
      <c r="H4028" s="1">
        <v>43969</v>
      </c>
      <c r="I4028">
        <v>2020</v>
      </c>
      <c r="J4028">
        <v>5</v>
      </c>
      <c r="K4028" t="s">
        <v>22</v>
      </c>
      <c r="L4028">
        <v>0</v>
      </c>
      <c r="M4028">
        <v>1</v>
      </c>
    </row>
    <row r="4029" spans="1:13" x14ac:dyDescent="0.25">
      <c r="A4029" t="s">
        <v>2147</v>
      </c>
      <c r="B4029" t="s">
        <v>28</v>
      </c>
      <c r="C4029" t="s">
        <v>29</v>
      </c>
      <c r="D4029" t="s">
        <v>20</v>
      </c>
      <c r="E4029" t="s">
        <v>21</v>
      </c>
      <c r="F4029" t="s">
        <v>21</v>
      </c>
      <c r="G4029">
        <v>92</v>
      </c>
      <c r="H4029" s="1">
        <v>43969</v>
      </c>
      <c r="I4029">
        <v>2020</v>
      </c>
      <c r="J4029">
        <v>5</v>
      </c>
      <c r="K4029" t="s">
        <v>30</v>
      </c>
      <c r="L4029" t="s">
        <v>21</v>
      </c>
      <c r="M4029">
        <v>0</v>
      </c>
    </row>
    <row r="4030" spans="1:13" x14ac:dyDescent="0.25">
      <c r="A4030" t="s">
        <v>2767</v>
      </c>
      <c r="B4030" t="s">
        <v>140</v>
      </c>
      <c r="C4030" t="s">
        <v>14</v>
      </c>
      <c r="D4030" t="s">
        <v>46</v>
      </c>
      <c r="E4030" t="s">
        <v>21</v>
      </c>
      <c r="F4030">
        <v>0.1</v>
      </c>
      <c r="G4030">
        <v>63</v>
      </c>
      <c r="H4030" s="1">
        <v>43969</v>
      </c>
      <c r="I4030">
        <v>2020</v>
      </c>
      <c r="J4030">
        <v>5</v>
      </c>
      <c r="K4030" t="s">
        <v>30</v>
      </c>
      <c r="L4030">
        <v>0</v>
      </c>
      <c r="M4030">
        <v>1</v>
      </c>
    </row>
    <row r="4031" spans="1:13" x14ac:dyDescent="0.25">
      <c r="A4031" t="s">
        <v>2768</v>
      </c>
      <c r="B4031" t="s">
        <v>91</v>
      </c>
      <c r="C4031" t="s">
        <v>48</v>
      </c>
      <c r="D4031" t="s">
        <v>22</v>
      </c>
      <c r="E4031">
        <v>250</v>
      </c>
      <c r="F4031" t="s">
        <v>21</v>
      </c>
      <c r="G4031">
        <v>300</v>
      </c>
      <c r="H4031" s="1">
        <v>43968</v>
      </c>
      <c r="I4031">
        <v>2020</v>
      </c>
      <c r="J4031">
        <v>5</v>
      </c>
      <c r="K4031" t="s">
        <v>36</v>
      </c>
      <c r="L4031" t="s">
        <v>21</v>
      </c>
      <c r="M4031">
        <v>1</v>
      </c>
    </row>
    <row r="4032" spans="1:13" x14ac:dyDescent="0.25">
      <c r="A4032" t="s">
        <v>458</v>
      </c>
      <c r="B4032" t="s">
        <v>95</v>
      </c>
      <c r="C4032" t="s">
        <v>48</v>
      </c>
      <c r="D4032" t="s">
        <v>429</v>
      </c>
      <c r="E4032">
        <v>520</v>
      </c>
      <c r="F4032">
        <v>0.13</v>
      </c>
      <c r="G4032">
        <v>914</v>
      </c>
      <c r="H4032" s="1">
        <v>43966</v>
      </c>
      <c r="I4032">
        <v>2020</v>
      </c>
      <c r="J4032">
        <v>5</v>
      </c>
      <c r="K4032" t="s">
        <v>36</v>
      </c>
      <c r="L4032">
        <v>0</v>
      </c>
      <c r="M4032">
        <v>1</v>
      </c>
    </row>
    <row r="4033" spans="1:13" x14ac:dyDescent="0.25">
      <c r="A4033" t="s">
        <v>2769</v>
      </c>
      <c r="B4033" t="s">
        <v>77</v>
      </c>
      <c r="C4033" t="s">
        <v>48</v>
      </c>
      <c r="D4033" t="s">
        <v>22</v>
      </c>
      <c r="E4033">
        <v>500</v>
      </c>
      <c r="F4033">
        <v>0.5</v>
      </c>
      <c r="G4033">
        <v>200</v>
      </c>
      <c r="H4033" s="1">
        <v>43966</v>
      </c>
      <c r="I4033">
        <v>2020</v>
      </c>
      <c r="J4033">
        <v>5</v>
      </c>
      <c r="K4033" t="s">
        <v>36</v>
      </c>
      <c r="L4033">
        <v>0</v>
      </c>
      <c r="M4033">
        <v>1</v>
      </c>
    </row>
    <row r="4034" spans="1:13" x14ac:dyDescent="0.25">
      <c r="A4034" t="s">
        <v>1871</v>
      </c>
      <c r="B4034" t="s">
        <v>40</v>
      </c>
      <c r="C4034" t="s">
        <v>14</v>
      </c>
      <c r="D4034" t="s">
        <v>46</v>
      </c>
      <c r="E4034">
        <v>16</v>
      </c>
      <c r="F4034">
        <v>0.1</v>
      </c>
      <c r="G4034">
        <v>49</v>
      </c>
      <c r="H4034" s="1">
        <v>43966</v>
      </c>
      <c r="I4034">
        <v>2020</v>
      </c>
      <c r="J4034">
        <v>5</v>
      </c>
      <c r="K4034" t="s">
        <v>30</v>
      </c>
      <c r="L4034">
        <v>0</v>
      </c>
      <c r="M4034">
        <v>1</v>
      </c>
    </row>
    <row r="4035" spans="1:13" x14ac:dyDescent="0.25">
      <c r="A4035" t="s">
        <v>2770</v>
      </c>
      <c r="B4035" t="s">
        <v>24</v>
      </c>
      <c r="C4035" t="s">
        <v>14</v>
      </c>
      <c r="D4035" t="s">
        <v>49</v>
      </c>
      <c r="E4035" t="s">
        <v>21</v>
      </c>
      <c r="F4035">
        <v>1</v>
      </c>
      <c r="G4035">
        <v>3</v>
      </c>
      <c r="H4035" s="1">
        <v>43966</v>
      </c>
      <c r="I4035">
        <v>2020</v>
      </c>
      <c r="J4035">
        <v>5</v>
      </c>
      <c r="K4035" t="s">
        <v>16</v>
      </c>
      <c r="L4035">
        <v>1</v>
      </c>
      <c r="M4035">
        <v>1</v>
      </c>
    </row>
    <row r="4036" spans="1:13" x14ac:dyDescent="0.25">
      <c r="A4036" t="s">
        <v>507</v>
      </c>
      <c r="B4036" t="s">
        <v>66</v>
      </c>
      <c r="C4036" t="s">
        <v>14</v>
      </c>
      <c r="D4036" t="s">
        <v>20</v>
      </c>
      <c r="E4036">
        <v>150</v>
      </c>
      <c r="F4036">
        <v>0.08</v>
      </c>
      <c r="G4036">
        <v>5300</v>
      </c>
      <c r="H4036" s="1">
        <v>43965</v>
      </c>
      <c r="I4036">
        <v>2020</v>
      </c>
      <c r="J4036">
        <v>5</v>
      </c>
      <c r="K4036" t="s">
        <v>26</v>
      </c>
      <c r="L4036">
        <v>0</v>
      </c>
      <c r="M4036">
        <v>1</v>
      </c>
    </row>
    <row r="4037" spans="1:13" x14ac:dyDescent="0.25">
      <c r="A4037" t="s">
        <v>2771</v>
      </c>
      <c r="B4037" t="s">
        <v>32</v>
      </c>
      <c r="C4037" t="s">
        <v>14</v>
      </c>
      <c r="D4037" t="s">
        <v>20</v>
      </c>
      <c r="E4037">
        <v>80</v>
      </c>
      <c r="F4037">
        <v>0.4</v>
      </c>
      <c r="G4037" t="s">
        <v>21</v>
      </c>
      <c r="H4037" s="1">
        <v>43965</v>
      </c>
      <c r="I4037">
        <v>2020</v>
      </c>
      <c r="J4037">
        <v>5</v>
      </c>
      <c r="K4037" t="s">
        <v>22</v>
      </c>
      <c r="L4037">
        <v>0</v>
      </c>
      <c r="M4037">
        <v>1</v>
      </c>
    </row>
    <row r="4038" spans="1:13" x14ac:dyDescent="0.25">
      <c r="A4038" t="s">
        <v>1983</v>
      </c>
      <c r="B4038" t="s">
        <v>54</v>
      </c>
      <c r="C4038" t="s">
        <v>14</v>
      </c>
      <c r="D4038" t="s">
        <v>20</v>
      </c>
      <c r="E4038">
        <v>70</v>
      </c>
      <c r="F4038">
        <v>0.1</v>
      </c>
      <c r="G4038">
        <v>116</v>
      </c>
      <c r="H4038" s="1">
        <v>43965</v>
      </c>
      <c r="I4038">
        <v>2020</v>
      </c>
      <c r="J4038">
        <v>5</v>
      </c>
      <c r="K4038" t="s">
        <v>36</v>
      </c>
      <c r="L4038">
        <v>0</v>
      </c>
      <c r="M4038">
        <v>1</v>
      </c>
    </row>
    <row r="4039" spans="1:13" x14ac:dyDescent="0.25">
      <c r="A4039" t="s">
        <v>2772</v>
      </c>
      <c r="B4039" t="s">
        <v>66</v>
      </c>
      <c r="C4039" t="s">
        <v>14</v>
      </c>
      <c r="D4039" t="s">
        <v>33</v>
      </c>
      <c r="E4039">
        <v>35</v>
      </c>
      <c r="F4039">
        <v>0.15</v>
      </c>
      <c r="G4039">
        <v>73</v>
      </c>
      <c r="H4039" s="1">
        <v>43965</v>
      </c>
      <c r="I4039">
        <v>2020</v>
      </c>
      <c r="J4039">
        <v>5</v>
      </c>
      <c r="K4039" t="s">
        <v>30</v>
      </c>
      <c r="L4039">
        <v>0</v>
      </c>
      <c r="M4039">
        <v>1</v>
      </c>
    </row>
    <row r="4040" spans="1:13" x14ac:dyDescent="0.25">
      <c r="A4040" t="s">
        <v>2773</v>
      </c>
      <c r="B4040" t="s">
        <v>77</v>
      </c>
      <c r="C4040" t="s">
        <v>14</v>
      </c>
      <c r="D4040" t="s">
        <v>22</v>
      </c>
      <c r="E4040">
        <v>30</v>
      </c>
      <c r="F4040" t="s">
        <v>21</v>
      </c>
      <c r="G4040">
        <v>69</v>
      </c>
      <c r="H4040" s="1">
        <v>43965</v>
      </c>
      <c r="I4040">
        <v>2020</v>
      </c>
      <c r="J4040">
        <v>5</v>
      </c>
      <c r="K4040" t="s">
        <v>30</v>
      </c>
      <c r="L4040" t="s">
        <v>21</v>
      </c>
      <c r="M4040">
        <v>1</v>
      </c>
    </row>
    <row r="4041" spans="1:13" x14ac:dyDescent="0.25">
      <c r="A4041" t="s">
        <v>2774</v>
      </c>
      <c r="B4041" t="s">
        <v>28</v>
      </c>
      <c r="C4041" t="s">
        <v>14</v>
      </c>
      <c r="D4041" t="s">
        <v>55</v>
      </c>
      <c r="E4041" t="s">
        <v>21</v>
      </c>
      <c r="F4041" t="s">
        <v>21</v>
      </c>
      <c r="G4041">
        <v>106</v>
      </c>
      <c r="H4041" s="1">
        <v>43965</v>
      </c>
      <c r="I4041">
        <v>2020</v>
      </c>
      <c r="J4041">
        <v>5</v>
      </c>
      <c r="K4041" t="s">
        <v>36</v>
      </c>
      <c r="L4041" t="s">
        <v>21</v>
      </c>
      <c r="M4041">
        <v>0</v>
      </c>
    </row>
    <row r="4042" spans="1:13" x14ac:dyDescent="0.25">
      <c r="A4042" t="s">
        <v>2775</v>
      </c>
      <c r="B4042" t="s">
        <v>18</v>
      </c>
      <c r="C4042" t="s">
        <v>74</v>
      </c>
      <c r="D4042" t="s">
        <v>22</v>
      </c>
      <c r="E4042" t="s">
        <v>21</v>
      </c>
      <c r="F4042">
        <v>0.3</v>
      </c>
      <c r="G4042">
        <v>8</v>
      </c>
      <c r="H4042" s="1">
        <v>43965</v>
      </c>
      <c r="I4042">
        <v>2020</v>
      </c>
      <c r="J4042">
        <v>5</v>
      </c>
      <c r="K4042" t="s">
        <v>16</v>
      </c>
      <c r="L4042">
        <v>0</v>
      </c>
      <c r="M4042">
        <v>1</v>
      </c>
    </row>
    <row r="4043" spans="1:13" x14ac:dyDescent="0.25">
      <c r="A4043" t="s">
        <v>2776</v>
      </c>
      <c r="B4043" t="s">
        <v>54</v>
      </c>
      <c r="C4043" t="s">
        <v>14</v>
      </c>
      <c r="D4043" t="s">
        <v>46</v>
      </c>
      <c r="E4043" t="s">
        <v>21</v>
      </c>
      <c r="F4043" t="s">
        <v>21</v>
      </c>
      <c r="G4043">
        <v>375</v>
      </c>
      <c r="H4043" s="1">
        <v>43965</v>
      </c>
      <c r="I4043">
        <v>2020</v>
      </c>
      <c r="J4043">
        <v>5</v>
      </c>
      <c r="K4043" t="s">
        <v>36</v>
      </c>
      <c r="L4043" t="s">
        <v>21</v>
      </c>
      <c r="M4043">
        <v>0</v>
      </c>
    </row>
    <row r="4044" spans="1:13" x14ac:dyDescent="0.25">
      <c r="A4044" t="s">
        <v>2777</v>
      </c>
      <c r="B4044" t="s">
        <v>24</v>
      </c>
      <c r="C4044" t="s">
        <v>14</v>
      </c>
      <c r="D4044" t="s">
        <v>46</v>
      </c>
      <c r="E4044">
        <v>669</v>
      </c>
      <c r="F4044">
        <v>1</v>
      </c>
      <c r="G4044">
        <v>80</v>
      </c>
      <c r="H4044" s="1">
        <v>43964</v>
      </c>
      <c r="I4044">
        <v>2020</v>
      </c>
      <c r="J4044">
        <v>5</v>
      </c>
      <c r="K4044" t="s">
        <v>30</v>
      </c>
      <c r="L4044">
        <v>1</v>
      </c>
      <c r="M4044">
        <v>1</v>
      </c>
    </row>
    <row r="4045" spans="1:13" x14ac:dyDescent="0.25">
      <c r="A4045" t="s">
        <v>2778</v>
      </c>
      <c r="B4045" t="s">
        <v>99</v>
      </c>
      <c r="C4045" t="s">
        <v>230</v>
      </c>
      <c r="D4045" t="s">
        <v>22</v>
      </c>
      <c r="E4045">
        <v>51</v>
      </c>
      <c r="F4045">
        <v>0.4</v>
      </c>
      <c r="G4045">
        <v>2</v>
      </c>
      <c r="H4045" s="1">
        <v>43964</v>
      </c>
      <c r="I4045">
        <v>2020</v>
      </c>
      <c r="J4045">
        <v>5</v>
      </c>
      <c r="K4045" t="s">
        <v>16</v>
      </c>
      <c r="L4045">
        <v>0</v>
      </c>
      <c r="M4045">
        <v>1</v>
      </c>
    </row>
    <row r="4046" spans="1:13" x14ac:dyDescent="0.25">
      <c r="A4046" t="s">
        <v>2779</v>
      </c>
      <c r="B4046" t="s">
        <v>77</v>
      </c>
      <c r="C4046" t="s">
        <v>14</v>
      </c>
      <c r="D4046" t="s">
        <v>22</v>
      </c>
      <c r="E4046">
        <v>25</v>
      </c>
      <c r="F4046">
        <v>0.18</v>
      </c>
      <c r="G4046">
        <v>10</v>
      </c>
      <c r="H4046" s="1">
        <v>43964</v>
      </c>
      <c r="I4046">
        <v>2020</v>
      </c>
      <c r="J4046">
        <v>5</v>
      </c>
      <c r="K4046" t="s">
        <v>30</v>
      </c>
      <c r="L4046">
        <v>0</v>
      </c>
      <c r="M4046">
        <v>1</v>
      </c>
    </row>
    <row r="4047" spans="1:13" x14ac:dyDescent="0.25">
      <c r="A4047" t="s">
        <v>2780</v>
      </c>
      <c r="B4047" t="s">
        <v>114</v>
      </c>
      <c r="C4047" t="s">
        <v>174</v>
      </c>
      <c r="D4047" t="s">
        <v>20</v>
      </c>
      <c r="E4047">
        <v>19</v>
      </c>
      <c r="F4047">
        <v>0.11</v>
      </c>
      <c r="G4047" t="s">
        <v>21</v>
      </c>
      <c r="H4047" s="1">
        <v>43964</v>
      </c>
      <c r="I4047">
        <v>2020</v>
      </c>
      <c r="J4047">
        <v>5</v>
      </c>
      <c r="K4047" t="s">
        <v>22</v>
      </c>
      <c r="L4047">
        <v>0</v>
      </c>
      <c r="M4047">
        <v>1</v>
      </c>
    </row>
    <row r="4048" spans="1:13" x14ac:dyDescent="0.25">
      <c r="A4048" t="s">
        <v>2249</v>
      </c>
      <c r="B4048" t="s">
        <v>38</v>
      </c>
      <c r="C4048" t="s">
        <v>14</v>
      </c>
      <c r="D4048" t="s">
        <v>46</v>
      </c>
      <c r="E4048">
        <v>17</v>
      </c>
      <c r="F4048" t="s">
        <v>21</v>
      </c>
      <c r="G4048">
        <v>46</v>
      </c>
      <c r="H4048" s="1">
        <v>43964</v>
      </c>
      <c r="I4048">
        <v>2020</v>
      </c>
      <c r="J4048">
        <v>5</v>
      </c>
      <c r="K4048" t="s">
        <v>30</v>
      </c>
      <c r="L4048" t="s">
        <v>21</v>
      </c>
      <c r="M4048">
        <v>1</v>
      </c>
    </row>
    <row r="4049" spans="1:13" x14ac:dyDescent="0.25">
      <c r="A4049" t="s">
        <v>2781</v>
      </c>
      <c r="B4049" t="s">
        <v>28</v>
      </c>
      <c r="C4049" t="s">
        <v>14</v>
      </c>
      <c r="D4049" t="s">
        <v>111</v>
      </c>
      <c r="E4049" t="s">
        <v>21</v>
      </c>
      <c r="F4049" t="s">
        <v>21</v>
      </c>
      <c r="G4049">
        <v>111</v>
      </c>
      <c r="H4049" s="1">
        <v>43964</v>
      </c>
      <c r="I4049">
        <v>2020</v>
      </c>
      <c r="J4049">
        <v>5</v>
      </c>
      <c r="K4049" t="s">
        <v>36</v>
      </c>
      <c r="L4049" t="s">
        <v>21</v>
      </c>
      <c r="M4049">
        <v>0</v>
      </c>
    </row>
    <row r="4050" spans="1:13" x14ac:dyDescent="0.25">
      <c r="A4050" t="s">
        <v>2782</v>
      </c>
      <c r="B4050" t="s">
        <v>207</v>
      </c>
      <c r="C4050" t="s">
        <v>2247</v>
      </c>
      <c r="D4050" t="s">
        <v>49</v>
      </c>
      <c r="E4050" t="s">
        <v>21</v>
      </c>
      <c r="F4050">
        <v>1</v>
      </c>
      <c r="G4050">
        <v>1</v>
      </c>
      <c r="H4050" s="1">
        <v>43964</v>
      </c>
      <c r="I4050">
        <v>2020</v>
      </c>
      <c r="J4050">
        <v>5</v>
      </c>
      <c r="K4050" t="s">
        <v>16</v>
      </c>
      <c r="L4050">
        <v>1</v>
      </c>
      <c r="M4050">
        <v>1</v>
      </c>
    </row>
    <row r="4051" spans="1:13" x14ac:dyDescent="0.25">
      <c r="A4051" t="s">
        <v>1489</v>
      </c>
      <c r="B4051" t="s">
        <v>13</v>
      </c>
      <c r="C4051" t="s">
        <v>14</v>
      </c>
      <c r="D4051" t="s">
        <v>46</v>
      </c>
      <c r="E4051" t="s">
        <v>21</v>
      </c>
      <c r="F4051">
        <v>0.1</v>
      </c>
      <c r="G4051">
        <v>574</v>
      </c>
      <c r="H4051" s="1">
        <v>43964</v>
      </c>
      <c r="I4051">
        <v>2020</v>
      </c>
      <c r="J4051">
        <v>5</v>
      </c>
      <c r="K4051" t="s">
        <v>36</v>
      </c>
      <c r="L4051">
        <v>0</v>
      </c>
      <c r="M4051">
        <v>1</v>
      </c>
    </row>
    <row r="4052" spans="1:13" x14ac:dyDescent="0.25">
      <c r="A4052" t="s">
        <v>229</v>
      </c>
      <c r="B4052" t="s">
        <v>77</v>
      </c>
      <c r="C4052" t="s">
        <v>230</v>
      </c>
      <c r="D4052" t="s">
        <v>15</v>
      </c>
      <c r="E4052">
        <v>1300</v>
      </c>
      <c r="F4052">
        <v>0.2</v>
      </c>
      <c r="G4052" t="s">
        <v>21</v>
      </c>
      <c r="H4052" s="1">
        <v>43963</v>
      </c>
      <c r="I4052">
        <v>2020</v>
      </c>
      <c r="J4052">
        <v>5</v>
      </c>
      <c r="K4052" t="s">
        <v>22</v>
      </c>
      <c r="L4052">
        <v>0</v>
      </c>
      <c r="M4052">
        <v>1</v>
      </c>
    </row>
    <row r="4053" spans="1:13" x14ac:dyDescent="0.25">
      <c r="A4053" t="s">
        <v>1074</v>
      </c>
      <c r="B4053" t="s">
        <v>91</v>
      </c>
      <c r="C4053" t="s">
        <v>14</v>
      </c>
      <c r="D4053" t="s">
        <v>33</v>
      </c>
      <c r="E4053">
        <v>73</v>
      </c>
      <c r="F4053">
        <v>0.5</v>
      </c>
      <c r="G4053">
        <v>79</v>
      </c>
      <c r="H4053" s="1">
        <v>43963</v>
      </c>
      <c r="I4053">
        <v>2020</v>
      </c>
      <c r="J4053">
        <v>5</v>
      </c>
      <c r="K4053" t="s">
        <v>30</v>
      </c>
      <c r="L4053">
        <v>0</v>
      </c>
      <c r="M4053">
        <v>1</v>
      </c>
    </row>
    <row r="4054" spans="1:13" x14ac:dyDescent="0.25">
      <c r="A4054" t="s">
        <v>2783</v>
      </c>
      <c r="B4054" t="s">
        <v>38</v>
      </c>
      <c r="C4054" t="s">
        <v>14</v>
      </c>
      <c r="D4054" t="s">
        <v>33</v>
      </c>
      <c r="E4054">
        <v>65</v>
      </c>
      <c r="F4054">
        <v>0.19</v>
      </c>
      <c r="G4054">
        <v>77</v>
      </c>
      <c r="H4054" s="1">
        <v>43963</v>
      </c>
      <c r="I4054">
        <v>2020</v>
      </c>
      <c r="J4054">
        <v>5</v>
      </c>
      <c r="K4054" t="s">
        <v>30</v>
      </c>
      <c r="L4054">
        <v>0</v>
      </c>
      <c r="M4054">
        <v>1</v>
      </c>
    </row>
    <row r="4055" spans="1:13" x14ac:dyDescent="0.25">
      <c r="A4055" t="s">
        <v>2784</v>
      </c>
      <c r="B4055" t="s">
        <v>45</v>
      </c>
      <c r="C4055" t="s">
        <v>14</v>
      </c>
      <c r="D4055" t="s">
        <v>55</v>
      </c>
      <c r="E4055">
        <v>36</v>
      </c>
      <c r="F4055">
        <v>0.17</v>
      </c>
      <c r="G4055">
        <v>52</v>
      </c>
      <c r="H4055" s="1">
        <v>43963</v>
      </c>
      <c r="I4055">
        <v>2020</v>
      </c>
      <c r="J4055">
        <v>5</v>
      </c>
      <c r="K4055" t="s">
        <v>30</v>
      </c>
      <c r="L4055">
        <v>0</v>
      </c>
      <c r="M4055">
        <v>1</v>
      </c>
    </row>
    <row r="4056" spans="1:13" x14ac:dyDescent="0.25">
      <c r="A4056" t="s">
        <v>912</v>
      </c>
      <c r="B4056" t="s">
        <v>106</v>
      </c>
      <c r="C4056" t="s">
        <v>174</v>
      </c>
      <c r="D4056" t="s">
        <v>55</v>
      </c>
      <c r="E4056">
        <v>16</v>
      </c>
      <c r="F4056">
        <v>0.03</v>
      </c>
      <c r="G4056">
        <v>104</v>
      </c>
      <c r="H4056" s="1">
        <v>43963</v>
      </c>
      <c r="I4056">
        <v>2020</v>
      </c>
      <c r="J4056">
        <v>5</v>
      </c>
      <c r="K4056" t="s">
        <v>36</v>
      </c>
      <c r="L4056">
        <v>0</v>
      </c>
      <c r="M4056">
        <v>1</v>
      </c>
    </row>
    <row r="4057" spans="1:13" x14ac:dyDescent="0.25">
      <c r="A4057" t="s">
        <v>2785</v>
      </c>
      <c r="B4057" t="s">
        <v>140</v>
      </c>
      <c r="C4057" t="s">
        <v>14</v>
      </c>
      <c r="D4057" t="s">
        <v>20</v>
      </c>
      <c r="E4057" t="s">
        <v>21</v>
      </c>
      <c r="F4057" t="s">
        <v>21</v>
      </c>
      <c r="G4057">
        <v>100</v>
      </c>
      <c r="H4057" s="1">
        <v>43963</v>
      </c>
      <c r="I4057">
        <v>2020</v>
      </c>
      <c r="J4057">
        <v>5</v>
      </c>
      <c r="K4057" t="s">
        <v>36</v>
      </c>
      <c r="L4057" t="s">
        <v>21</v>
      </c>
      <c r="M4057">
        <v>0</v>
      </c>
    </row>
    <row r="4058" spans="1:13" x14ac:dyDescent="0.25">
      <c r="A4058" t="s">
        <v>1355</v>
      </c>
      <c r="B4058" t="s">
        <v>77</v>
      </c>
      <c r="C4058" t="s">
        <v>14</v>
      </c>
      <c r="D4058" t="s">
        <v>33</v>
      </c>
      <c r="E4058" t="s">
        <v>21</v>
      </c>
      <c r="F4058" t="s">
        <v>21</v>
      </c>
      <c r="G4058">
        <v>47</v>
      </c>
      <c r="H4058" s="1">
        <v>43963</v>
      </c>
      <c r="I4058">
        <v>2020</v>
      </c>
      <c r="J4058">
        <v>5</v>
      </c>
      <c r="K4058" t="s">
        <v>30</v>
      </c>
      <c r="L4058" t="s">
        <v>21</v>
      </c>
      <c r="M4058">
        <v>0</v>
      </c>
    </row>
    <row r="4059" spans="1:13" x14ac:dyDescent="0.25">
      <c r="A4059" t="s">
        <v>2786</v>
      </c>
      <c r="B4059" t="s">
        <v>77</v>
      </c>
      <c r="C4059" t="s">
        <v>80</v>
      </c>
      <c r="D4059" t="s">
        <v>55</v>
      </c>
      <c r="E4059">
        <v>60</v>
      </c>
      <c r="F4059">
        <v>0.03</v>
      </c>
      <c r="G4059">
        <v>837</v>
      </c>
      <c r="H4059" s="1">
        <v>43962</v>
      </c>
      <c r="I4059">
        <v>2020</v>
      </c>
      <c r="J4059">
        <v>5</v>
      </c>
      <c r="K4059" t="s">
        <v>36</v>
      </c>
      <c r="L4059">
        <v>0</v>
      </c>
      <c r="M4059">
        <v>1</v>
      </c>
    </row>
    <row r="4060" spans="1:13" x14ac:dyDescent="0.25">
      <c r="A4060" t="s">
        <v>2787</v>
      </c>
      <c r="B4060" t="s">
        <v>91</v>
      </c>
      <c r="C4060" t="s">
        <v>14</v>
      </c>
      <c r="D4060" t="s">
        <v>46</v>
      </c>
      <c r="E4060">
        <v>28</v>
      </c>
      <c r="F4060">
        <v>0.25</v>
      </c>
      <c r="G4060">
        <v>133</v>
      </c>
      <c r="H4060" s="1">
        <v>43962</v>
      </c>
      <c r="I4060">
        <v>2020</v>
      </c>
      <c r="J4060">
        <v>5</v>
      </c>
      <c r="K4060" t="s">
        <v>36</v>
      </c>
      <c r="L4060">
        <v>0</v>
      </c>
      <c r="M4060">
        <v>1</v>
      </c>
    </row>
    <row r="4061" spans="1:13" x14ac:dyDescent="0.25">
      <c r="A4061" t="s">
        <v>1144</v>
      </c>
      <c r="B4061" t="s">
        <v>77</v>
      </c>
      <c r="C4061" t="s">
        <v>14</v>
      </c>
      <c r="D4061" t="s">
        <v>55</v>
      </c>
      <c r="E4061">
        <v>9</v>
      </c>
      <c r="F4061">
        <v>0.01</v>
      </c>
      <c r="G4061">
        <v>782</v>
      </c>
      <c r="H4061" s="1">
        <v>43959</v>
      </c>
      <c r="I4061">
        <v>2020</v>
      </c>
      <c r="J4061">
        <v>5</v>
      </c>
      <c r="K4061" t="s">
        <v>36</v>
      </c>
      <c r="L4061">
        <v>0</v>
      </c>
      <c r="M4061">
        <v>1</v>
      </c>
    </row>
    <row r="4062" spans="1:13" x14ac:dyDescent="0.25">
      <c r="A4062" t="s">
        <v>2788</v>
      </c>
      <c r="B4062" t="s">
        <v>66</v>
      </c>
      <c r="C4062" t="s">
        <v>14</v>
      </c>
      <c r="D4062" t="s">
        <v>20</v>
      </c>
      <c r="E4062">
        <v>500</v>
      </c>
      <c r="F4062">
        <v>1</v>
      </c>
      <c r="G4062">
        <v>11</v>
      </c>
      <c r="H4062" s="1">
        <v>43958</v>
      </c>
      <c r="I4062">
        <v>2020</v>
      </c>
      <c r="J4062">
        <v>5</v>
      </c>
      <c r="K4062" t="s">
        <v>30</v>
      </c>
      <c r="L4062">
        <v>1</v>
      </c>
      <c r="M4062">
        <v>1</v>
      </c>
    </row>
    <row r="4063" spans="1:13" x14ac:dyDescent="0.25">
      <c r="A4063" t="s">
        <v>1588</v>
      </c>
      <c r="B4063" t="s">
        <v>45</v>
      </c>
      <c r="C4063" t="s">
        <v>14</v>
      </c>
      <c r="D4063" t="s">
        <v>20</v>
      </c>
      <c r="E4063">
        <v>300</v>
      </c>
      <c r="F4063">
        <v>0.3</v>
      </c>
      <c r="G4063">
        <v>204</v>
      </c>
      <c r="H4063" s="1">
        <v>43958</v>
      </c>
      <c r="I4063">
        <v>2020</v>
      </c>
      <c r="J4063">
        <v>5</v>
      </c>
      <c r="K4063" t="s">
        <v>36</v>
      </c>
      <c r="L4063">
        <v>0</v>
      </c>
      <c r="M4063">
        <v>1</v>
      </c>
    </row>
    <row r="4064" spans="1:13" x14ac:dyDescent="0.25">
      <c r="A4064" t="s">
        <v>2789</v>
      </c>
      <c r="B4064" t="s">
        <v>77</v>
      </c>
      <c r="C4064" t="s">
        <v>62</v>
      </c>
      <c r="D4064" t="s">
        <v>33</v>
      </c>
      <c r="E4064">
        <v>62</v>
      </c>
      <c r="F4064">
        <v>0.5</v>
      </c>
      <c r="G4064">
        <v>78</v>
      </c>
      <c r="H4064" s="1">
        <v>43958</v>
      </c>
      <c r="I4064">
        <v>2020</v>
      </c>
      <c r="J4064">
        <v>5</v>
      </c>
      <c r="K4064" t="s">
        <v>30</v>
      </c>
      <c r="L4064">
        <v>0</v>
      </c>
      <c r="M4064">
        <v>1</v>
      </c>
    </row>
    <row r="4065" spans="1:13" x14ac:dyDescent="0.25">
      <c r="A4065" t="s">
        <v>478</v>
      </c>
      <c r="B4065" t="s">
        <v>77</v>
      </c>
      <c r="C4065" t="s">
        <v>14</v>
      </c>
      <c r="D4065" t="s">
        <v>111</v>
      </c>
      <c r="E4065">
        <v>60</v>
      </c>
      <c r="F4065">
        <v>0.12</v>
      </c>
      <c r="G4065">
        <v>263</v>
      </c>
      <c r="H4065" s="1">
        <v>43958</v>
      </c>
      <c r="I4065">
        <v>2020</v>
      </c>
      <c r="J4065">
        <v>5</v>
      </c>
      <c r="K4065" t="s">
        <v>36</v>
      </c>
      <c r="L4065">
        <v>0</v>
      </c>
      <c r="M4065">
        <v>1</v>
      </c>
    </row>
    <row r="4066" spans="1:13" x14ac:dyDescent="0.25">
      <c r="A4066" t="s">
        <v>2790</v>
      </c>
      <c r="B4066" t="s">
        <v>99</v>
      </c>
      <c r="C4066" t="s">
        <v>14</v>
      </c>
      <c r="D4066" t="s">
        <v>55</v>
      </c>
      <c r="E4066">
        <v>55</v>
      </c>
      <c r="F4066" t="s">
        <v>21</v>
      </c>
      <c r="G4066">
        <v>145</v>
      </c>
      <c r="H4066" s="1">
        <v>43958</v>
      </c>
      <c r="I4066">
        <v>2020</v>
      </c>
      <c r="J4066">
        <v>5</v>
      </c>
      <c r="K4066" t="s">
        <v>36</v>
      </c>
      <c r="L4066" t="s">
        <v>21</v>
      </c>
      <c r="M4066">
        <v>1</v>
      </c>
    </row>
    <row r="4067" spans="1:13" x14ac:dyDescent="0.25">
      <c r="A4067" t="s">
        <v>679</v>
      </c>
      <c r="B4067" t="s">
        <v>77</v>
      </c>
      <c r="C4067" t="s">
        <v>14</v>
      </c>
      <c r="D4067" t="s">
        <v>46</v>
      </c>
      <c r="E4067">
        <v>28</v>
      </c>
      <c r="F4067">
        <v>0.23</v>
      </c>
      <c r="G4067">
        <v>92</v>
      </c>
      <c r="H4067" s="1">
        <v>43958</v>
      </c>
      <c r="I4067">
        <v>2020</v>
      </c>
      <c r="J4067">
        <v>5</v>
      </c>
      <c r="K4067" t="s">
        <v>30</v>
      </c>
      <c r="L4067">
        <v>0</v>
      </c>
      <c r="M4067">
        <v>1</v>
      </c>
    </row>
    <row r="4068" spans="1:13" x14ac:dyDescent="0.25">
      <c r="A4068" t="s">
        <v>2791</v>
      </c>
      <c r="B4068" t="s">
        <v>73</v>
      </c>
      <c r="C4068" t="s">
        <v>25</v>
      </c>
      <c r="D4068" t="s">
        <v>22</v>
      </c>
      <c r="E4068" t="s">
        <v>21</v>
      </c>
      <c r="F4068">
        <v>1</v>
      </c>
      <c r="G4068" t="s">
        <v>21</v>
      </c>
      <c r="H4068" s="1">
        <v>43958</v>
      </c>
      <c r="I4068">
        <v>2020</v>
      </c>
      <c r="J4068">
        <v>5</v>
      </c>
      <c r="K4068" t="s">
        <v>22</v>
      </c>
      <c r="L4068">
        <v>1</v>
      </c>
      <c r="M4068">
        <v>1</v>
      </c>
    </row>
    <row r="4069" spans="1:13" x14ac:dyDescent="0.25">
      <c r="A4069" t="s">
        <v>112</v>
      </c>
      <c r="B4069" t="s">
        <v>66</v>
      </c>
      <c r="C4069" t="s">
        <v>14</v>
      </c>
      <c r="D4069" t="s">
        <v>15</v>
      </c>
      <c r="E4069">
        <v>3700</v>
      </c>
      <c r="F4069">
        <v>0.14000000000000001</v>
      </c>
      <c r="G4069">
        <v>24700</v>
      </c>
      <c r="H4069" s="1">
        <v>43957</v>
      </c>
      <c r="I4069">
        <v>2020</v>
      </c>
      <c r="J4069">
        <v>5</v>
      </c>
      <c r="K4069" t="s">
        <v>26</v>
      </c>
      <c r="L4069">
        <v>0</v>
      </c>
      <c r="M4069">
        <v>1</v>
      </c>
    </row>
    <row r="4070" spans="1:13" x14ac:dyDescent="0.25">
      <c r="A4070" t="s">
        <v>2792</v>
      </c>
      <c r="B4070" t="s">
        <v>38</v>
      </c>
      <c r="C4070" t="s">
        <v>14</v>
      </c>
      <c r="D4070" t="s">
        <v>81</v>
      </c>
      <c r="E4070">
        <v>130</v>
      </c>
      <c r="F4070">
        <v>0.33</v>
      </c>
      <c r="G4070" t="s">
        <v>21</v>
      </c>
      <c r="H4070" s="1">
        <v>43957</v>
      </c>
      <c r="I4070">
        <v>2020</v>
      </c>
      <c r="J4070">
        <v>5</v>
      </c>
      <c r="K4070" t="s">
        <v>22</v>
      </c>
      <c r="L4070">
        <v>0</v>
      </c>
      <c r="M4070">
        <v>1</v>
      </c>
    </row>
    <row r="4071" spans="1:13" x14ac:dyDescent="0.25">
      <c r="A4071" t="s">
        <v>2793</v>
      </c>
      <c r="B4071" t="s">
        <v>106</v>
      </c>
      <c r="C4071" t="s">
        <v>14</v>
      </c>
      <c r="D4071" t="s">
        <v>20</v>
      </c>
      <c r="E4071">
        <v>100</v>
      </c>
      <c r="F4071" t="s">
        <v>21</v>
      </c>
      <c r="G4071">
        <v>15</v>
      </c>
      <c r="H4071" s="1">
        <v>43957</v>
      </c>
      <c r="I4071">
        <v>2020</v>
      </c>
      <c r="J4071">
        <v>5</v>
      </c>
      <c r="K4071" t="s">
        <v>30</v>
      </c>
      <c r="L4071" t="s">
        <v>21</v>
      </c>
      <c r="M4071">
        <v>1</v>
      </c>
    </row>
    <row r="4072" spans="1:13" x14ac:dyDescent="0.25">
      <c r="A4072" t="s">
        <v>2794</v>
      </c>
      <c r="B4072" t="s">
        <v>54</v>
      </c>
      <c r="C4072" t="s">
        <v>14</v>
      </c>
      <c r="D4072" t="s">
        <v>15</v>
      </c>
      <c r="E4072">
        <v>50</v>
      </c>
      <c r="F4072">
        <v>0.08</v>
      </c>
      <c r="G4072">
        <v>60</v>
      </c>
      <c r="H4072" s="1">
        <v>43957</v>
      </c>
      <c r="I4072">
        <v>2020</v>
      </c>
      <c r="J4072">
        <v>5</v>
      </c>
      <c r="K4072" t="s">
        <v>30</v>
      </c>
      <c r="L4072">
        <v>0</v>
      </c>
      <c r="M4072">
        <v>1</v>
      </c>
    </row>
    <row r="4073" spans="1:13" x14ac:dyDescent="0.25">
      <c r="A4073" t="s">
        <v>2795</v>
      </c>
      <c r="B4073" t="s">
        <v>38</v>
      </c>
      <c r="C4073" t="s">
        <v>14</v>
      </c>
      <c r="D4073" t="s">
        <v>55</v>
      </c>
      <c r="E4073">
        <v>50</v>
      </c>
      <c r="F4073">
        <v>0.1</v>
      </c>
      <c r="G4073">
        <v>283</v>
      </c>
      <c r="H4073" s="1">
        <v>43957</v>
      </c>
      <c r="I4073">
        <v>2020</v>
      </c>
      <c r="J4073">
        <v>5</v>
      </c>
      <c r="K4073" t="s">
        <v>36</v>
      </c>
      <c r="L4073">
        <v>0</v>
      </c>
      <c r="M4073">
        <v>1</v>
      </c>
    </row>
    <row r="4074" spans="1:13" x14ac:dyDescent="0.25">
      <c r="A4074" t="s">
        <v>2796</v>
      </c>
      <c r="B4074" t="s">
        <v>77</v>
      </c>
      <c r="C4074" t="s">
        <v>143</v>
      </c>
      <c r="D4074" t="s">
        <v>33</v>
      </c>
      <c r="E4074" t="s">
        <v>21</v>
      </c>
      <c r="F4074">
        <v>0.7</v>
      </c>
      <c r="G4074">
        <v>170</v>
      </c>
      <c r="H4074" s="1">
        <v>43957</v>
      </c>
      <c r="I4074">
        <v>2020</v>
      </c>
      <c r="J4074">
        <v>5</v>
      </c>
      <c r="K4074" t="s">
        <v>36</v>
      </c>
      <c r="L4074">
        <v>0</v>
      </c>
      <c r="M4074">
        <v>1</v>
      </c>
    </row>
    <row r="4075" spans="1:13" x14ac:dyDescent="0.25">
      <c r="A4075" t="s">
        <v>2797</v>
      </c>
      <c r="B4075" t="s">
        <v>38</v>
      </c>
      <c r="C4075" t="s">
        <v>14</v>
      </c>
      <c r="D4075" t="s">
        <v>111</v>
      </c>
      <c r="E4075" t="s">
        <v>21</v>
      </c>
      <c r="F4075" t="s">
        <v>21</v>
      </c>
      <c r="G4075">
        <v>743</v>
      </c>
      <c r="H4075" s="1">
        <v>43957</v>
      </c>
      <c r="I4075">
        <v>2020</v>
      </c>
      <c r="J4075">
        <v>5</v>
      </c>
      <c r="K4075" t="s">
        <v>36</v>
      </c>
      <c r="L4075" t="s">
        <v>21</v>
      </c>
      <c r="M4075">
        <v>0</v>
      </c>
    </row>
    <row r="4076" spans="1:13" x14ac:dyDescent="0.25">
      <c r="A4076" t="s">
        <v>1630</v>
      </c>
      <c r="B4076" t="s">
        <v>73</v>
      </c>
      <c r="C4076" t="s">
        <v>14</v>
      </c>
      <c r="D4076" t="s">
        <v>81</v>
      </c>
      <c r="E4076">
        <v>1900</v>
      </c>
      <c r="F4076">
        <v>0.25</v>
      </c>
      <c r="G4076">
        <v>5400</v>
      </c>
      <c r="H4076" s="1">
        <v>43956</v>
      </c>
      <c r="I4076">
        <v>2020</v>
      </c>
      <c r="J4076">
        <v>5</v>
      </c>
      <c r="K4076" t="s">
        <v>26</v>
      </c>
      <c r="L4076">
        <v>0</v>
      </c>
      <c r="M4076">
        <v>1</v>
      </c>
    </row>
    <row r="4077" spans="1:13" x14ac:dyDescent="0.25">
      <c r="A4077" t="s">
        <v>2110</v>
      </c>
      <c r="B4077" t="s">
        <v>18</v>
      </c>
      <c r="C4077" t="s">
        <v>14</v>
      </c>
      <c r="D4077" t="s">
        <v>22</v>
      </c>
      <c r="E4077">
        <v>900</v>
      </c>
      <c r="F4077">
        <v>0.3</v>
      </c>
      <c r="G4077">
        <v>1500</v>
      </c>
      <c r="H4077" s="1">
        <v>43956</v>
      </c>
      <c r="I4077">
        <v>2020</v>
      </c>
      <c r="J4077">
        <v>5</v>
      </c>
      <c r="K4077" t="s">
        <v>26</v>
      </c>
      <c r="L4077">
        <v>0</v>
      </c>
      <c r="M4077">
        <v>1</v>
      </c>
    </row>
    <row r="4078" spans="1:13" x14ac:dyDescent="0.25">
      <c r="A4078" t="s">
        <v>2798</v>
      </c>
      <c r="B4078" t="s">
        <v>45</v>
      </c>
      <c r="C4078" t="s">
        <v>14</v>
      </c>
      <c r="D4078" t="s">
        <v>55</v>
      </c>
      <c r="E4078">
        <v>135</v>
      </c>
      <c r="F4078">
        <v>0.1</v>
      </c>
      <c r="G4078">
        <v>181</v>
      </c>
      <c r="H4078" s="1">
        <v>43956</v>
      </c>
      <c r="I4078">
        <v>2020</v>
      </c>
      <c r="J4078">
        <v>5</v>
      </c>
      <c r="K4078" t="s">
        <v>36</v>
      </c>
      <c r="L4078">
        <v>0</v>
      </c>
      <c r="M4078">
        <v>1</v>
      </c>
    </row>
    <row r="4079" spans="1:13" x14ac:dyDescent="0.25">
      <c r="A4079" t="s">
        <v>1116</v>
      </c>
      <c r="B4079" t="s">
        <v>45</v>
      </c>
      <c r="C4079" t="s">
        <v>14</v>
      </c>
      <c r="D4079" t="s">
        <v>55</v>
      </c>
      <c r="E4079">
        <v>40</v>
      </c>
      <c r="F4079">
        <v>0.15</v>
      </c>
      <c r="G4079">
        <v>68</v>
      </c>
      <c r="H4079" s="1">
        <v>43956</v>
      </c>
      <c r="I4079">
        <v>2020</v>
      </c>
      <c r="J4079">
        <v>5</v>
      </c>
      <c r="K4079" t="s">
        <v>30</v>
      </c>
      <c r="L4079">
        <v>0</v>
      </c>
      <c r="M4079">
        <v>1</v>
      </c>
    </row>
    <row r="4080" spans="1:13" x14ac:dyDescent="0.25">
      <c r="A4080" t="s">
        <v>1040</v>
      </c>
      <c r="B4080" t="s">
        <v>99</v>
      </c>
      <c r="C4080" t="s">
        <v>356</v>
      </c>
      <c r="D4080" t="s">
        <v>46</v>
      </c>
      <c r="E4080">
        <v>31</v>
      </c>
      <c r="F4080" t="s">
        <v>21</v>
      </c>
      <c r="G4080">
        <v>90</v>
      </c>
      <c r="H4080" s="1">
        <v>43956</v>
      </c>
      <c r="I4080">
        <v>2020</v>
      </c>
      <c r="J4080">
        <v>5</v>
      </c>
      <c r="K4080" t="s">
        <v>30</v>
      </c>
      <c r="L4080" t="s">
        <v>21</v>
      </c>
      <c r="M4080">
        <v>1</v>
      </c>
    </row>
    <row r="4081" spans="1:13" x14ac:dyDescent="0.25">
      <c r="A4081" t="s">
        <v>2799</v>
      </c>
      <c r="B4081" t="s">
        <v>45</v>
      </c>
      <c r="C4081" t="s">
        <v>14</v>
      </c>
      <c r="D4081" t="s">
        <v>46</v>
      </c>
      <c r="E4081">
        <v>25</v>
      </c>
      <c r="F4081">
        <v>0.1</v>
      </c>
      <c r="G4081">
        <v>84</v>
      </c>
      <c r="H4081" s="1">
        <v>43956</v>
      </c>
      <c r="I4081">
        <v>2020</v>
      </c>
      <c r="J4081">
        <v>5</v>
      </c>
      <c r="K4081" t="s">
        <v>30</v>
      </c>
      <c r="L4081">
        <v>0</v>
      </c>
      <c r="M4081">
        <v>1</v>
      </c>
    </row>
    <row r="4082" spans="1:13" x14ac:dyDescent="0.25">
      <c r="A4082" t="s">
        <v>2800</v>
      </c>
      <c r="B4082" t="s">
        <v>140</v>
      </c>
      <c r="C4082" t="s">
        <v>14</v>
      </c>
      <c r="D4082" t="s">
        <v>15</v>
      </c>
      <c r="E4082" t="s">
        <v>21</v>
      </c>
      <c r="F4082" t="s">
        <v>21</v>
      </c>
      <c r="G4082">
        <v>1000</v>
      </c>
      <c r="H4082" s="1">
        <v>43956</v>
      </c>
      <c r="I4082">
        <v>2020</v>
      </c>
      <c r="J4082">
        <v>5</v>
      </c>
      <c r="K4082" t="s">
        <v>26</v>
      </c>
      <c r="L4082" t="s">
        <v>21</v>
      </c>
      <c r="M4082">
        <v>0</v>
      </c>
    </row>
    <row r="4083" spans="1:13" x14ac:dyDescent="0.25">
      <c r="A4083" t="s">
        <v>351</v>
      </c>
      <c r="B4083" t="s">
        <v>45</v>
      </c>
      <c r="C4083" t="s">
        <v>14</v>
      </c>
      <c r="D4083" t="s">
        <v>46</v>
      </c>
      <c r="E4083" t="s">
        <v>21</v>
      </c>
      <c r="F4083" t="s">
        <v>21</v>
      </c>
      <c r="G4083">
        <v>74</v>
      </c>
      <c r="H4083" s="1">
        <v>43956</v>
      </c>
      <c r="I4083">
        <v>2020</v>
      </c>
      <c r="J4083">
        <v>5</v>
      </c>
      <c r="K4083" t="s">
        <v>30</v>
      </c>
      <c r="L4083" t="s">
        <v>21</v>
      </c>
      <c r="M4083">
        <v>0</v>
      </c>
    </row>
    <row r="4084" spans="1:13" x14ac:dyDescent="0.25">
      <c r="A4084" t="s">
        <v>2801</v>
      </c>
      <c r="B4084" t="s">
        <v>35</v>
      </c>
      <c r="C4084" t="s">
        <v>174</v>
      </c>
      <c r="D4084" t="s">
        <v>22</v>
      </c>
      <c r="E4084" t="s">
        <v>21</v>
      </c>
      <c r="F4084" t="s">
        <v>21</v>
      </c>
      <c r="G4084">
        <v>76</v>
      </c>
      <c r="H4084" s="1">
        <v>43956</v>
      </c>
      <c r="I4084">
        <v>2020</v>
      </c>
      <c r="J4084">
        <v>5</v>
      </c>
      <c r="K4084" t="s">
        <v>30</v>
      </c>
      <c r="L4084" t="s">
        <v>21</v>
      </c>
      <c r="M4084">
        <v>0</v>
      </c>
    </row>
    <row r="4085" spans="1:13" x14ac:dyDescent="0.25">
      <c r="A4085" t="s">
        <v>2710</v>
      </c>
      <c r="B4085" t="s">
        <v>207</v>
      </c>
      <c r="C4085" t="s">
        <v>48</v>
      </c>
      <c r="D4085" t="s">
        <v>55</v>
      </c>
      <c r="E4085">
        <v>800</v>
      </c>
      <c r="F4085">
        <v>0.16</v>
      </c>
      <c r="G4085">
        <v>404</v>
      </c>
      <c r="H4085" s="1">
        <v>43955</v>
      </c>
      <c r="I4085">
        <v>2020</v>
      </c>
      <c r="J4085">
        <v>5</v>
      </c>
      <c r="K4085" t="s">
        <v>36</v>
      </c>
      <c r="L4085">
        <v>0</v>
      </c>
      <c r="M4085">
        <v>1</v>
      </c>
    </row>
    <row r="4086" spans="1:13" x14ac:dyDescent="0.25">
      <c r="A4086" t="s">
        <v>171</v>
      </c>
      <c r="B4086" t="s">
        <v>66</v>
      </c>
      <c r="C4086" t="s">
        <v>172</v>
      </c>
      <c r="D4086" t="s">
        <v>20</v>
      </c>
      <c r="E4086">
        <v>536</v>
      </c>
      <c r="F4086">
        <v>0.31</v>
      </c>
      <c r="G4086">
        <v>771</v>
      </c>
      <c r="H4086" s="1">
        <v>43955</v>
      </c>
      <c r="I4086">
        <v>2020</v>
      </c>
      <c r="J4086">
        <v>5</v>
      </c>
      <c r="K4086" t="s">
        <v>36</v>
      </c>
      <c r="L4086">
        <v>0</v>
      </c>
      <c r="M4086">
        <v>1</v>
      </c>
    </row>
    <row r="4087" spans="1:13" x14ac:dyDescent="0.25">
      <c r="A4087" t="s">
        <v>2802</v>
      </c>
      <c r="B4087" t="s">
        <v>77</v>
      </c>
      <c r="C4087" t="s">
        <v>1208</v>
      </c>
      <c r="D4087" t="s">
        <v>33</v>
      </c>
      <c r="E4087">
        <v>400</v>
      </c>
      <c r="F4087">
        <v>0.2</v>
      </c>
      <c r="G4087">
        <v>175</v>
      </c>
      <c r="H4087" s="1">
        <v>43955</v>
      </c>
      <c r="I4087">
        <v>2020</v>
      </c>
      <c r="J4087">
        <v>5</v>
      </c>
      <c r="K4087" t="s">
        <v>36</v>
      </c>
      <c r="L4087">
        <v>0</v>
      </c>
      <c r="M4087">
        <v>1</v>
      </c>
    </row>
    <row r="4088" spans="1:13" x14ac:dyDescent="0.25">
      <c r="A4088" t="s">
        <v>1215</v>
      </c>
      <c r="B4088" t="s">
        <v>28</v>
      </c>
      <c r="C4088" t="s">
        <v>356</v>
      </c>
      <c r="D4088" t="s">
        <v>68</v>
      </c>
      <c r="E4088">
        <v>63</v>
      </c>
      <c r="F4088">
        <v>0.21</v>
      </c>
      <c r="G4088">
        <v>7</v>
      </c>
      <c r="H4088" s="1">
        <v>43955</v>
      </c>
      <c r="I4088">
        <v>2020</v>
      </c>
      <c r="J4088">
        <v>5</v>
      </c>
      <c r="K4088" t="s">
        <v>16</v>
      </c>
      <c r="L4088">
        <v>0</v>
      </c>
      <c r="M4088">
        <v>1</v>
      </c>
    </row>
    <row r="4089" spans="1:13" x14ac:dyDescent="0.25">
      <c r="A4089" t="s">
        <v>2803</v>
      </c>
      <c r="B4089" t="s">
        <v>13</v>
      </c>
      <c r="C4089" t="s">
        <v>174</v>
      </c>
      <c r="D4089" t="s">
        <v>33</v>
      </c>
      <c r="E4089">
        <v>62</v>
      </c>
      <c r="F4089">
        <v>0.15</v>
      </c>
      <c r="G4089">
        <v>257</v>
      </c>
      <c r="H4089" s="1">
        <v>43955</v>
      </c>
      <c r="I4089">
        <v>2020</v>
      </c>
      <c r="J4089">
        <v>5</v>
      </c>
      <c r="K4089" t="s">
        <v>36</v>
      </c>
      <c r="L4089">
        <v>0</v>
      </c>
      <c r="M4089">
        <v>1</v>
      </c>
    </row>
    <row r="4090" spans="1:13" x14ac:dyDescent="0.25">
      <c r="A4090" t="s">
        <v>2804</v>
      </c>
      <c r="B4090" t="s">
        <v>40</v>
      </c>
      <c r="C4090" t="s">
        <v>42</v>
      </c>
      <c r="D4090" t="s">
        <v>33</v>
      </c>
      <c r="E4090">
        <v>60</v>
      </c>
      <c r="F4090">
        <v>0.3</v>
      </c>
      <c r="G4090">
        <v>106</v>
      </c>
      <c r="H4090" s="1">
        <v>43955</v>
      </c>
      <c r="I4090">
        <v>2020</v>
      </c>
      <c r="J4090">
        <v>5</v>
      </c>
      <c r="K4090" t="s">
        <v>36</v>
      </c>
      <c r="L4090">
        <v>0</v>
      </c>
      <c r="M4090">
        <v>1</v>
      </c>
    </row>
    <row r="4091" spans="1:13" x14ac:dyDescent="0.25">
      <c r="A4091" t="s">
        <v>231</v>
      </c>
      <c r="B4091" t="s">
        <v>99</v>
      </c>
      <c r="C4091" t="s">
        <v>174</v>
      </c>
      <c r="D4091" t="s">
        <v>68</v>
      </c>
      <c r="E4091">
        <v>11</v>
      </c>
      <c r="F4091">
        <v>0.08</v>
      </c>
      <c r="G4091">
        <v>11</v>
      </c>
      <c r="H4091" s="1">
        <v>43955</v>
      </c>
      <c r="I4091">
        <v>2020</v>
      </c>
      <c r="J4091">
        <v>5</v>
      </c>
      <c r="K4091" t="s">
        <v>30</v>
      </c>
      <c r="L4091">
        <v>0</v>
      </c>
      <c r="M4091">
        <v>1</v>
      </c>
    </row>
    <row r="4092" spans="1:13" x14ac:dyDescent="0.25">
      <c r="A4092" t="s">
        <v>2805</v>
      </c>
      <c r="B4092" t="s">
        <v>35</v>
      </c>
      <c r="C4092" t="s">
        <v>14</v>
      </c>
      <c r="D4092" t="s">
        <v>15</v>
      </c>
      <c r="E4092" t="s">
        <v>21</v>
      </c>
      <c r="F4092">
        <v>0.13</v>
      </c>
      <c r="G4092">
        <v>184</v>
      </c>
      <c r="H4092" s="1">
        <v>43955</v>
      </c>
      <c r="I4092">
        <v>2020</v>
      </c>
      <c r="J4092">
        <v>5</v>
      </c>
      <c r="K4092" t="s">
        <v>36</v>
      </c>
      <c r="L4092">
        <v>0</v>
      </c>
      <c r="M4092">
        <v>1</v>
      </c>
    </row>
    <row r="4093" spans="1:13" x14ac:dyDescent="0.25">
      <c r="A4093" t="s">
        <v>2806</v>
      </c>
      <c r="B4093" t="s">
        <v>73</v>
      </c>
      <c r="C4093" t="s">
        <v>83</v>
      </c>
      <c r="D4093" t="s">
        <v>20</v>
      </c>
      <c r="E4093" t="s">
        <v>21</v>
      </c>
      <c r="F4093" t="s">
        <v>21</v>
      </c>
      <c r="G4093">
        <v>55</v>
      </c>
      <c r="H4093" s="1">
        <v>43955</v>
      </c>
      <c r="I4093">
        <v>2020</v>
      </c>
      <c r="J4093">
        <v>5</v>
      </c>
      <c r="K4093" t="s">
        <v>30</v>
      </c>
      <c r="L4093" t="s">
        <v>21</v>
      </c>
      <c r="M4093">
        <v>0</v>
      </c>
    </row>
    <row r="4094" spans="1:13" x14ac:dyDescent="0.25">
      <c r="A4094" t="s">
        <v>2056</v>
      </c>
      <c r="B4094" t="s">
        <v>24</v>
      </c>
      <c r="C4094" t="s">
        <v>29</v>
      </c>
      <c r="D4094" t="s">
        <v>55</v>
      </c>
      <c r="E4094">
        <v>120</v>
      </c>
      <c r="F4094">
        <v>0.1</v>
      </c>
      <c r="G4094">
        <v>386</v>
      </c>
      <c r="H4094" s="1">
        <v>43954</v>
      </c>
      <c r="I4094">
        <v>2020</v>
      </c>
      <c r="J4094">
        <v>5</v>
      </c>
      <c r="K4094" t="s">
        <v>36</v>
      </c>
      <c r="L4094">
        <v>0</v>
      </c>
      <c r="M4094">
        <v>1</v>
      </c>
    </row>
    <row r="4095" spans="1:13" x14ac:dyDescent="0.25">
      <c r="A4095" t="s">
        <v>2807</v>
      </c>
      <c r="B4095" t="s">
        <v>13</v>
      </c>
      <c r="C4095" t="s">
        <v>14</v>
      </c>
      <c r="D4095" t="s">
        <v>15</v>
      </c>
      <c r="E4095">
        <v>50</v>
      </c>
      <c r="F4095" t="s">
        <v>21</v>
      </c>
      <c r="G4095">
        <v>46</v>
      </c>
      <c r="H4095" s="1">
        <v>43954</v>
      </c>
      <c r="I4095">
        <v>2020</v>
      </c>
      <c r="J4095">
        <v>5</v>
      </c>
      <c r="K4095" t="s">
        <v>30</v>
      </c>
      <c r="L4095" t="s">
        <v>21</v>
      </c>
      <c r="M4095">
        <v>1</v>
      </c>
    </row>
    <row r="4096" spans="1:13" x14ac:dyDescent="0.25">
      <c r="A4096" t="s">
        <v>2001</v>
      </c>
      <c r="B4096" t="s">
        <v>73</v>
      </c>
      <c r="C4096" t="s">
        <v>80</v>
      </c>
      <c r="D4096" t="s">
        <v>43</v>
      </c>
      <c r="E4096">
        <v>150</v>
      </c>
      <c r="F4096" t="s">
        <v>21</v>
      </c>
      <c r="G4096">
        <v>2400</v>
      </c>
      <c r="H4096" s="1">
        <v>43952</v>
      </c>
      <c r="I4096">
        <v>2020</v>
      </c>
      <c r="J4096">
        <v>5</v>
      </c>
      <c r="K4096" t="s">
        <v>26</v>
      </c>
      <c r="L4096" t="s">
        <v>21</v>
      </c>
      <c r="M4096">
        <v>1</v>
      </c>
    </row>
    <row r="4097" spans="1:13" x14ac:dyDescent="0.25">
      <c r="A4097" t="s">
        <v>2808</v>
      </c>
      <c r="B4097" t="s">
        <v>40</v>
      </c>
      <c r="C4097" t="s">
        <v>14</v>
      </c>
      <c r="D4097" t="s">
        <v>111</v>
      </c>
      <c r="E4097">
        <v>110</v>
      </c>
      <c r="F4097">
        <v>0.4</v>
      </c>
      <c r="G4097">
        <v>217</v>
      </c>
      <c r="H4097" s="1">
        <v>43952</v>
      </c>
      <c r="I4097">
        <v>2020</v>
      </c>
      <c r="J4097">
        <v>5</v>
      </c>
      <c r="K4097" t="s">
        <v>36</v>
      </c>
      <c r="L4097">
        <v>0</v>
      </c>
      <c r="M4097">
        <v>1</v>
      </c>
    </row>
    <row r="4098" spans="1:13" x14ac:dyDescent="0.25">
      <c r="A4098" t="s">
        <v>2809</v>
      </c>
      <c r="B4098" t="s">
        <v>32</v>
      </c>
      <c r="C4098" t="s">
        <v>80</v>
      </c>
      <c r="D4098" t="s">
        <v>33</v>
      </c>
      <c r="E4098">
        <v>95</v>
      </c>
      <c r="F4098">
        <v>0.32</v>
      </c>
      <c r="G4098">
        <v>102</v>
      </c>
      <c r="H4098" s="1">
        <v>43952</v>
      </c>
      <c r="I4098">
        <v>2020</v>
      </c>
      <c r="J4098">
        <v>5</v>
      </c>
      <c r="K4098" t="s">
        <v>36</v>
      </c>
      <c r="L4098">
        <v>0</v>
      </c>
      <c r="M4098">
        <v>1</v>
      </c>
    </row>
    <row r="4099" spans="1:13" x14ac:dyDescent="0.25">
      <c r="A4099" t="s">
        <v>2810</v>
      </c>
      <c r="B4099" t="s">
        <v>18</v>
      </c>
      <c r="C4099" t="s">
        <v>14</v>
      </c>
      <c r="D4099" t="s">
        <v>68</v>
      </c>
      <c r="E4099">
        <v>80</v>
      </c>
      <c r="F4099">
        <v>0.8</v>
      </c>
      <c r="G4099">
        <v>82</v>
      </c>
      <c r="H4099" s="1">
        <v>43952</v>
      </c>
      <c r="I4099">
        <v>2020</v>
      </c>
      <c r="J4099">
        <v>5</v>
      </c>
      <c r="K4099" t="s">
        <v>30</v>
      </c>
      <c r="L4099">
        <v>0</v>
      </c>
      <c r="M4099">
        <v>1</v>
      </c>
    </row>
    <row r="4100" spans="1:13" x14ac:dyDescent="0.25">
      <c r="A4100" t="s">
        <v>2811</v>
      </c>
      <c r="B4100" t="s">
        <v>35</v>
      </c>
      <c r="C4100" t="s">
        <v>14</v>
      </c>
      <c r="D4100" t="s">
        <v>68</v>
      </c>
      <c r="E4100">
        <v>70</v>
      </c>
      <c r="F4100" t="s">
        <v>21</v>
      </c>
      <c r="G4100">
        <v>10</v>
      </c>
      <c r="H4100" s="1">
        <v>43952</v>
      </c>
      <c r="I4100">
        <v>2020</v>
      </c>
      <c r="J4100">
        <v>5</v>
      </c>
      <c r="K4100" t="s">
        <v>30</v>
      </c>
      <c r="L4100" t="s">
        <v>21</v>
      </c>
      <c r="M4100">
        <v>1</v>
      </c>
    </row>
    <row r="4101" spans="1:13" x14ac:dyDescent="0.25">
      <c r="A4101" t="s">
        <v>2812</v>
      </c>
      <c r="B4101" t="s">
        <v>77</v>
      </c>
      <c r="C4101" t="s">
        <v>521</v>
      </c>
      <c r="D4101" t="s">
        <v>22</v>
      </c>
      <c r="E4101">
        <v>35</v>
      </c>
      <c r="F4101" t="s">
        <v>21</v>
      </c>
      <c r="G4101">
        <v>80</v>
      </c>
      <c r="H4101" s="1">
        <v>43952</v>
      </c>
      <c r="I4101">
        <v>2020</v>
      </c>
      <c r="J4101">
        <v>5</v>
      </c>
      <c r="K4101" t="s">
        <v>30</v>
      </c>
      <c r="L4101" t="s">
        <v>21</v>
      </c>
      <c r="M4101">
        <v>1</v>
      </c>
    </row>
    <row r="4102" spans="1:13" x14ac:dyDescent="0.25">
      <c r="A4102" t="s">
        <v>1490</v>
      </c>
      <c r="B4102" t="s">
        <v>32</v>
      </c>
      <c r="C4102" t="s">
        <v>14</v>
      </c>
      <c r="D4102" t="s">
        <v>46</v>
      </c>
      <c r="E4102">
        <v>26</v>
      </c>
      <c r="F4102">
        <v>0.2</v>
      </c>
      <c r="G4102">
        <v>28</v>
      </c>
      <c r="H4102" s="1">
        <v>43952</v>
      </c>
      <c r="I4102">
        <v>2020</v>
      </c>
      <c r="J4102">
        <v>5</v>
      </c>
      <c r="K4102" t="s">
        <v>30</v>
      </c>
      <c r="L4102">
        <v>0</v>
      </c>
      <c r="M4102">
        <v>1</v>
      </c>
    </row>
    <row r="4103" spans="1:13" x14ac:dyDescent="0.25">
      <c r="A4103" t="s">
        <v>2813</v>
      </c>
      <c r="B4103" t="s">
        <v>66</v>
      </c>
      <c r="C4103" t="s">
        <v>14</v>
      </c>
      <c r="D4103" t="s">
        <v>20</v>
      </c>
      <c r="E4103" t="s">
        <v>21</v>
      </c>
      <c r="F4103">
        <v>1</v>
      </c>
      <c r="G4103">
        <v>24</v>
      </c>
      <c r="H4103" s="1">
        <v>43952</v>
      </c>
      <c r="I4103">
        <v>2020</v>
      </c>
      <c r="J4103">
        <v>5</v>
      </c>
      <c r="K4103" t="s">
        <v>30</v>
      </c>
      <c r="L4103">
        <v>1</v>
      </c>
      <c r="M4103">
        <v>1</v>
      </c>
    </row>
    <row r="4104" spans="1:13" x14ac:dyDescent="0.25">
      <c r="A4104" t="s">
        <v>2814</v>
      </c>
      <c r="B4104" t="s">
        <v>73</v>
      </c>
      <c r="C4104" t="s">
        <v>48</v>
      </c>
      <c r="D4104" t="s">
        <v>49</v>
      </c>
      <c r="E4104" t="s">
        <v>21</v>
      </c>
      <c r="F4104" t="s">
        <v>21</v>
      </c>
      <c r="G4104">
        <v>1</v>
      </c>
      <c r="H4104" s="1">
        <v>43952</v>
      </c>
      <c r="I4104">
        <v>2020</v>
      </c>
      <c r="J4104">
        <v>5</v>
      </c>
      <c r="K4104" t="s">
        <v>16</v>
      </c>
      <c r="L4104" t="s">
        <v>21</v>
      </c>
      <c r="M4104">
        <v>0</v>
      </c>
    </row>
    <row r="4105" spans="1:13" x14ac:dyDescent="0.25">
      <c r="A4105" t="s">
        <v>1105</v>
      </c>
      <c r="B4105" t="s">
        <v>99</v>
      </c>
      <c r="C4105" t="s">
        <v>14</v>
      </c>
      <c r="D4105" t="s">
        <v>20</v>
      </c>
      <c r="E4105">
        <v>100</v>
      </c>
      <c r="F4105" t="s">
        <v>21</v>
      </c>
      <c r="G4105">
        <v>32</v>
      </c>
      <c r="H4105" s="1">
        <v>43951</v>
      </c>
      <c r="I4105">
        <v>2020</v>
      </c>
      <c r="J4105">
        <v>4</v>
      </c>
      <c r="K4105" t="s">
        <v>30</v>
      </c>
      <c r="L4105" t="s">
        <v>21</v>
      </c>
      <c r="M4105">
        <v>1</v>
      </c>
    </row>
    <row r="4106" spans="1:13" x14ac:dyDescent="0.25">
      <c r="A4106" t="s">
        <v>2815</v>
      </c>
      <c r="B4106" t="s">
        <v>18</v>
      </c>
      <c r="C4106" t="s">
        <v>14</v>
      </c>
      <c r="D4106" t="s">
        <v>20</v>
      </c>
      <c r="E4106">
        <v>81</v>
      </c>
      <c r="F4106" t="s">
        <v>21</v>
      </c>
      <c r="G4106">
        <v>156</v>
      </c>
      <c r="H4106" s="1">
        <v>43951</v>
      </c>
      <c r="I4106">
        <v>2020</v>
      </c>
      <c r="J4106">
        <v>4</v>
      </c>
      <c r="K4106" t="s">
        <v>36</v>
      </c>
      <c r="L4106" t="s">
        <v>21</v>
      </c>
      <c r="M4106">
        <v>1</v>
      </c>
    </row>
    <row r="4107" spans="1:13" x14ac:dyDescent="0.25">
      <c r="A4107" t="s">
        <v>2816</v>
      </c>
      <c r="B4107" t="s">
        <v>490</v>
      </c>
      <c r="C4107" t="s">
        <v>14</v>
      </c>
      <c r="D4107" t="s">
        <v>22</v>
      </c>
      <c r="E4107" t="s">
        <v>21</v>
      </c>
      <c r="F4107" t="s">
        <v>21</v>
      </c>
      <c r="G4107">
        <v>75</v>
      </c>
      <c r="H4107" s="1">
        <v>43951</v>
      </c>
      <c r="I4107">
        <v>2020</v>
      </c>
      <c r="J4107">
        <v>4</v>
      </c>
      <c r="K4107" t="s">
        <v>30</v>
      </c>
      <c r="L4107" t="s">
        <v>21</v>
      </c>
      <c r="M4107">
        <v>0</v>
      </c>
    </row>
    <row r="4108" spans="1:13" x14ac:dyDescent="0.25">
      <c r="A4108" t="s">
        <v>1409</v>
      </c>
      <c r="B4108" t="s">
        <v>38</v>
      </c>
      <c r="C4108" t="s">
        <v>14</v>
      </c>
      <c r="D4108" t="s">
        <v>111</v>
      </c>
      <c r="E4108" t="s">
        <v>21</v>
      </c>
      <c r="F4108" t="s">
        <v>21</v>
      </c>
      <c r="G4108">
        <v>660</v>
      </c>
      <c r="H4108" s="1">
        <v>43951</v>
      </c>
      <c r="I4108">
        <v>2020</v>
      </c>
      <c r="J4108">
        <v>4</v>
      </c>
      <c r="K4108" t="s">
        <v>36</v>
      </c>
      <c r="L4108" t="s">
        <v>21</v>
      </c>
      <c r="M4108">
        <v>0</v>
      </c>
    </row>
    <row r="4109" spans="1:13" x14ac:dyDescent="0.25">
      <c r="A4109" t="s">
        <v>1814</v>
      </c>
      <c r="B4109" t="s">
        <v>32</v>
      </c>
      <c r="C4109" t="s">
        <v>14</v>
      </c>
      <c r="D4109" t="s">
        <v>111</v>
      </c>
      <c r="E4109" t="s">
        <v>21</v>
      </c>
      <c r="F4109">
        <v>0.14000000000000001</v>
      </c>
      <c r="G4109">
        <v>145</v>
      </c>
      <c r="H4109" s="1">
        <v>43951</v>
      </c>
      <c r="I4109">
        <v>2020</v>
      </c>
      <c r="J4109">
        <v>4</v>
      </c>
      <c r="K4109" t="s">
        <v>36</v>
      </c>
      <c r="L4109">
        <v>0</v>
      </c>
      <c r="M4109">
        <v>1</v>
      </c>
    </row>
    <row r="4110" spans="1:13" x14ac:dyDescent="0.25">
      <c r="A4110" t="s">
        <v>2817</v>
      </c>
      <c r="B4110" t="s">
        <v>95</v>
      </c>
      <c r="C4110" t="s">
        <v>14</v>
      </c>
      <c r="D4110" t="s">
        <v>68</v>
      </c>
      <c r="E4110" t="s">
        <v>21</v>
      </c>
      <c r="F4110">
        <v>1</v>
      </c>
      <c r="G4110">
        <v>15</v>
      </c>
      <c r="H4110" s="1">
        <v>43951</v>
      </c>
      <c r="I4110">
        <v>2020</v>
      </c>
      <c r="J4110">
        <v>4</v>
      </c>
      <c r="K4110" t="s">
        <v>30</v>
      </c>
      <c r="L4110">
        <v>1</v>
      </c>
      <c r="M4110">
        <v>1</v>
      </c>
    </row>
    <row r="4111" spans="1:13" x14ac:dyDescent="0.25">
      <c r="A4111" t="s">
        <v>651</v>
      </c>
      <c r="B4111" t="s">
        <v>66</v>
      </c>
      <c r="C4111" t="s">
        <v>14</v>
      </c>
      <c r="D4111" t="s">
        <v>15</v>
      </c>
      <c r="E4111">
        <v>982</v>
      </c>
      <c r="F4111">
        <v>0.17</v>
      </c>
      <c r="G4111">
        <v>4900</v>
      </c>
      <c r="H4111" s="1">
        <v>43950</v>
      </c>
      <c r="I4111">
        <v>2020</v>
      </c>
      <c r="J4111">
        <v>4</v>
      </c>
      <c r="K4111" t="s">
        <v>26</v>
      </c>
      <c r="L4111">
        <v>0</v>
      </c>
      <c r="M4111">
        <v>1</v>
      </c>
    </row>
    <row r="4112" spans="1:13" x14ac:dyDescent="0.25">
      <c r="A4112" t="s">
        <v>1810</v>
      </c>
      <c r="B4112" t="s">
        <v>91</v>
      </c>
      <c r="C4112" t="s">
        <v>14</v>
      </c>
      <c r="D4112" t="s">
        <v>347</v>
      </c>
      <c r="E4112">
        <v>300</v>
      </c>
      <c r="F4112" t="s">
        <v>21</v>
      </c>
      <c r="G4112">
        <v>2250</v>
      </c>
      <c r="H4112" s="1">
        <v>43950</v>
      </c>
      <c r="I4112">
        <v>2020</v>
      </c>
      <c r="J4112">
        <v>4</v>
      </c>
      <c r="K4112" t="s">
        <v>26</v>
      </c>
      <c r="L4112" t="s">
        <v>21</v>
      </c>
      <c r="M4112">
        <v>1</v>
      </c>
    </row>
    <row r="4113" spans="1:13" x14ac:dyDescent="0.25">
      <c r="A4113" t="s">
        <v>1114</v>
      </c>
      <c r="B4113" t="s">
        <v>73</v>
      </c>
      <c r="C4113" t="s">
        <v>14</v>
      </c>
      <c r="D4113" t="s">
        <v>20</v>
      </c>
      <c r="E4113">
        <v>160</v>
      </c>
      <c r="F4113">
        <v>0.08</v>
      </c>
      <c r="G4113">
        <v>229</v>
      </c>
      <c r="H4113" s="1">
        <v>43950</v>
      </c>
      <c r="I4113">
        <v>2020</v>
      </c>
      <c r="J4113">
        <v>4</v>
      </c>
      <c r="K4113" t="s">
        <v>36</v>
      </c>
      <c r="L4113">
        <v>0</v>
      </c>
      <c r="M4113">
        <v>1</v>
      </c>
    </row>
    <row r="4114" spans="1:13" x14ac:dyDescent="0.25">
      <c r="A4114" t="s">
        <v>2060</v>
      </c>
      <c r="B4114" t="s">
        <v>95</v>
      </c>
      <c r="C4114" t="s">
        <v>14</v>
      </c>
      <c r="D4114" t="s">
        <v>33</v>
      </c>
      <c r="E4114">
        <v>124</v>
      </c>
      <c r="F4114" t="s">
        <v>21</v>
      </c>
      <c r="G4114">
        <v>89</v>
      </c>
      <c r="H4114" s="1">
        <v>43950</v>
      </c>
      <c r="I4114">
        <v>2020</v>
      </c>
      <c r="J4114">
        <v>4</v>
      </c>
      <c r="K4114" t="s">
        <v>30</v>
      </c>
      <c r="L4114" t="s">
        <v>21</v>
      </c>
      <c r="M4114">
        <v>1</v>
      </c>
    </row>
    <row r="4115" spans="1:13" x14ac:dyDescent="0.25">
      <c r="A4115" t="s">
        <v>2818</v>
      </c>
      <c r="B4115" t="s">
        <v>66</v>
      </c>
      <c r="C4115" t="s">
        <v>14</v>
      </c>
      <c r="D4115" t="s">
        <v>55</v>
      </c>
      <c r="E4115">
        <v>80</v>
      </c>
      <c r="F4115">
        <v>0.13</v>
      </c>
      <c r="G4115">
        <v>765</v>
      </c>
      <c r="H4115" s="1">
        <v>43950</v>
      </c>
      <c r="I4115">
        <v>2020</v>
      </c>
      <c r="J4115">
        <v>4</v>
      </c>
      <c r="K4115" t="s">
        <v>36</v>
      </c>
      <c r="L4115">
        <v>0</v>
      </c>
      <c r="M4115">
        <v>1</v>
      </c>
    </row>
    <row r="4116" spans="1:13" x14ac:dyDescent="0.25">
      <c r="A4116" t="s">
        <v>2819</v>
      </c>
      <c r="B4116" t="s">
        <v>117</v>
      </c>
      <c r="C4116" t="s">
        <v>14</v>
      </c>
      <c r="D4116" t="s">
        <v>55</v>
      </c>
      <c r="E4116">
        <v>24</v>
      </c>
      <c r="F4116">
        <v>0.1</v>
      </c>
      <c r="G4116">
        <v>128</v>
      </c>
      <c r="H4116" s="1">
        <v>43950</v>
      </c>
      <c r="I4116">
        <v>2020</v>
      </c>
      <c r="J4116">
        <v>4</v>
      </c>
      <c r="K4116" t="s">
        <v>36</v>
      </c>
      <c r="L4116">
        <v>0</v>
      </c>
      <c r="M4116">
        <v>1</v>
      </c>
    </row>
    <row r="4117" spans="1:13" x14ac:dyDescent="0.25">
      <c r="A4117" t="s">
        <v>2820</v>
      </c>
      <c r="B4117" t="s">
        <v>77</v>
      </c>
      <c r="C4117" t="s">
        <v>2821</v>
      </c>
      <c r="D4117" t="s">
        <v>33</v>
      </c>
      <c r="E4117" t="s">
        <v>21</v>
      </c>
      <c r="F4117" t="s">
        <v>21</v>
      </c>
      <c r="G4117">
        <v>23</v>
      </c>
      <c r="H4117" s="1">
        <v>43950</v>
      </c>
      <c r="I4117">
        <v>2020</v>
      </c>
      <c r="J4117">
        <v>4</v>
      </c>
      <c r="K4117" t="s">
        <v>30</v>
      </c>
      <c r="L4117" t="s">
        <v>21</v>
      </c>
      <c r="M4117">
        <v>0</v>
      </c>
    </row>
    <row r="4118" spans="1:13" x14ac:dyDescent="0.25">
      <c r="A4118" t="s">
        <v>335</v>
      </c>
      <c r="B4118" t="s">
        <v>73</v>
      </c>
      <c r="C4118" t="s">
        <v>14</v>
      </c>
      <c r="D4118" t="s">
        <v>15</v>
      </c>
      <c r="E4118">
        <v>900</v>
      </c>
      <c r="F4118">
        <v>0.25</v>
      </c>
      <c r="G4118">
        <v>3</v>
      </c>
      <c r="H4118" s="1">
        <v>43949</v>
      </c>
      <c r="I4118">
        <v>2020</v>
      </c>
      <c r="J4118">
        <v>4</v>
      </c>
      <c r="K4118" t="s">
        <v>16</v>
      </c>
      <c r="L4118">
        <v>0</v>
      </c>
      <c r="M4118">
        <v>1</v>
      </c>
    </row>
    <row r="4119" spans="1:13" x14ac:dyDescent="0.25">
      <c r="A4119" t="s">
        <v>2822</v>
      </c>
      <c r="B4119" t="s">
        <v>77</v>
      </c>
      <c r="C4119" t="s">
        <v>143</v>
      </c>
      <c r="D4119" t="s">
        <v>22</v>
      </c>
      <c r="E4119">
        <v>391</v>
      </c>
      <c r="F4119">
        <v>0.5</v>
      </c>
      <c r="G4119" t="s">
        <v>21</v>
      </c>
      <c r="H4119" s="1">
        <v>43949</v>
      </c>
      <c r="I4119">
        <v>2020</v>
      </c>
      <c r="J4119">
        <v>4</v>
      </c>
      <c r="K4119" t="s">
        <v>22</v>
      </c>
      <c r="L4119">
        <v>0</v>
      </c>
      <c r="M4119">
        <v>1</v>
      </c>
    </row>
    <row r="4120" spans="1:13" x14ac:dyDescent="0.25">
      <c r="A4120" t="s">
        <v>249</v>
      </c>
      <c r="B4120" t="s">
        <v>95</v>
      </c>
      <c r="C4120" t="s">
        <v>80</v>
      </c>
      <c r="D4120" t="s">
        <v>194</v>
      </c>
      <c r="E4120">
        <v>367</v>
      </c>
      <c r="F4120">
        <v>0.15</v>
      </c>
      <c r="G4120">
        <v>1500</v>
      </c>
      <c r="H4120" s="1">
        <v>43949</v>
      </c>
      <c r="I4120">
        <v>2020</v>
      </c>
      <c r="J4120">
        <v>4</v>
      </c>
      <c r="K4120" t="s">
        <v>26</v>
      </c>
      <c r="L4120">
        <v>0</v>
      </c>
      <c r="M4120">
        <v>1</v>
      </c>
    </row>
    <row r="4121" spans="1:13" x14ac:dyDescent="0.25">
      <c r="A4121" t="s">
        <v>2823</v>
      </c>
      <c r="B4121" t="s">
        <v>38</v>
      </c>
      <c r="C4121" t="s">
        <v>14</v>
      </c>
      <c r="D4121" t="s">
        <v>22</v>
      </c>
      <c r="E4121">
        <v>80</v>
      </c>
      <c r="F4121">
        <v>0.18</v>
      </c>
      <c r="G4121">
        <v>156</v>
      </c>
      <c r="H4121" s="1">
        <v>43949</v>
      </c>
      <c r="I4121">
        <v>2020</v>
      </c>
      <c r="J4121">
        <v>4</v>
      </c>
      <c r="K4121" t="s">
        <v>36</v>
      </c>
      <c r="L4121">
        <v>0</v>
      </c>
      <c r="M4121">
        <v>1</v>
      </c>
    </row>
    <row r="4122" spans="1:13" x14ac:dyDescent="0.25">
      <c r="A4122" t="s">
        <v>2824</v>
      </c>
      <c r="B4122" t="s">
        <v>54</v>
      </c>
      <c r="C4122" t="s">
        <v>14</v>
      </c>
      <c r="D4122" t="s">
        <v>22</v>
      </c>
      <c r="E4122">
        <v>35</v>
      </c>
      <c r="F4122">
        <v>0.15</v>
      </c>
      <c r="G4122">
        <v>70</v>
      </c>
      <c r="H4122" s="1">
        <v>43949</v>
      </c>
      <c r="I4122">
        <v>2020</v>
      </c>
      <c r="J4122">
        <v>4</v>
      </c>
      <c r="K4122" t="s">
        <v>30</v>
      </c>
      <c r="L4122">
        <v>0</v>
      </c>
      <c r="M4122">
        <v>1</v>
      </c>
    </row>
    <row r="4123" spans="1:13" x14ac:dyDescent="0.25">
      <c r="A4123" t="s">
        <v>2825</v>
      </c>
      <c r="B4123" t="s">
        <v>77</v>
      </c>
      <c r="C4123" t="s">
        <v>14</v>
      </c>
      <c r="D4123" t="s">
        <v>33</v>
      </c>
      <c r="E4123">
        <v>27</v>
      </c>
      <c r="F4123">
        <v>0.25</v>
      </c>
      <c r="G4123">
        <v>71</v>
      </c>
      <c r="H4123" s="1">
        <v>43949</v>
      </c>
      <c r="I4123">
        <v>2020</v>
      </c>
      <c r="J4123">
        <v>4</v>
      </c>
      <c r="K4123" t="s">
        <v>30</v>
      </c>
      <c r="L4123">
        <v>0</v>
      </c>
      <c r="M4123">
        <v>1</v>
      </c>
    </row>
    <row r="4124" spans="1:13" x14ac:dyDescent="0.25">
      <c r="A4124" t="s">
        <v>2826</v>
      </c>
      <c r="B4124" t="s">
        <v>24</v>
      </c>
      <c r="C4124" t="s">
        <v>14</v>
      </c>
      <c r="D4124" t="s">
        <v>49</v>
      </c>
      <c r="E4124">
        <v>20</v>
      </c>
      <c r="F4124">
        <v>0.5</v>
      </c>
      <c r="G4124">
        <v>2</v>
      </c>
      <c r="H4124" s="1">
        <v>43949</v>
      </c>
      <c r="I4124">
        <v>2020</v>
      </c>
      <c r="J4124">
        <v>4</v>
      </c>
      <c r="K4124" t="s">
        <v>16</v>
      </c>
      <c r="L4124">
        <v>0</v>
      </c>
      <c r="M4124">
        <v>1</v>
      </c>
    </row>
    <row r="4125" spans="1:13" x14ac:dyDescent="0.25">
      <c r="A4125" t="s">
        <v>936</v>
      </c>
      <c r="B4125" t="s">
        <v>13</v>
      </c>
      <c r="C4125" t="s">
        <v>14</v>
      </c>
      <c r="D4125" t="s">
        <v>111</v>
      </c>
      <c r="E4125" t="s">
        <v>21</v>
      </c>
      <c r="F4125" t="s">
        <v>21</v>
      </c>
      <c r="G4125">
        <v>436</v>
      </c>
      <c r="H4125" s="1">
        <v>43949</v>
      </c>
      <c r="I4125">
        <v>2020</v>
      </c>
      <c r="J4125">
        <v>4</v>
      </c>
      <c r="K4125" t="s">
        <v>36</v>
      </c>
      <c r="L4125" t="s">
        <v>21</v>
      </c>
      <c r="M4125">
        <v>0</v>
      </c>
    </row>
    <row r="4126" spans="1:13" x14ac:dyDescent="0.25">
      <c r="A4126" t="s">
        <v>2827</v>
      </c>
      <c r="B4126" t="s">
        <v>77</v>
      </c>
      <c r="C4126" t="s">
        <v>14</v>
      </c>
      <c r="D4126" t="s">
        <v>33</v>
      </c>
      <c r="E4126" t="s">
        <v>21</v>
      </c>
      <c r="F4126">
        <v>0.25</v>
      </c>
      <c r="G4126">
        <v>37</v>
      </c>
      <c r="H4126" s="1">
        <v>43949</v>
      </c>
      <c r="I4126">
        <v>2020</v>
      </c>
      <c r="J4126">
        <v>4</v>
      </c>
      <c r="K4126" t="s">
        <v>30</v>
      </c>
      <c r="L4126">
        <v>0</v>
      </c>
      <c r="M4126">
        <v>1</v>
      </c>
    </row>
    <row r="4127" spans="1:13" x14ac:dyDescent="0.25">
      <c r="A4127" t="s">
        <v>2828</v>
      </c>
      <c r="B4127" t="s">
        <v>13</v>
      </c>
      <c r="C4127" t="s">
        <v>14</v>
      </c>
      <c r="D4127" t="s">
        <v>33</v>
      </c>
      <c r="E4127">
        <v>260</v>
      </c>
      <c r="F4127">
        <v>0.1</v>
      </c>
      <c r="G4127">
        <v>840</v>
      </c>
      <c r="H4127" s="1">
        <v>43948</v>
      </c>
      <c r="I4127">
        <v>2020</v>
      </c>
      <c r="J4127">
        <v>4</v>
      </c>
      <c r="K4127" t="s">
        <v>36</v>
      </c>
      <c r="L4127">
        <v>0</v>
      </c>
      <c r="M4127">
        <v>1</v>
      </c>
    </row>
    <row r="4128" spans="1:13" x14ac:dyDescent="0.25">
      <c r="A4128" t="s">
        <v>2520</v>
      </c>
      <c r="B4128" t="s">
        <v>91</v>
      </c>
      <c r="C4128" t="s">
        <v>14</v>
      </c>
      <c r="D4128" t="s">
        <v>68</v>
      </c>
      <c r="E4128">
        <v>20</v>
      </c>
      <c r="F4128">
        <v>0.2</v>
      </c>
      <c r="G4128">
        <v>24</v>
      </c>
      <c r="H4128" s="1">
        <v>43948</v>
      </c>
      <c r="I4128">
        <v>2020</v>
      </c>
      <c r="J4128">
        <v>4</v>
      </c>
      <c r="K4128" t="s">
        <v>30</v>
      </c>
      <c r="L4128">
        <v>0</v>
      </c>
      <c r="M4128">
        <v>1</v>
      </c>
    </row>
    <row r="4129" spans="1:13" x14ac:dyDescent="0.25">
      <c r="A4129" t="s">
        <v>2829</v>
      </c>
      <c r="B4129" t="s">
        <v>45</v>
      </c>
      <c r="C4129" t="s">
        <v>14</v>
      </c>
      <c r="D4129" t="s">
        <v>49</v>
      </c>
      <c r="E4129" t="s">
        <v>21</v>
      </c>
      <c r="F4129">
        <v>0.7</v>
      </c>
      <c r="G4129">
        <v>4</v>
      </c>
      <c r="H4129" s="1">
        <v>43948</v>
      </c>
      <c r="I4129">
        <v>2020</v>
      </c>
      <c r="J4129">
        <v>4</v>
      </c>
      <c r="K4129" t="s">
        <v>16</v>
      </c>
      <c r="L4129">
        <v>0</v>
      </c>
      <c r="M4129">
        <v>1</v>
      </c>
    </row>
    <row r="4130" spans="1:13" x14ac:dyDescent="0.25">
      <c r="A4130" t="s">
        <v>2001</v>
      </c>
      <c r="B4130" t="s">
        <v>73</v>
      </c>
      <c r="C4130" t="s">
        <v>230</v>
      </c>
      <c r="D4130" t="s">
        <v>43</v>
      </c>
      <c r="E4130">
        <v>500</v>
      </c>
      <c r="F4130" t="s">
        <v>21</v>
      </c>
      <c r="G4130">
        <v>2400</v>
      </c>
      <c r="H4130" s="1">
        <v>43946</v>
      </c>
      <c r="I4130">
        <v>2020</v>
      </c>
      <c r="J4130">
        <v>4</v>
      </c>
      <c r="K4130" t="s">
        <v>26</v>
      </c>
      <c r="L4130" t="s">
        <v>21</v>
      </c>
      <c r="M4130">
        <v>1</v>
      </c>
    </row>
    <row r="4131" spans="1:13" x14ac:dyDescent="0.25">
      <c r="A4131" t="s">
        <v>2830</v>
      </c>
      <c r="B4131" t="s">
        <v>95</v>
      </c>
      <c r="C4131" t="s">
        <v>25</v>
      </c>
      <c r="D4131" t="s">
        <v>68</v>
      </c>
      <c r="E4131">
        <v>250</v>
      </c>
      <c r="F4131">
        <v>1</v>
      </c>
      <c r="G4131" t="s">
        <v>21</v>
      </c>
      <c r="H4131" s="1">
        <v>43946</v>
      </c>
      <c r="I4131">
        <v>2020</v>
      </c>
      <c r="J4131">
        <v>4</v>
      </c>
      <c r="K4131" t="s">
        <v>22</v>
      </c>
      <c r="L4131">
        <v>1</v>
      </c>
      <c r="M4131">
        <v>1</v>
      </c>
    </row>
    <row r="4132" spans="1:13" x14ac:dyDescent="0.25">
      <c r="A4132" t="s">
        <v>683</v>
      </c>
      <c r="B4132" t="s">
        <v>13</v>
      </c>
      <c r="C4132" t="s">
        <v>14</v>
      </c>
      <c r="D4132" t="s">
        <v>33</v>
      </c>
      <c r="E4132">
        <v>30</v>
      </c>
      <c r="F4132">
        <v>0.2</v>
      </c>
      <c r="G4132">
        <v>17</v>
      </c>
      <c r="H4132" s="1">
        <v>43946</v>
      </c>
      <c r="I4132">
        <v>2020</v>
      </c>
      <c r="J4132">
        <v>4</v>
      </c>
      <c r="K4132" t="s">
        <v>30</v>
      </c>
      <c r="L4132">
        <v>0</v>
      </c>
      <c r="M4132">
        <v>1</v>
      </c>
    </row>
    <row r="4133" spans="1:13" x14ac:dyDescent="0.25">
      <c r="A4133" t="s">
        <v>2831</v>
      </c>
      <c r="B4133" t="s">
        <v>66</v>
      </c>
      <c r="C4133" t="s">
        <v>14</v>
      </c>
      <c r="D4133" t="s">
        <v>33</v>
      </c>
      <c r="E4133">
        <v>57</v>
      </c>
      <c r="F4133">
        <v>0.36</v>
      </c>
      <c r="G4133">
        <v>88</v>
      </c>
      <c r="H4133" s="1">
        <v>43945</v>
      </c>
      <c r="I4133">
        <v>2020</v>
      </c>
      <c r="J4133">
        <v>4</v>
      </c>
      <c r="K4133" t="s">
        <v>30</v>
      </c>
      <c r="L4133">
        <v>0</v>
      </c>
      <c r="M4133">
        <v>1</v>
      </c>
    </row>
    <row r="4134" spans="1:13" x14ac:dyDescent="0.25">
      <c r="A4134" t="s">
        <v>2832</v>
      </c>
      <c r="B4134" t="s">
        <v>89</v>
      </c>
      <c r="C4134" t="s">
        <v>174</v>
      </c>
      <c r="D4134" t="s">
        <v>33</v>
      </c>
      <c r="E4134">
        <v>36</v>
      </c>
      <c r="F4134">
        <v>0.23</v>
      </c>
      <c r="G4134">
        <v>60</v>
      </c>
      <c r="H4134" s="1">
        <v>43945</v>
      </c>
      <c r="I4134">
        <v>2020</v>
      </c>
      <c r="J4134">
        <v>4</v>
      </c>
      <c r="K4134" t="s">
        <v>30</v>
      </c>
      <c r="L4134">
        <v>0</v>
      </c>
      <c r="M4134">
        <v>1</v>
      </c>
    </row>
    <row r="4135" spans="1:13" x14ac:dyDescent="0.25">
      <c r="A4135" t="s">
        <v>2833</v>
      </c>
      <c r="B4135" t="s">
        <v>54</v>
      </c>
      <c r="C4135" t="s">
        <v>14</v>
      </c>
      <c r="D4135" t="s">
        <v>68</v>
      </c>
      <c r="E4135">
        <v>19</v>
      </c>
      <c r="F4135">
        <v>0.3</v>
      </c>
      <c r="G4135">
        <v>7</v>
      </c>
      <c r="H4135" s="1">
        <v>43945</v>
      </c>
      <c r="I4135">
        <v>2020</v>
      </c>
      <c r="J4135">
        <v>4</v>
      </c>
      <c r="K4135" t="s">
        <v>16</v>
      </c>
      <c r="L4135">
        <v>0</v>
      </c>
      <c r="M4135">
        <v>1</v>
      </c>
    </row>
    <row r="4136" spans="1:13" x14ac:dyDescent="0.25">
      <c r="A4136" t="s">
        <v>2709</v>
      </c>
      <c r="B4136" t="s">
        <v>77</v>
      </c>
      <c r="C4136" t="s">
        <v>14</v>
      </c>
      <c r="D4136" t="s">
        <v>33</v>
      </c>
      <c r="E4136">
        <v>18</v>
      </c>
      <c r="F4136">
        <v>0.22</v>
      </c>
      <c r="G4136">
        <v>15</v>
      </c>
      <c r="H4136" s="1">
        <v>43945</v>
      </c>
      <c r="I4136">
        <v>2020</v>
      </c>
      <c r="J4136">
        <v>4</v>
      </c>
      <c r="K4136" t="s">
        <v>30</v>
      </c>
      <c r="L4136">
        <v>0</v>
      </c>
      <c r="M4136">
        <v>1</v>
      </c>
    </row>
    <row r="4137" spans="1:13" x14ac:dyDescent="0.25">
      <c r="A4137" t="s">
        <v>2834</v>
      </c>
      <c r="B4137" t="s">
        <v>73</v>
      </c>
      <c r="C4137" t="s">
        <v>83</v>
      </c>
      <c r="D4137" t="s">
        <v>33</v>
      </c>
      <c r="E4137">
        <v>15</v>
      </c>
      <c r="F4137">
        <v>0.25</v>
      </c>
      <c r="G4137">
        <v>30</v>
      </c>
      <c r="H4137" s="1">
        <v>43945</v>
      </c>
      <c r="I4137">
        <v>2020</v>
      </c>
      <c r="J4137">
        <v>4</v>
      </c>
      <c r="K4137" t="s">
        <v>30</v>
      </c>
      <c r="L4137">
        <v>0</v>
      </c>
      <c r="M4137">
        <v>1</v>
      </c>
    </row>
    <row r="4138" spans="1:13" x14ac:dyDescent="0.25">
      <c r="A4138" t="s">
        <v>2835</v>
      </c>
      <c r="B4138" t="s">
        <v>35</v>
      </c>
      <c r="C4138" t="s">
        <v>14</v>
      </c>
      <c r="D4138" t="s">
        <v>33</v>
      </c>
      <c r="E4138">
        <v>10</v>
      </c>
      <c r="F4138">
        <v>0.33</v>
      </c>
      <c r="G4138">
        <v>29</v>
      </c>
      <c r="H4138" s="1">
        <v>43945</v>
      </c>
      <c r="I4138">
        <v>2020</v>
      </c>
      <c r="J4138">
        <v>4</v>
      </c>
      <c r="K4138" t="s">
        <v>30</v>
      </c>
      <c r="L4138">
        <v>0</v>
      </c>
      <c r="M4138">
        <v>1</v>
      </c>
    </row>
    <row r="4139" spans="1:13" x14ac:dyDescent="0.25">
      <c r="A4139" t="s">
        <v>2836</v>
      </c>
      <c r="B4139" t="s">
        <v>18</v>
      </c>
      <c r="C4139" t="s">
        <v>14</v>
      </c>
      <c r="D4139" t="s">
        <v>22</v>
      </c>
      <c r="E4139">
        <v>6</v>
      </c>
      <c r="F4139">
        <v>0.21</v>
      </c>
      <c r="G4139">
        <v>12</v>
      </c>
      <c r="H4139" s="1">
        <v>43945</v>
      </c>
      <c r="I4139">
        <v>2020</v>
      </c>
      <c r="J4139">
        <v>4</v>
      </c>
      <c r="K4139" t="s">
        <v>30</v>
      </c>
      <c r="L4139">
        <v>0</v>
      </c>
      <c r="M4139">
        <v>1</v>
      </c>
    </row>
    <row r="4140" spans="1:13" x14ac:dyDescent="0.25">
      <c r="A4140" t="s">
        <v>2837</v>
      </c>
      <c r="B4140" t="s">
        <v>106</v>
      </c>
      <c r="C4140" t="s">
        <v>230</v>
      </c>
      <c r="D4140" t="s">
        <v>68</v>
      </c>
      <c r="E4140">
        <v>4</v>
      </c>
      <c r="F4140">
        <v>1</v>
      </c>
      <c r="G4140">
        <v>2</v>
      </c>
      <c r="H4140" s="1">
        <v>43945</v>
      </c>
      <c r="I4140">
        <v>2020</v>
      </c>
      <c r="J4140">
        <v>4</v>
      </c>
      <c r="K4140" t="s">
        <v>16</v>
      </c>
      <c r="L4140">
        <v>1</v>
      </c>
      <c r="M4140">
        <v>1</v>
      </c>
    </row>
    <row r="4141" spans="1:13" x14ac:dyDescent="0.25">
      <c r="A4141" t="s">
        <v>2838</v>
      </c>
      <c r="B4141" t="s">
        <v>32</v>
      </c>
      <c r="C4141" t="s">
        <v>14</v>
      </c>
      <c r="D4141" t="s">
        <v>20</v>
      </c>
      <c r="E4141" t="s">
        <v>21</v>
      </c>
      <c r="F4141" t="s">
        <v>21</v>
      </c>
      <c r="G4141">
        <v>54</v>
      </c>
      <c r="H4141" s="1">
        <v>43945</v>
      </c>
      <c r="I4141">
        <v>2020</v>
      </c>
      <c r="J4141">
        <v>4</v>
      </c>
      <c r="K4141" t="s">
        <v>30</v>
      </c>
      <c r="L4141" t="s">
        <v>21</v>
      </c>
      <c r="M4141">
        <v>0</v>
      </c>
    </row>
    <row r="4142" spans="1:13" x14ac:dyDescent="0.25">
      <c r="A4142" t="s">
        <v>193</v>
      </c>
      <c r="B4142" t="s">
        <v>77</v>
      </c>
      <c r="C4142" t="s">
        <v>80</v>
      </c>
      <c r="D4142" t="s">
        <v>111</v>
      </c>
      <c r="E4142" t="s">
        <v>21</v>
      </c>
      <c r="F4142" t="s">
        <v>21</v>
      </c>
      <c r="G4142">
        <v>122</v>
      </c>
      <c r="H4142" s="1">
        <v>43945</v>
      </c>
      <c r="I4142">
        <v>2020</v>
      </c>
      <c r="J4142">
        <v>4</v>
      </c>
      <c r="K4142" t="s">
        <v>36</v>
      </c>
      <c r="L4142" t="s">
        <v>21</v>
      </c>
      <c r="M4142">
        <v>0</v>
      </c>
    </row>
    <row r="4143" spans="1:13" x14ac:dyDescent="0.25">
      <c r="A4143" t="s">
        <v>2473</v>
      </c>
      <c r="B4143" t="s">
        <v>24</v>
      </c>
      <c r="C4143" t="s">
        <v>14</v>
      </c>
      <c r="D4143" t="s">
        <v>46</v>
      </c>
      <c r="E4143">
        <v>100</v>
      </c>
      <c r="F4143">
        <v>0.12</v>
      </c>
      <c r="G4143">
        <v>160</v>
      </c>
      <c r="H4143" s="1">
        <v>43944</v>
      </c>
      <c r="I4143">
        <v>2020</v>
      </c>
      <c r="J4143">
        <v>4</v>
      </c>
      <c r="K4143" t="s">
        <v>36</v>
      </c>
      <c r="L4143">
        <v>0</v>
      </c>
      <c r="M4143">
        <v>1</v>
      </c>
    </row>
    <row r="4144" spans="1:13" x14ac:dyDescent="0.25">
      <c r="A4144" t="s">
        <v>2839</v>
      </c>
      <c r="B4144" t="s">
        <v>40</v>
      </c>
      <c r="C4144" t="s">
        <v>14</v>
      </c>
      <c r="D4144" t="s">
        <v>46</v>
      </c>
      <c r="E4144">
        <v>87</v>
      </c>
      <c r="F4144">
        <v>0.15</v>
      </c>
      <c r="G4144">
        <v>583</v>
      </c>
      <c r="H4144" s="1">
        <v>43944</v>
      </c>
      <c r="I4144">
        <v>2020</v>
      </c>
      <c r="J4144">
        <v>4</v>
      </c>
      <c r="K4144" t="s">
        <v>36</v>
      </c>
      <c r="L4144">
        <v>0</v>
      </c>
      <c r="M4144">
        <v>1</v>
      </c>
    </row>
    <row r="4145" spans="1:13" x14ac:dyDescent="0.25">
      <c r="A4145" t="s">
        <v>966</v>
      </c>
      <c r="B4145" t="s">
        <v>38</v>
      </c>
      <c r="C4145" t="s">
        <v>14</v>
      </c>
      <c r="D4145" t="s">
        <v>43</v>
      </c>
      <c r="E4145">
        <v>80</v>
      </c>
      <c r="F4145">
        <v>0.09</v>
      </c>
      <c r="G4145">
        <v>274</v>
      </c>
      <c r="H4145" s="1">
        <v>43944</v>
      </c>
      <c r="I4145">
        <v>2020</v>
      </c>
      <c r="J4145">
        <v>4</v>
      </c>
      <c r="K4145" t="s">
        <v>36</v>
      </c>
      <c r="L4145">
        <v>0</v>
      </c>
      <c r="M4145">
        <v>1</v>
      </c>
    </row>
    <row r="4146" spans="1:13" x14ac:dyDescent="0.25">
      <c r="A4146" t="s">
        <v>2840</v>
      </c>
      <c r="B4146" t="s">
        <v>35</v>
      </c>
      <c r="C4146" t="s">
        <v>14</v>
      </c>
      <c r="D4146" t="s">
        <v>22</v>
      </c>
      <c r="E4146">
        <v>70</v>
      </c>
      <c r="F4146">
        <v>0.05</v>
      </c>
      <c r="G4146">
        <v>1300</v>
      </c>
      <c r="H4146" s="1">
        <v>43944</v>
      </c>
      <c r="I4146">
        <v>2020</v>
      </c>
      <c r="J4146">
        <v>4</v>
      </c>
      <c r="K4146" t="s">
        <v>26</v>
      </c>
      <c r="L4146">
        <v>0</v>
      </c>
      <c r="M4146">
        <v>1</v>
      </c>
    </row>
    <row r="4147" spans="1:13" x14ac:dyDescent="0.25">
      <c r="A4147" t="s">
        <v>2841</v>
      </c>
      <c r="B4147" t="s">
        <v>54</v>
      </c>
      <c r="C4147" t="s">
        <v>14</v>
      </c>
      <c r="D4147" t="s">
        <v>46</v>
      </c>
      <c r="E4147">
        <v>6</v>
      </c>
      <c r="F4147" t="s">
        <v>21</v>
      </c>
      <c r="G4147">
        <v>68</v>
      </c>
      <c r="H4147" s="1">
        <v>43944</v>
      </c>
      <c r="I4147">
        <v>2020</v>
      </c>
      <c r="J4147">
        <v>4</v>
      </c>
      <c r="K4147" t="s">
        <v>30</v>
      </c>
      <c r="L4147" t="s">
        <v>21</v>
      </c>
      <c r="M4147">
        <v>1</v>
      </c>
    </row>
    <row r="4148" spans="1:13" x14ac:dyDescent="0.25">
      <c r="A4148" t="s">
        <v>1104</v>
      </c>
      <c r="B4148" t="s">
        <v>117</v>
      </c>
      <c r="C4148" t="s">
        <v>14</v>
      </c>
      <c r="D4148" t="s">
        <v>55</v>
      </c>
      <c r="E4148" t="s">
        <v>21</v>
      </c>
      <c r="F4148">
        <v>0.01</v>
      </c>
      <c r="G4148">
        <v>665</v>
      </c>
      <c r="H4148" s="1">
        <v>43944</v>
      </c>
      <c r="I4148">
        <v>2020</v>
      </c>
      <c r="J4148">
        <v>4</v>
      </c>
      <c r="K4148" t="s">
        <v>36</v>
      </c>
      <c r="L4148">
        <v>0</v>
      </c>
      <c r="M4148">
        <v>1</v>
      </c>
    </row>
    <row r="4149" spans="1:13" x14ac:dyDescent="0.25">
      <c r="A4149" t="s">
        <v>2842</v>
      </c>
      <c r="B4149" t="s">
        <v>24</v>
      </c>
      <c r="C4149" t="s">
        <v>14</v>
      </c>
      <c r="D4149" t="s">
        <v>20</v>
      </c>
      <c r="E4149" t="s">
        <v>21</v>
      </c>
      <c r="F4149" t="s">
        <v>21</v>
      </c>
      <c r="G4149">
        <v>78</v>
      </c>
      <c r="H4149" s="1">
        <v>43944</v>
      </c>
      <c r="I4149">
        <v>2020</v>
      </c>
      <c r="J4149">
        <v>4</v>
      </c>
      <c r="K4149" t="s">
        <v>30</v>
      </c>
      <c r="L4149" t="s">
        <v>21</v>
      </c>
      <c r="M4149">
        <v>0</v>
      </c>
    </row>
    <row r="4150" spans="1:13" x14ac:dyDescent="0.25">
      <c r="A4150" t="s">
        <v>2843</v>
      </c>
      <c r="B4150" t="s">
        <v>54</v>
      </c>
      <c r="C4150" t="s">
        <v>14</v>
      </c>
      <c r="D4150" t="s">
        <v>33</v>
      </c>
      <c r="E4150" t="s">
        <v>21</v>
      </c>
      <c r="F4150" t="s">
        <v>21</v>
      </c>
      <c r="G4150">
        <v>50</v>
      </c>
      <c r="H4150" s="1">
        <v>43944</v>
      </c>
      <c r="I4150">
        <v>2020</v>
      </c>
      <c r="J4150">
        <v>4</v>
      </c>
      <c r="K4150" t="s">
        <v>30</v>
      </c>
      <c r="L4150" t="s">
        <v>21</v>
      </c>
      <c r="M4150">
        <v>0</v>
      </c>
    </row>
    <row r="4151" spans="1:13" x14ac:dyDescent="0.25">
      <c r="A4151" t="s">
        <v>700</v>
      </c>
      <c r="B4151" t="s">
        <v>18</v>
      </c>
      <c r="C4151" t="s">
        <v>14</v>
      </c>
      <c r="D4151" t="s">
        <v>111</v>
      </c>
      <c r="E4151">
        <v>1000</v>
      </c>
      <c r="F4151">
        <v>0.5</v>
      </c>
      <c r="G4151">
        <v>2600</v>
      </c>
      <c r="H4151" s="1">
        <v>43943</v>
      </c>
      <c r="I4151">
        <v>2020</v>
      </c>
      <c r="J4151">
        <v>4</v>
      </c>
      <c r="K4151" t="s">
        <v>26</v>
      </c>
      <c r="L4151">
        <v>0</v>
      </c>
      <c r="M4151">
        <v>1</v>
      </c>
    </row>
    <row r="4152" spans="1:13" x14ac:dyDescent="0.25">
      <c r="A4152" t="s">
        <v>2844</v>
      </c>
      <c r="B4152" t="s">
        <v>40</v>
      </c>
      <c r="C4152" t="s">
        <v>14</v>
      </c>
      <c r="D4152" t="s">
        <v>33</v>
      </c>
      <c r="E4152">
        <v>55</v>
      </c>
      <c r="F4152">
        <v>0.35</v>
      </c>
      <c r="G4152">
        <v>24</v>
      </c>
      <c r="H4152" s="1">
        <v>43943</v>
      </c>
      <c r="I4152">
        <v>2020</v>
      </c>
      <c r="J4152">
        <v>4</v>
      </c>
      <c r="K4152" t="s">
        <v>30</v>
      </c>
      <c r="L4152">
        <v>0</v>
      </c>
      <c r="M4152">
        <v>1</v>
      </c>
    </row>
    <row r="4153" spans="1:13" x14ac:dyDescent="0.25">
      <c r="A4153" t="s">
        <v>2845</v>
      </c>
      <c r="B4153" t="s">
        <v>66</v>
      </c>
      <c r="C4153" t="s">
        <v>14</v>
      </c>
      <c r="D4153" t="s">
        <v>68</v>
      </c>
      <c r="E4153">
        <v>10</v>
      </c>
      <c r="F4153">
        <v>0.14000000000000001</v>
      </c>
      <c r="G4153">
        <v>52</v>
      </c>
      <c r="H4153" s="1">
        <v>43943</v>
      </c>
      <c r="I4153">
        <v>2020</v>
      </c>
      <c r="J4153">
        <v>4</v>
      </c>
      <c r="K4153" t="s">
        <v>30</v>
      </c>
      <c r="L4153">
        <v>0</v>
      </c>
      <c r="M4153">
        <v>1</v>
      </c>
    </row>
    <row r="4154" spans="1:13" x14ac:dyDescent="0.25">
      <c r="A4154" t="s">
        <v>2791</v>
      </c>
      <c r="B4154" t="s">
        <v>73</v>
      </c>
      <c r="C4154" t="s">
        <v>25</v>
      </c>
      <c r="D4154" t="s">
        <v>22</v>
      </c>
      <c r="E4154" t="s">
        <v>21</v>
      </c>
      <c r="F4154">
        <v>0.7</v>
      </c>
      <c r="G4154" t="s">
        <v>21</v>
      </c>
      <c r="H4154" s="1">
        <v>43943</v>
      </c>
      <c r="I4154">
        <v>2020</v>
      </c>
      <c r="J4154">
        <v>4</v>
      </c>
      <c r="K4154" t="s">
        <v>22</v>
      </c>
      <c r="L4154">
        <v>0</v>
      </c>
      <c r="M4154">
        <v>1</v>
      </c>
    </row>
    <row r="4155" spans="1:13" x14ac:dyDescent="0.25">
      <c r="A4155" t="s">
        <v>1454</v>
      </c>
      <c r="B4155" t="s">
        <v>38</v>
      </c>
      <c r="C4155" t="s">
        <v>14</v>
      </c>
      <c r="D4155" t="s">
        <v>68</v>
      </c>
      <c r="E4155" t="s">
        <v>21</v>
      </c>
      <c r="F4155" t="s">
        <v>21</v>
      </c>
      <c r="G4155">
        <v>17</v>
      </c>
      <c r="H4155" s="1">
        <v>43943</v>
      </c>
      <c r="I4155">
        <v>2020</v>
      </c>
      <c r="J4155">
        <v>4</v>
      </c>
      <c r="K4155" t="s">
        <v>30</v>
      </c>
      <c r="L4155" t="s">
        <v>21</v>
      </c>
      <c r="M4155">
        <v>0</v>
      </c>
    </row>
    <row r="4156" spans="1:13" x14ac:dyDescent="0.25">
      <c r="A4156" t="s">
        <v>2193</v>
      </c>
      <c r="B4156" t="s">
        <v>28</v>
      </c>
      <c r="C4156" t="s">
        <v>14</v>
      </c>
      <c r="D4156" t="s">
        <v>46</v>
      </c>
      <c r="E4156" t="s">
        <v>21</v>
      </c>
      <c r="F4156" t="s">
        <v>21</v>
      </c>
      <c r="G4156">
        <v>61</v>
      </c>
      <c r="H4156" s="1">
        <v>43943</v>
      </c>
      <c r="I4156">
        <v>2020</v>
      </c>
      <c r="J4156">
        <v>4</v>
      </c>
      <c r="K4156" t="s">
        <v>30</v>
      </c>
      <c r="L4156" t="s">
        <v>21</v>
      </c>
      <c r="M4156">
        <v>0</v>
      </c>
    </row>
    <row r="4157" spans="1:13" x14ac:dyDescent="0.25">
      <c r="A4157" t="s">
        <v>1719</v>
      </c>
      <c r="B4157" t="s">
        <v>533</v>
      </c>
      <c r="C4157" t="s">
        <v>42</v>
      </c>
      <c r="D4157" t="s">
        <v>15</v>
      </c>
      <c r="E4157" t="s">
        <v>21</v>
      </c>
      <c r="F4157">
        <v>0.1</v>
      </c>
      <c r="G4157">
        <v>15</v>
      </c>
      <c r="H4157" s="1">
        <v>43943</v>
      </c>
      <c r="I4157">
        <v>2020</v>
      </c>
      <c r="J4157">
        <v>4</v>
      </c>
      <c r="K4157" t="s">
        <v>30</v>
      </c>
      <c r="L4157">
        <v>0</v>
      </c>
      <c r="M4157">
        <v>1</v>
      </c>
    </row>
    <row r="4158" spans="1:13" x14ac:dyDescent="0.25">
      <c r="A4158" t="s">
        <v>930</v>
      </c>
      <c r="B4158" t="s">
        <v>95</v>
      </c>
      <c r="C4158" t="s">
        <v>48</v>
      </c>
      <c r="D4158" t="s">
        <v>518</v>
      </c>
      <c r="E4158">
        <v>800</v>
      </c>
      <c r="F4158" t="s">
        <v>21</v>
      </c>
      <c r="G4158">
        <v>1600</v>
      </c>
      <c r="H4158" s="1">
        <v>43942</v>
      </c>
      <c r="I4158">
        <v>2020</v>
      </c>
      <c r="J4158">
        <v>4</v>
      </c>
      <c r="K4158" t="s">
        <v>26</v>
      </c>
      <c r="L4158" t="s">
        <v>21</v>
      </c>
      <c r="M4158">
        <v>1</v>
      </c>
    </row>
    <row r="4159" spans="1:13" x14ac:dyDescent="0.25">
      <c r="A4159" t="s">
        <v>96</v>
      </c>
      <c r="B4159" t="s">
        <v>77</v>
      </c>
      <c r="C4159" t="s">
        <v>48</v>
      </c>
      <c r="D4159" t="s">
        <v>22</v>
      </c>
      <c r="E4159">
        <v>500</v>
      </c>
      <c r="F4159" t="s">
        <v>21</v>
      </c>
      <c r="G4159">
        <v>2200</v>
      </c>
      <c r="H4159" s="1">
        <v>43942</v>
      </c>
      <c r="I4159">
        <v>2020</v>
      </c>
      <c r="J4159">
        <v>4</v>
      </c>
      <c r="K4159" t="s">
        <v>26</v>
      </c>
      <c r="L4159" t="s">
        <v>21</v>
      </c>
      <c r="M4159">
        <v>1</v>
      </c>
    </row>
    <row r="4160" spans="1:13" x14ac:dyDescent="0.25">
      <c r="A4160" t="s">
        <v>1119</v>
      </c>
      <c r="B4160" t="s">
        <v>77</v>
      </c>
      <c r="C4160" t="s">
        <v>14</v>
      </c>
      <c r="D4160" t="s">
        <v>15</v>
      </c>
      <c r="E4160">
        <v>460</v>
      </c>
      <c r="F4160">
        <v>0.3</v>
      </c>
      <c r="G4160">
        <v>392</v>
      </c>
      <c r="H4160" s="1">
        <v>43942</v>
      </c>
      <c r="I4160">
        <v>2020</v>
      </c>
      <c r="J4160">
        <v>4</v>
      </c>
      <c r="K4160" t="s">
        <v>36</v>
      </c>
      <c r="L4160">
        <v>0</v>
      </c>
      <c r="M4160">
        <v>1</v>
      </c>
    </row>
    <row r="4161" spans="1:13" x14ac:dyDescent="0.25">
      <c r="A4161" t="s">
        <v>1984</v>
      </c>
      <c r="B4161" t="s">
        <v>18</v>
      </c>
      <c r="C4161" t="s">
        <v>14</v>
      </c>
      <c r="D4161" t="s">
        <v>111</v>
      </c>
      <c r="E4161">
        <v>155</v>
      </c>
      <c r="F4161">
        <v>0.1</v>
      </c>
      <c r="G4161">
        <v>613</v>
      </c>
      <c r="H4161" s="1">
        <v>43942</v>
      </c>
      <c r="I4161">
        <v>2020</v>
      </c>
      <c r="J4161">
        <v>4</v>
      </c>
      <c r="K4161" t="s">
        <v>36</v>
      </c>
      <c r="L4161">
        <v>0</v>
      </c>
      <c r="M4161">
        <v>1</v>
      </c>
    </row>
    <row r="4162" spans="1:13" x14ac:dyDescent="0.25">
      <c r="A4162" t="s">
        <v>2641</v>
      </c>
      <c r="B4162" t="s">
        <v>24</v>
      </c>
      <c r="C4162" t="s">
        <v>14</v>
      </c>
      <c r="D4162" t="s">
        <v>15</v>
      </c>
      <c r="E4162">
        <v>78</v>
      </c>
      <c r="F4162">
        <v>0.21</v>
      </c>
      <c r="G4162">
        <v>339</v>
      </c>
      <c r="H4162" s="1">
        <v>43942</v>
      </c>
      <c r="I4162">
        <v>2020</v>
      </c>
      <c r="J4162">
        <v>4</v>
      </c>
      <c r="K4162" t="s">
        <v>36</v>
      </c>
      <c r="L4162">
        <v>0</v>
      </c>
      <c r="M4162">
        <v>1</v>
      </c>
    </row>
    <row r="4163" spans="1:13" x14ac:dyDescent="0.25">
      <c r="A4163" t="s">
        <v>542</v>
      </c>
      <c r="B4163" t="s">
        <v>35</v>
      </c>
      <c r="C4163" t="s">
        <v>14</v>
      </c>
      <c r="D4163" t="s">
        <v>33</v>
      </c>
      <c r="E4163">
        <v>40</v>
      </c>
      <c r="F4163">
        <v>0.13</v>
      </c>
      <c r="G4163">
        <v>42</v>
      </c>
      <c r="H4163" s="1">
        <v>43942</v>
      </c>
      <c r="I4163">
        <v>2020</v>
      </c>
      <c r="J4163">
        <v>4</v>
      </c>
      <c r="K4163" t="s">
        <v>30</v>
      </c>
      <c r="L4163">
        <v>0</v>
      </c>
      <c r="M4163">
        <v>1</v>
      </c>
    </row>
    <row r="4164" spans="1:13" x14ac:dyDescent="0.25">
      <c r="A4164" t="s">
        <v>2846</v>
      </c>
      <c r="B4164" t="s">
        <v>77</v>
      </c>
      <c r="C4164" t="s">
        <v>174</v>
      </c>
      <c r="D4164" t="s">
        <v>33</v>
      </c>
      <c r="E4164">
        <v>38</v>
      </c>
      <c r="F4164">
        <v>0.09</v>
      </c>
      <c r="G4164">
        <v>75</v>
      </c>
      <c r="H4164" s="1">
        <v>43942</v>
      </c>
      <c r="I4164">
        <v>2020</v>
      </c>
      <c r="J4164">
        <v>4</v>
      </c>
      <c r="K4164" t="s">
        <v>30</v>
      </c>
      <c r="L4164">
        <v>0</v>
      </c>
      <c r="M4164">
        <v>1</v>
      </c>
    </row>
    <row r="4165" spans="1:13" x14ac:dyDescent="0.25">
      <c r="A4165" t="s">
        <v>2245</v>
      </c>
      <c r="B4165" t="s">
        <v>32</v>
      </c>
      <c r="C4165" t="s">
        <v>14</v>
      </c>
      <c r="D4165" t="s">
        <v>55</v>
      </c>
      <c r="E4165">
        <v>30</v>
      </c>
      <c r="F4165">
        <v>0.13</v>
      </c>
      <c r="G4165">
        <v>165</v>
      </c>
      <c r="H4165" s="1">
        <v>43942</v>
      </c>
      <c r="I4165">
        <v>2020</v>
      </c>
      <c r="J4165">
        <v>4</v>
      </c>
      <c r="K4165" t="s">
        <v>36</v>
      </c>
      <c r="L4165">
        <v>0</v>
      </c>
      <c r="M4165">
        <v>1</v>
      </c>
    </row>
    <row r="4166" spans="1:13" x14ac:dyDescent="0.25">
      <c r="A4166" t="s">
        <v>2646</v>
      </c>
      <c r="B4166" t="s">
        <v>106</v>
      </c>
      <c r="C4166" t="s">
        <v>14</v>
      </c>
      <c r="D4166" t="s">
        <v>33</v>
      </c>
      <c r="E4166">
        <v>19</v>
      </c>
      <c r="F4166" t="s">
        <v>21</v>
      </c>
      <c r="G4166">
        <v>48</v>
      </c>
      <c r="H4166" s="1">
        <v>43942</v>
      </c>
      <c r="I4166">
        <v>2020</v>
      </c>
      <c r="J4166">
        <v>4</v>
      </c>
      <c r="K4166" t="s">
        <v>30</v>
      </c>
      <c r="L4166" t="s">
        <v>21</v>
      </c>
      <c r="M4166">
        <v>1</v>
      </c>
    </row>
    <row r="4167" spans="1:13" x14ac:dyDescent="0.25">
      <c r="A4167" t="s">
        <v>2847</v>
      </c>
      <c r="B4167" t="s">
        <v>32</v>
      </c>
      <c r="C4167" t="s">
        <v>14</v>
      </c>
      <c r="D4167" t="s">
        <v>22</v>
      </c>
      <c r="E4167">
        <v>13</v>
      </c>
      <c r="F4167" t="s">
        <v>21</v>
      </c>
      <c r="G4167" t="s">
        <v>21</v>
      </c>
      <c r="H4167" s="1">
        <v>43942</v>
      </c>
      <c r="I4167">
        <v>2020</v>
      </c>
      <c r="J4167">
        <v>4</v>
      </c>
      <c r="K4167" t="s">
        <v>22</v>
      </c>
      <c r="L4167" t="s">
        <v>21</v>
      </c>
      <c r="M4167">
        <v>1</v>
      </c>
    </row>
    <row r="4168" spans="1:13" x14ac:dyDescent="0.25">
      <c r="A4168" t="s">
        <v>2848</v>
      </c>
      <c r="B4168" t="s">
        <v>117</v>
      </c>
      <c r="C4168" t="s">
        <v>29</v>
      </c>
      <c r="D4168" t="s">
        <v>55</v>
      </c>
      <c r="E4168">
        <v>10</v>
      </c>
      <c r="F4168">
        <v>0.1</v>
      </c>
      <c r="G4168">
        <v>84</v>
      </c>
      <c r="H4168" s="1">
        <v>43942</v>
      </c>
      <c r="I4168">
        <v>2020</v>
      </c>
      <c r="J4168">
        <v>4</v>
      </c>
      <c r="K4168" t="s">
        <v>30</v>
      </c>
      <c r="L4168">
        <v>0</v>
      </c>
      <c r="M4168">
        <v>1</v>
      </c>
    </row>
    <row r="4169" spans="1:13" x14ac:dyDescent="0.25">
      <c r="A4169" t="s">
        <v>2849</v>
      </c>
      <c r="B4169" t="s">
        <v>73</v>
      </c>
      <c r="C4169" t="s">
        <v>1208</v>
      </c>
      <c r="D4169" t="s">
        <v>55</v>
      </c>
      <c r="E4169">
        <v>300</v>
      </c>
      <c r="F4169">
        <v>0.15</v>
      </c>
      <c r="G4169">
        <v>521</v>
      </c>
      <c r="H4169" s="1">
        <v>43941</v>
      </c>
      <c r="I4169">
        <v>2020</v>
      </c>
      <c r="J4169">
        <v>4</v>
      </c>
      <c r="K4169" t="s">
        <v>36</v>
      </c>
      <c r="L4169">
        <v>0</v>
      </c>
      <c r="M4169">
        <v>1</v>
      </c>
    </row>
    <row r="4170" spans="1:13" x14ac:dyDescent="0.25">
      <c r="A4170" t="s">
        <v>391</v>
      </c>
      <c r="B4170" t="s">
        <v>52</v>
      </c>
      <c r="C4170" t="s">
        <v>14</v>
      </c>
      <c r="D4170" t="s">
        <v>22</v>
      </c>
      <c r="E4170">
        <v>91</v>
      </c>
      <c r="F4170">
        <v>0.14000000000000001</v>
      </c>
      <c r="G4170">
        <v>10</v>
      </c>
      <c r="H4170" s="1">
        <v>43941</v>
      </c>
      <c r="I4170">
        <v>2020</v>
      </c>
      <c r="J4170">
        <v>4</v>
      </c>
      <c r="K4170" t="s">
        <v>30</v>
      </c>
      <c r="L4170">
        <v>0</v>
      </c>
      <c r="M4170">
        <v>1</v>
      </c>
    </row>
    <row r="4171" spans="1:13" x14ac:dyDescent="0.25">
      <c r="A4171" t="s">
        <v>2850</v>
      </c>
      <c r="B4171" t="s">
        <v>54</v>
      </c>
      <c r="C4171" t="s">
        <v>14</v>
      </c>
      <c r="D4171" t="s">
        <v>55</v>
      </c>
      <c r="E4171">
        <v>90</v>
      </c>
      <c r="F4171">
        <v>0.25</v>
      </c>
      <c r="G4171">
        <v>58</v>
      </c>
      <c r="H4171" s="1">
        <v>43941</v>
      </c>
      <c r="I4171">
        <v>2020</v>
      </c>
      <c r="J4171">
        <v>4</v>
      </c>
      <c r="K4171" t="s">
        <v>30</v>
      </c>
      <c r="L4171">
        <v>0</v>
      </c>
      <c r="M4171">
        <v>1</v>
      </c>
    </row>
    <row r="4172" spans="1:13" x14ac:dyDescent="0.25">
      <c r="A4172" t="s">
        <v>2851</v>
      </c>
      <c r="B4172" t="s">
        <v>77</v>
      </c>
      <c r="C4172" t="s">
        <v>1362</v>
      </c>
      <c r="D4172" t="s">
        <v>33</v>
      </c>
      <c r="E4172">
        <v>90</v>
      </c>
      <c r="F4172">
        <v>0.3</v>
      </c>
      <c r="G4172">
        <v>38</v>
      </c>
      <c r="H4172" s="1">
        <v>43941</v>
      </c>
      <c r="I4172">
        <v>2020</v>
      </c>
      <c r="J4172">
        <v>4</v>
      </c>
      <c r="K4172" t="s">
        <v>30</v>
      </c>
      <c r="L4172">
        <v>0</v>
      </c>
      <c r="M4172">
        <v>1</v>
      </c>
    </row>
    <row r="4173" spans="1:13" x14ac:dyDescent="0.25">
      <c r="A4173" t="s">
        <v>2055</v>
      </c>
      <c r="B4173" t="s">
        <v>89</v>
      </c>
      <c r="C4173" t="s">
        <v>230</v>
      </c>
      <c r="D4173" t="s">
        <v>49</v>
      </c>
      <c r="E4173">
        <v>33</v>
      </c>
      <c r="F4173">
        <v>0.25</v>
      </c>
      <c r="G4173">
        <v>1</v>
      </c>
      <c r="H4173" s="1">
        <v>43941</v>
      </c>
      <c r="I4173">
        <v>2020</v>
      </c>
      <c r="J4173">
        <v>4</v>
      </c>
      <c r="K4173" t="s">
        <v>16</v>
      </c>
      <c r="L4173">
        <v>0</v>
      </c>
      <c r="M4173">
        <v>1</v>
      </c>
    </row>
    <row r="4174" spans="1:13" x14ac:dyDescent="0.25">
      <c r="A4174" t="s">
        <v>2852</v>
      </c>
      <c r="B4174" t="s">
        <v>66</v>
      </c>
      <c r="C4174" t="s">
        <v>14</v>
      </c>
      <c r="D4174" t="s">
        <v>46</v>
      </c>
      <c r="E4174">
        <v>28</v>
      </c>
      <c r="F4174" t="s">
        <v>21</v>
      </c>
      <c r="G4174">
        <v>71</v>
      </c>
      <c r="H4174" s="1">
        <v>43941</v>
      </c>
      <c r="I4174">
        <v>2020</v>
      </c>
      <c r="J4174">
        <v>4</v>
      </c>
      <c r="K4174" t="s">
        <v>30</v>
      </c>
      <c r="L4174" t="s">
        <v>21</v>
      </c>
      <c r="M4174">
        <v>1</v>
      </c>
    </row>
    <row r="4175" spans="1:13" x14ac:dyDescent="0.25">
      <c r="A4175" t="s">
        <v>1952</v>
      </c>
      <c r="B4175" t="s">
        <v>35</v>
      </c>
      <c r="C4175" t="s">
        <v>14</v>
      </c>
      <c r="D4175" t="s">
        <v>46</v>
      </c>
      <c r="E4175">
        <v>23</v>
      </c>
      <c r="F4175">
        <v>0.09</v>
      </c>
      <c r="G4175">
        <v>50</v>
      </c>
      <c r="H4175" s="1">
        <v>43941</v>
      </c>
      <c r="I4175">
        <v>2020</v>
      </c>
      <c r="J4175">
        <v>4</v>
      </c>
      <c r="K4175" t="s">
        <v>30</v>
      </c>
      <c r="L4175">
        <v>0</v>
      </c>
      <c r="M4175">
        <v>1</v>
      </c>
    </row>
    <row r="4176" spans="1:13" x14ac:dyDescent="0.25">
      <c r="A4176" t="s">
        <v>573</v>
      </c>
      <c r="B4176" t="s">
        <v>35</v>
      </c>
      <c r="C4176" t="s">
        <v>14</v>
      </c>
      <c r="D4176" t="s">
        <v>46</v>
      </c>
      <c r="E4176">
        <v>10</v>
      </c>
      <c r="F4176">
        <v>0.03</v>
      </c>
      <c r="G4176">
        <v>100</v>
      </c>
      <c r="H4176" s="1">
        <v>43941</v>
      </c>
      <c r="I4176">
        <v>2020</v>
      </c>
      <c r="J4176">
        <v>4</v>
      </c>
      <c r="K4176" t="s">
        <v>36</v>
      </c>
      <c r="L4176">
        <v>0</v>
      </c>
      <c r="M4176">
        <v>1</v>
      </c>
    </row>
    <row r="4177" spans="1:13" x14ac:dyDescent="0.25">
      <c r="A4177" t="s">
        <v>2853</v>
      </c>
      <c r="B4177" t="s">
        <v>73</v>
      </c>
      <c r="C4177" t="s">
        <v>14</v>
      </c>
      <c r="D4177" t="s">
        <v>33</v>
      </c>
      <c r="E4177" t="s">
        <v>21</v>
      </c>
      <c r="F4177">
        <v>0.6</v>
      </c>
      <c r="G4177">
        <v>40.5</v>
      </c>
      <c r="H4177" s="1">
        <v>43941</v>
      </c>
      <c r="I4177">
        <v>2020</v>
      </c>
      <c r="J4177">
        <v>4</v>
      </c>
      <c r="K4177" t="s">
        <v>30</v>
      </c>
      <c r="L4177">
        <v>0</v>
      </c>
      <c r="M4177">
        <v>1</v>
      </c>
    </row>
    <row r="4178" spans="1:13" x14ac:dyDescent="0.25">
      <c r="A4178" t="s">
        <v>2854</v>
      </c>
      <c r="B4178" t="s">
        <v>77</v>
      </c>
      <c r="C4178" t="s">
        <v>14</v>
      </c>
      <c r="D4178" t="s">
        <v>111</v>
      </c>
      <c r="E4178" t="s">
        <v>21</v>
      </c>
      <c r="F4178">
        <v>1</v>
      </c>
      <c r="G4178">
        <v>126</v>
      </c>
      <c r="H4178" s="1">
        <v>43939</v>
      </c>
      <c r="I4178">
        <v>2020</v>
      </c>
      <c r="J4178">
        <v>4</v>
      </c>
      <c r="K4178" t="s">
        <v>36</v>
      </c>
      <c r="L4178">
        <v>1</v>
      </c>
      <c r="M4178">
        <v>1</v>
      </c>
    </row>
    <row r="4179" spans="1:13" x14ac:dyDescent="0.25">
      <c r="A4179" t="s">
        <v>2855</v>
      </c>
      <c r="B4179" t="s">
        <v>117</v>
      </c>
      <c r="C4179" t="s">
        <v>48</v>
      </c>
      <c r="D4179" t="s">
        <v>55</v>
      </c>
      <c r="E4179">
        <v>200</v>
      </c>
      <c r="F4179" t="s">
        <v>21</v>
      </c>
      <c r="G4179">
        <v>293</v>
      </c>
      <c r="H4179" s="1">
        <v>43938</v>
      </c>
      <c r="I4179">
        <v>2020</v>
      </c>
      <c r="J4179">
        <v>4</v>
      </c>
      <c r="K4179" t="s">
        <v>36</v>
      </c>
      <c r="L4179" t="s">
        <v>21</v>
      </c>
      <c r="M4179">
        <v>1</v>
      </c>
    </row>
    <row r="4180" spans="1:13" x14ac:dyDescent="0.25">
      <c r="A4180" t="s">
        <v>2856</v>
      </c>
      <c r="B4180" t="s">
        <v>106</v>
      </c>
      <c r="C4180" t="s">
        <v>230</v>
      </c>
      <c r="D4180" t="s">
        <v>55</v>
      </c>
      <c r="E4180">
        <v>140</v>
      </c>
      <c r="F4180">
        <v>0.35</v>
      </c>
      <c r="G4180">
        <v>37</v>
      </c>
      <c r="H4180" s="1">
        <v>43938</v>
      </c>
      <c r="I4180">
        <v>2020</v>
      </c>
      <c r="J4180">
        <v>4</v>
      </c>
      <c r="K4180" t="s">
        <v>30</v>
      </c>
      <c r="L4180">
        <v>0</v>
      </c>
      <c r="M4180">
        <v>1</v>
      </c>
    </row>
    <row r="4181" spans="1:13" x14ac:dyDescent="0.25">
      <c r="A4181" t="s">
        <v>1503</v>
      </c>
      <c r="B4181" t="s">
        <v>45</v>
      </c>
      <c r="C4181" t="s">
        <v>14</v>
      </c>
      <c r="D4181" t="s">
        <v>55</v>
      </c>
      <c r="E4181">
        <v>120</v>
      </c>
      <c r="F4181">
        <v>0.28000000000000003</v>
      </c>
      <c r="G4181">
        <v>110</v>
      </c>
      <c r="H4181" s="1">
        <v>43938</v>
      </c>
      <c r="I4181">
        <v>2020</v>
      </c>
      <c r="J4181">
        <v>4</v>
      </c>
      <c r="K4181" t="s">
        <v>36</v>
      </c>
      <c r="L4181">
        <v>0</v>
      </c>
      <c r="M4181">
        <v>1</v>
      </c>
    </row>
    <row r="4182" spans="1:13" x14ac:dyDescent="0.25">
      <c r="A4182" t="s">
        <v>2610</v>
      </c>
      <c r="B4182" t="s">
        <v>91</v>
      </c>
      <c r="C4182" t="s">
        <v>230</v>
      </c>
      <c r="D4182" t="s">
        <v>55</v>
      </c>
      <c r="E4182">
        <v>88</v>
      </c>
      <c r="F4182">
        <v>0.08</v>
      </c>
      <c r="G4182">
        <v>335</v>
      </c>
      <c r="H4182" s="1">
        <v>43938</v>
      </c>
      <c r="I4182">
        <v>2020</v>
      </c>
      <c r="J4182">
        <v>4</v>
      </c>
      <c r="K4182" t="s">
        <v>36</v>
      </c>
      <c r="L4182">
        <v>0</v>
      </c>
      <c r="M4182">
        <v>1</v>
      </c>
    </row>
    <row r="4183" spans="1:13" x14ac:dyDescent="0.25">
      <c r="A4183" t="s">
        <v>1626</v>
      </c>
      <c r="B4183" t="s">
        <v>91</v>
      </c>
      <c r="C4183" t="s">
        <v>230</v>
      </c>
      <c r="D4183" t="s">
        <v>46</v>
      </c>
      <c r="E4183">
        <v>47</v>
      </c>
      <c r="F4183">
        <v>0.1</v>
      </c>
      <c r="G4183">
        <v>263</v>
      </c>
      <c r="H4183" s="1">
        <v>43938</v>
      </c>
      <c r="I4183">
        <v>2020</v>
      </c>
      <c r="J4183">
        <v>4</v>
      </c>
      <c r="K4183" t="s">
        <v>36</v>
      </c>
      <c r="L4183">
        <v>0</v>
      </c>
      <c r="M4183">
        <v>1</v>
      </c>
    </row>
    <row r="4184" spans="1:13" x14ac:dyDescent="0.25">
      <c r="A4184" t="s">
        <v>2715</v>
      </c>
      <c r="B4184" t="s">
        <v>24</v>
      </c>
      <c r="C4184" t="s">
        <v>64</v>
      </c>
      <c r="D4184" t="s">
        <v>55</v>
      </c>
      <c r="E4184">
        <v>44</v>
      </c>
      <c r="F4184">
        <v>0.05</v>
      </c>
      <c r="G4184">
        <v>307</v>
      </c>
      <c r="H4184" s="1">
        <v>43938</v>
      </c>
      <c r="I4184">
        <v>2020</v>
      </c>
      <c r="J4184">
        <v>4</v>
      </c>
      <c r="K4184" t="s">
        <v>36</v>
      </c>
      <c r="L4184">
        <v>0</v>
      </c>
      <c r="M4184">
        <v>1</v>
      </c>
    </row>
    <row r="4185" spans="1:13" x14ac:dyDescent="0.25">
      <c r="A4185" t="s">
        <v>2857</v>
      </c>
      <c r="B4185" t="s">
        <v>106</v>
      </c>
      <c r="C4185" t="s">
        <v>87</v>
      </c>
      <c r="D4185" t="s">
        <v>33</v>
      </c>
      <c r="E4185">
        <v>40</v>
      </c>
      <c r="F4185" t="s">
        <v>21</v>
      </c>
      <c r="G4185">
        <v>34</v>
      </c>
      <c r="H4185" s="1">
        <v>43938</v>
      </c>
      <c r="I4185">
        <v>2020</v>
      </c>
      <c r="J4185">
        <v>4</v>
      </c>
      <c r="K4185" t="s">
        <v>30</v>
      </c>
      <c r="L4185" t="s">
        <v>21</v>
      </c>
      <c r="M4185">
        <v>1</v>
      </c>
    </row>
    <row r="4186" spans="1:13" x14ac:dyDescent="0.25">
      <c r="A4186" t="s">
        <v>2333</v>
      </c>
      <c r="B4186" t="s">
        <v>95</v>
      </c>
      <c r="C4186" t="s">
        <v>14</v>
      </c>
      <c r="D4186" t="s">
        <v>518</v>
      </c>
      <c r="E4186">
        <v>35</v>
      </c>
      <c r="F4186">
        <v>0.1</v>
      </c>
      <c r="G4186">
        <v>478</v>
      </c>
      <c r="H4186" s="1">
        <v>43938</v>
      </c>
      <c r="I4186">
        <v>2020</v>
      </c>
      <c r="J4186">
        <v>4</v>
      </c>
      <c r="K4186" t="s">
        <v>36</v>
      </c>
      <c r="L4186">
        <v>0</v>
      </c>
      <c r="M4186">
        <v>1</v>
      </c>
    </row>
    <row r="4187" spans="1:13" x14ac:dyDescent="0.25">
      <c r="A4187" t="s">
        <v>2389</v>
      </c>
      <c r="B4187" t="s">
        <v>54</v>
      </c>
      <c r="C4187" t="s">
        <v>14</v>
      </c>
      <c r="D4187" t="s">
        <v>46</v>
      </c>
      <c r="E4187">
        <v>30</v>
      </c>
      <c r="F4187">
        <v>0.18</v>
      </c>
      <c r="G4187">
        <v>100</v>
      </c>
      <c r="H4187" s="1">
        <v>43938</v>
      </c>
      <c r="I4187">
        <v>2020</v>
      </c>
      <c r="J4187">
        <v>4</v>
      </c>
      <c r="K4187" t="s">
        <v>36</v>
      </c>
      <c r="L4187">
        <v>0</v>
      </c>
      <c r="M4187">
        <v>1</v>
      </c>
    </row>
    <row r="4188" spans="1:13" x14ac:dyDescent="0.25">
      <c r="A4188" t="s">
        <v>2858</v>
      </c>
      <c r="B4188" t="s">
        <v>28</v>
      </c>
      <c r="C4188" t="s">
        <v>14</v>
      </c>
      <c r="D4188" t="s">
        <v>22</v>
      </c>
      <c r="E4188">
        <v>13</v>
      </c>
      <c r="F4188">
        <v>0.37</v>
      </c>
      <c r="G4188">
        <v>1</v>
      </c>
      <c r="H4188" s="1">
        <v>43938</v>
      </c>
      <c r="I4188">
        <v>2020</v>
      </c>
      <c r="J4188">
        <v>4</v>
      </c>
      <c r="K4188" t="s">
        <v>16</v>
      </c>
      <c r="L4188">
        <v>0</v>
      </c>
      <c r="M4188">
        <v>1</v>
      </c>
    </row>
    <row r="4189" spans="1:13" x14ac:dyDescent="0.25">
      <c r="A4189" t="s">
        <v>51</v>
      </c>
      <c r="B4189" t="s">
        <v>52</v>
      </c>
      <c r="C4189" t="s">
        <v>14</v>
      </c>
      <c r="D4189" t="s">
        <v>33</v>
      </c>
      <c r="E4189" t="s">
        <v>21</v>
      </c>
      <c r="F4189">
        <v>0.12</v>
      </c>
      <c r="G4189">
        <v>69</v>
      </c>
      <c r="H4189" s="1">
        <v>43938</v>
      </c>
      <c r="I4189">
        <v>2020</v>
      </c>
      <c r="J4189">
        <v>4</v>
      </c>
      <c r="K4189" t="s">
        <v>30</v>
      </c>
      <c r="L4189">
        <v>0</v>
      </c>
      <c r="M4189">
        <v>1</v>
      </c>
    </row>
    <row r="4190" spans="1:13" x14ac:dyDescent="0.25">
      <c r="A4190" t="s">
        <v>2859</v>
      </c>
      <c r="B4190" t="s">
        <v>13</v>
      </c>
      <c r="C4190" t="s">
        <v>14</v>
      </c>
      <c r="D4190" t="s">
        <v>68</v>
      </c>
      <c r="E4190" t="s">
        <v>21</v>
      </c>
      <c r="F4190">
        <v>0.38</v>
      </c>
      <c r="G4190">
        <v>18</v>
      </c>
      <c r="H4190" s="1">
        <v>43938</v>
      </c>
      <c r="I4190">
        <v>2020</v>
      </c>
      <c r="J4190">
        <v>4</v>
      </c>
      <c r="K4190" t="s">
        <v>30</v>
      </c>
      <c r="L4190">
        <v>0</v>
      </c>
      <c r="M4190">
        <v>1</v>
      </c>
    </row>
    <row r="4191" spans="1:13" x14ac:dyDescent="0.25">
      <c r="A4191" t="s">
        <v>2552</v>
      </c>
      <c r="B4191" t="s">
        <v>95</v>
      </c>
      <c r="C4191" t="s">
        <v>14</v>
      </c>
      <c r="D4191" t="s">
        <v>20</v>
      </c>
      <c r="E4191" t="s">
        <v>21</v>
      </c>
      <c r="F4191" t="s">
        <v>21</v>
      </c>
      <c r="G4191">
        <v>96</v>
      </c>
      <c r="H4191" s="1">
        <v>43938</v>
      </c>
      <c r="I4191">
        <v>2020</v>
      </c>
      <c r="J4191">
        <v>4</v>
      </c>
      <c r="K4191" t="s">
        <v>30</v>
      </c>
      <c r="L4191" t="s">
        <v>21</v>
      </c>
      <c r="M4191">
        <v>0</v>
      </c>
    </row>
    <row r="4192" spans="1:13" x14ac:dyDescent="0.25">
      <c r="A4192" t="s">
        <v>2860</v>
      </c>
      <c r="B4192" t="s">
        <v>54</v>
      </c>
      <c r="C4192" t="s">
        <v>174</v>
      </c>
      <c r="D4192" t="s">
        <v>22</v>
      </c>
      <c r="E4192" t="s">
        <v>21</v>
      </c>
      <c r="F4192" t="s">
        <v>21</v>
      </c>
      <c r="G4192">
        <v>59</v>
      </c>
      <c r="H4192" s="1">
        <v>43938</v>
      </c>
      <c r="I4192">
        <v>2020</v>
      </c>
      <c r="J4192">
        <v>4</v>
      </c>
      <c r="K4192" t="s">
        <v>30</v>
      </c>
      <c r="L4192" t="s">
        <v>21</v>
      </c>
      <c r="M4192">
        <v>0</v>
      </c>
    </row>
    <row r="4193" spans="1:13" x14ac:dyDescent="0.25">
      <c r="A4193" t="s">
        <v>2861</v>
      </c>
      <c r="B4193" t="s">
        <v>66</v>
      </c>
      <c r="C4193" t="s">
        <v>14</v>
      </c>
      <c r="D4193" t="s">
        <v>15</v>
      </c>
      <c r="E4193">
        <v>130</v>
      </c>
      <c r="F4193">
        <v>0.13</v>
      </c>
      <c r="G4193">
        <v>1</v>
      </c>
      <c r="H4193" s="1">
        <v>43937</v>
      </c>
      <c r="I4193">
        <v>2020</v>
      </c>
      <c r="J4193">
        <v>4</v>
      </c>
      <c r="K4193" t="s">
        <v>16</v>
      </c>
      <c r="L4193">
        <v>0</v>
      </c>
      <c r="M4193">
        <v>1</v>
      </c>
    </row>
    <row r="4194" spans="1:13" x14ac:dyDescent="0.25">
      <c r="A4194" t="s">
        <v>2862</v>
      </c>
      <c r="B4194" t="s">
        <v>77</v>
      </c>
      <c r="C4194" t="s">
        <v>64</v>
      </c>
      <c r="D4194" t="s">
        <v>33</v>
      </c>
      <c r="E4194">
        <v>65</v>
      </c>
      <c r="F4194">
        <v>0.18</v>
      </c>
      <c r="G4194">
        <v>42</v>
      </c>
      <c r="H4194" s="1">
        <v>43937</v>
      </c>
      <c r="I4194">
        <v>2020</v>
      </c>
      <c r="J4194">
        <v>4</v>
      </c>
      <c r="K4194" t="s">
        <v>30</v>
      </c>
      <c r="L4194">
        <v>0</v>
      </c>
      <c r="M4194">
        <v>1</v>
      </c>
    </row>
    <row r="4195" spans="1:13" x14ac:dyDescent="0.25">
      <c r="A4195" t="s">
        <v>2863</v>
      </c>
      <c r="B4195" t="s">
        <v>54</v>
      </c>
      <c r="C4195" t="s">
        <v>48</v>
      </c>
      <c r="D4195" t="s">
        <v>46</v>
      </c>
      <c r="E4195">
        <v>60</v>
      </c>
      <c r="F4195">
        <v>0.2</v>
      </c>
      <c r="G4195">
        <v>76</v>
      </c>
      <c r="H4195" s="1">
        <v>43937</v>
      </c>
      <c r="I4195">
        <v>2020</v>
      </c>
      <c r="J4195">
        <v>4</v>
      </c>
      <c r="K4195" t="s">
        <v>30</v>
      </c>
      <c r="L4195">
        <v>0</v>
      </c>
      <c r="M4195">
        <v>1</v>
      </c>
    </row>
    <row r="4196" spans="1:13" x14ac:dyDescent="0.25">
      <c r="A4196" t="s">
        <v>2864</v>
      </c>
      <c r="B4196" t="s">
        <v>54</v>
      </c>
      <c r="C4196" t="s">
        <v>174</v>
      </c>
      <c r="D4196" t="s">
        <v>68</v>
      </c>
      <c r="E4196" t="s">
        <v>21</v>
      </c>
      <c r="F4196" t="s">
        <v>21</v>
      </c>
      <c r="G4196">
        <v>11</v>
      </c>
      <c r="H4196" s="1">
        <v>43937</v>
      </c>
      <c r="I4196">
        <v>2020</v>
      </c>
      <c r="J4196">
        <v>4</v>
      </c>
      <c r="K4196" t="s">
        <v>30</v>
      </c>
      <c r="L4196" t="s">
        <v>21</v>
      </c>
      <c r="M4196">
        <v>0</v>
      </c>
    </row>
    <row r="4197" spans="1:13" x14ac:dyDescent="0.25">
      <c r="A4197" t="s">
        <v>977</v>
      </c>
      <c r="B4197" t="s">
        <v>54</v>
      </c>
      <c r="C4197" t="s">
        <v>14</v>
      </c>
      <c r="D4197" t="s">
        <v>46</v>
      </c>
      <c r="E4197" t="s">
        <v>21</v>
      </c>
      <c r="F4197" t="s">
        <v>21</v>
      </c>
      <c r="G4197">
        <v>59</v>
      </c>
      <c r="H4197" s="1">
        <v>43937</v>
      </c>
      <c r="I4197">
        <v>2020</v>
      </c>
      <c r="J4197">
        <v>4</v>
      </c>
      <c r="K4197" t="s">
        <v>30</v>
      </c>
      <c r="L4197" t="s">
        <v>21</v>
      </c>
      <c r="M4197">
        <v>0</v>
      </c>
    </row>
    <row r="4198" spans="1:13" x14ac:dyDescent="0.25">
      <c r="A4198" t="s">
        <v>2865</v>
      </c>
      <c r="B4198" t="s">
        <v>24</v>
      </c>
      <c r="C4198" t="s">
        <v>14</v>
      </c>
      <c r="D4198" t="s">
        <v>68</v>
      </c>
      <c r="E4198" t="s">
        <v>21</v>
      </c>
      <c r="F4198" t="s">
        <v>21</v>
      </c>
      <c r="G4198">
        <v>16</v>
      </c>
      <c r="H4198" s="1">
        <v>43937</v>
      </c>
      <c r="I4198">
        <v>2020</v>
      </c>
      <c r="J4198">
        <v>4</v>
      </c>
      <c r="K4198" t="s">
        <v>30</v>
      </c>
      <c r="L4198" t="s">
        <v>21</v>
      </c>
      <c r="M4198">
        <v>0</v>
      </c>
    </row>
    <row r="4199" spans="1:13" x14ac:dyDescent="0.25">
      <c r="A4199" t="s">
        <v>2866</v>
      </c>
      <c r="B4199" t="s">
        <v>54</v>
      </c>
      <c r="C4199" t="s">
        <v>14</v>
      </c>
      <c r="D4199" t="s">
        <v>22</v>
      </c>
      <c r="E4199" t="s">
        <v>21</v>
      </c>
      <c r="F4199" t="s">
        <v>21</v>
      </c>
      <c r="G4199" t="s">
        <v>21</v>
      </c>
      <c r="H4199" s="1">
        <v>43937</v>
      </c>
      <c r="I4199">
        <v>2020</v>
      </c>
      <c r="J4199">
        <v>4</v>
      </c>
      <c r="K4199" t="s">
        <v>22</v>
      </c>
      <c r="L4199" t="s">
        <v>21</v>
      </c>
      <c r="M4199">
        <v>0</v>
      </c>
    </row>
    <row r="4200" spans="1:13" x14ac:dyDescent="0.25">
      <c r="A4200" t="s">
        <v>2867</v>
      </c>
      <c r="B4200" t="s">
        <v>52</v>
      </c>
      <c r="C4200" t="s">
        <v>14</v>
      </c>
      <c r="D4200" t="s">
        <v>49</v>
      </c>
      <c r="E4200" t="s">
        <v>21</v>
      </c>
      <c r="F4200">
        <v>1</v>
      </c>
      <c r="G4200">
        <v>1</v>
      </c>
      <c r="H4200" s="1">
        <v>43937</v>
      </c>
      <c r="I4200">
        <v>2020</v>
      </c>
      <c r="J4200">
        <v>4</v>
      </c>
      <c r="K4200" t="s">
        <v>16</v>
      </c>
      <c r="L4200">
        <v>1</v>
      </c>
      <c r="M4200">
        <v>1</v>
      </c>
    </row>
    <row r="4201" spans="1:13" x14ac:dyDescent="0.25">
      <c r="A4201" t="s">
        <v>2868</v>
      </c>
      <c r="B4201" t="s">
        <v>91</v>
      </c>
      <c r="C4201" t="s">
        <v>14</v>
      </c>
      <c r="D4201" t="s">
        <v>68</v>
      </c>
      <c r="E4201" t="s">
        <v>21</v>
      </c>
      <c r="F4201" t="s">
        <v>21</v>
      </c>
      <c r="G4201">
        <v>2</v>
      </c>
      <c r="H4201" s="1">
        <v>43937</v>
      </c>
      <c r="I4201">
        <v>2020</v>
      </c>
      <c r="J4201">
        <v>4</v>
      </c>
      <c r="K4201" t="s">
        <v>16</v>
      </c>
      <c r="L4201" t="s">
        <v>21</v>
      </c>
      <c r="M4201">
        <v>0</v>
      </c>
    </row>
    <row r="4202" spans="1:13" x14ac:dyDescent="0.25">
      <c r="A4202" t="s">
        <v>90</v>
      </c>
      <c r="B4202" t="s">
        <v>91</v>
      </c>
      <c r="C4202" t="s">
        <v>14</v>
      </c>
      <c r="D4202" t="s">
        <v>111</v>
      </c>
      <c r="E4202">
        <v>600</v>
      </c>
      <c r="F4202">
        <v>0.35</v>
      </c>
      <c r="G4202">
        <v>1500</v>
      </c>
      <c r="H4202" s="1">
        <v>43936</v>
      </c>
      <c r="I4202">
        <v>2020</v>
      </c>
      <c r="J4202">
        <v>4</v>
      </c>
      <c r="K4202" t="s">
        <v>26</v>
      </c>
      <c r="L4202">
        <v>0</v>
      </c>
      <c r="M4202">
        <v>1</v>
      </c>
    </row>
    <row r="4203" spans="1:13" x14ac:dyDescent="0.25">
      <c r="A4203" t="s">
        <v>203</v>
      </c>
      <c r="B4203" t="s">
        <v>18</v>
      </c>
      <c r="C4203" t="s">
        <v>14</v>
      </c>
      <c r="D4203" t="s">
        <v>15</v>
      </c>
      <c r="E4203">
        <v>200</v>
      </c>
      <c r="F4203">
        <v>0.2</v>
      </c>
      <c r="G4203">
        <v>288</v>
      </c>
      <c r="H4203" s="1">
        <v>43936</v>
      </c>
      <c r="I4203">
        <v>2020</v>
      </c>
      <c r="J4203">
        <v>4</v>
      </c>
      <c r="K4203" t="s">
        <v>36</v>
      </c>
      <c r="L4203">
        <v>0</v>
      </c>
      <c r="M4203">
        <v>1</v>
      </c>
    </row>
    <row r="4204" spans="1:13" x14ac:dyDescent="0.25">
      <c r="A4204" t="s">
        <v>2869</v>
      </c>
      <c r="B4204" t="s">
        <v>24</v>
      </c>
      <c r="C4204" t="s">
        <v>48</v>
      </c>
      <c r="D4204" t="s">
        <v>46</v>
      </c>
      <c r="E4204">
        <v>200</v>
      </c>
      <c r="F4204">
        <v>0.4</v>
      </c>
      <c r="G4204">
        <v>19</v>
      </c>
      <c r="H4204" s="1">
        <v>43936</v>
      </c>
      <c r="I4204">
        <v>2020</v>
      </c>
      <c r="J4204">
        <v>4</v>
      </c>
      <c r="K4204" t="s">
        <v>30</v>
      </c>
      <c r="L4204">
        <v>0</v>
      </c>
      <c r="M4204">
        <v>1</v>
      </c>
    </row>
    <row r="4205" spans="1:13" x14ac:dyDescent="0.25">
      <c r="A4205" t="s">
        <v>1424</v>
      </c>
      <c r="B4205" t="s">
        <v>95</v>
      </c>
      <c r="C4205" t="s">
        <v>14</v>
      </c>
      <c r="D4205" t="s">
        <v>22</v>
      </c>
      <c r="E4205">
        <v>200</v>
      </c>
      <c r="F4205">
        <v>0.67</v>
      </c>
      <c r="G4205">
        <v>423</v>
      </c>
      <c r="H4205" s="1">
        <v>43936</v>
      </c>
      <c r="I4205">
        <v>2020</v>
      </c>
      <c r="J4205">
        <v>4</v>
      </c>
      <c r="K4205" t="s">
        <v>36</v>
      </c>
      <c r="L4205">
        <v>0</v>
      </c>
      <c r="M4205">
        <v>1</v>
      </c>
    </row>
    <row r="4206" spans="1:13" x14ac:dyDescent="0.25">
      <c r="A4206" t="s">
        <v>1069</v>
      </c>
      <c r="B4206" t="s">
        <v>77</v>
      </c>
      <c r="C4206" t="s">
        <v>14</v>
      </c>
      <c r="D4206" t="s">
        <v>111</v>
      </c>
      <c r="E4206">
        <v>161</v>
      </c>
      <c r="F4206">
        <v>0.16</v>
      </c>
      <c r="G4206">
        <v>447</v>
      </c>
      <c r="H4206" s="1">
        <v>43936</v>
      </c>
      <c r="I4206">
        <v>2020</v>
      </c>
      <c r="J4206">
        <v>4</v>
      </c>
      <c r="K4206" t="s">
        <v>36</v>
      </c>
      <c r="L4206">
        <v>0</v>
      </c>
      <c r="M4206">
        <v>1</v>
      </c>
    </row>
    <row r="4207" spans="1:13" x14ac:dyDescent="0.25">
      <c r="A4207" t="s">
        <v>2870</v>
      </c>
      <c r="B4207" t="s">
        <v>77</v>
      </c>
      <c r="C4207" t="s">
        <v>25</v>
      </c>
      <c r="D4207" t="s">
        <v>55</v>
      </c>
      <c r="E4207">
        <v>100</v>
      </c>
      <c r="F4207" t="s">
        <v>21</v>
      </c>
      <c r="G4207">
        <v>160</v>
      </c>
      <c r="H4207" s="1">
        <v>43936</v>
      </c>
      <c r="I4207">
        <v>2020</v>
      </c>
      <c r="J4207">
        <v>4</v>
      </c>
      <c r="K4207" t="s">
        <v>36</v>
      </c>
      <c r="L4207" t="s">
        <v>21</v>
      </c>
      <c r="M4207">
        <v>1</v>
      </c>
    </row>
    <row r="4208" spans="1:13" x14ac:dyDescent="0.25">
      <c r="A4208" t="s">
        <v>2871</v>
      </c>
      <c r="B4208" t="s">
        <v>40</v>
      </c>
      <c r="C4208" t="s">
        <v>14</v>
      </c>
      <c r="D4208" t="s">
        <v>46</v>
      </c>
      <c r="E4208">
        <v>40</v>
      </c>
      <c r="F4208">
        <v>0.25</v>
      </c>
      <c r="G4208">
        <v>72</v>
      </c>
      <c r="H4208" s="1">
        <v>43936</v>
      </c>
      <c r="I4208">
        <v>2020</v>
      </c>
      <c r="J4208">
        <v>4</v>
      </c>
      <c r="K4208" t="s">
        <v>30</v>
      </c>
      <c r="L4208">
        <v>0</v>
      </c>
      <c r="M4208">
        <v>1</v>
      </c>
    </row>
    <row r="4209" spans="1:13" x14ac:dyDescent="0.25">
      <c r="A4209" t="s">
        <v>2872</v>
      </c>
      <c r="B4209" t="s">
        <v>66</v>
      </c>
      <c r="C4209" t="s">
        <v>14</v>
      </c>
      <c r="D4209" t="s">
        <v>68</v>
      </c>
      <c r="E4209">
        <v>15</v>
      </c>
      <c r="F4209">
        <v>0.2</v>
      </c>
      <c r="G4209">
        <v>40</v>
      </c>
      <c r="H4209" s="1">
        <v>43936</v>
      </c>
      <c r="I4209">
        <v>2020</v>
      </c>
      <c r="J4209">
        <v>4</v>
      </c>
      <c r="K4209" t="s">
        <v>30</v>
      </c>
      <c r="L4209">
        <v>0</v>
      </c>
      <c r="M4209">
        <v>1</v>
      </c>
    </row>
    <row r="4210" spans="1:13" x14ac:dyDescent="0.25">
      <c r="A4210" t="s">
        <v>1048</v>
      </c>
      <c r="B4210" t="s">
        <v>24</v>
      </c>
      <c r="C4210" t="s">
        <v>174</v>
      </c>
      <c r="D4210" t="s">
        <v>33</v>
      </c>
      <c r="E4210">
        <v>14</v>
      </c>
      <c r="F4210" t="s">
        <v>21</v>
      </c>
      <c r="G4210">
        <v>51</v>
      </c>
      <c r="H4210" s="1">
        <v>43936</v>
      </c>
      <c r="I4210">
        <v>2020</v>
      </c>
      <c r="J4210">
        <v>4</v>
      </c>
      <c r="K4210" t="s">
        <v>30</v>
      </c>
      <c r="L4210" t="s">
        <v>21</v>
      </c>
      <c r="M4210">
        <v>1</v>
      </c>
    </row>
    <row r="4211" spans="1:13" x14ac:dyDescent="0.25">
      <c r="A4211" t="s">
        <v>920</v>
      </c>
      <c r="B4211" t="s">
        <v>24</v>
      </c>
      <c r="C4211" t="s">
        <v>14</v>
      </c>
      <c r="D4211" t="s">
        <v>46</v>
      </c>
      <c r="E4211">
        <v>13</v>
      </c>
      <c r="F4211" t="s">
        <v>21</v>
      </c>
      <c r="G4211">
        <v>34</v>
      </c>
      <c r="H4211" s="1">
        <v>43936</v>
      </c>
      <c r="I4211">
        <v>2020</v>
      </c>
      <c r="J4211">
        <v>4</v>
      </c>
      <c r="K4211" t="s">
        <v>30</v>
      </c>
      <c r="L4211" t="s">
        <v>21</v>
      </c>
      <c r="M4211">
        <v>1</v>
      </c>
    </row>
    <row r="4212" spans="1:13" x14ac:dyDescent="0.25">
      <c r="A4212" t="s">
        <v>2873</v>
      </c>
      <c r="B4212" t="s">
        <v>13</v>
      </c>
      <c r="C4212" t="s">
        <v>14</v>
      </c>
      <c r="D4212" t="s">
        <v>20</v>
      </c>
      <c r="E4212" t="s">
        <v>21</v>
      </c>
      <c r="F4212">
        <v>0.2</v>
      </c>
      <c r="G4212">
        <v>100</v>
      </c>
      <c r="H4212" s="1">
        <v>43936</v>
      </c>
      <c r="I4212">
        <v>2020</v>
      </c>
      <c r="J4212">
        <v>4</v>
      </c>
      <c r="K4212" t="s">
        <v>36</v>
      </c>
      <c r="L4212">
        <v>0</v>
      </c>
      <c r="M4212">
        <v>1</v>
      </c>
    </row>
    <row r="4213" spans="1:13" x14ac:dyDescent="0.25">
      <c r="A4213" t="s">
        <v>2874</v>
      </c>
      <c r="B4213" t="s">
        <v>18</v>
      </c>
      <c r="C4213" t="s">
        <v>25</v>
      </c>
      <c r="D4213" t="s">
        <v>68</v>
      </c>
      <c r="E4213" t="s">
        <v>21</v>
      </c>
      <c r="F4213">
        <v>0.3</v>
      </c>
      <c r="G4213">
        <v>7</v>
      </c>
      <c r="H4213" s="1">
        <v>43936</v>
      </c>
      <c r="I4213">
        <v>2020</v>
      </c>
      <c r="J4213">
        <v>4</v>
      </c>
      <c r="K4213" t="s">
        <v>16</v>
      </c>
      <c r="L4213">
        <v>0</v>
      </c>
      <c r="M4213">
        <v>1</v>
      </c>
    </row>
    <row r="4214" spans="1:13" x14ac:dyDescent="0.25">
      <c r="A4214" t="s">
        <v>1560</v>
      </c>
      <c r="B4214" t="s">
        <v>217</v>
      </c>
      <c r="C4214" t="s">
        <v>14</v>
      </c>
      <c r="D4214" t="s">
        <v>347</v>
      </c>
      <c r="E4214" t="s">
        <v>21</v>
      </c>
      <c r="F4214" t="s">
        <v>21</v>
      </c>
      <c r="G4214">
        <v>1800</v>
      </c>
      <c r="H4214" s="1">
        <v>43936</v>
      </c>
      <c r="I4214">
        <v>2020</v>
      </c>
      <c r="J4214">
        <v>4</v>
      </c>
      <c r="K4214" t="s">
        <v>26</v>
      </c>
      <c r="L4214" t="s">
        <v>21</v>
      </c>
      <c r="M4214">
        <v>0</v>
      </c>
    </row>
    <row r="4215" spans="1:13" x14ac:dyDescent="0.25">
      <c r="A4215" t="s">
        <v>1678</v>
      </c>
      <c r="B4215" t="s">
        <v>24</v>
      </c>
      <c r="C4215" t="s">
        <v>14</v>
      </c>
      <c r="D4215" t="s">
        <v>15</v>
      </c>
      <c r="E4215">
        <v>235</v>
      </c>
      <c r="F4215">
        <v>0.1</v>
      </c>
      <c r="G4215">
        <v>358</v>
      </c>
      <c r="H4215" s="1">
        <v>43935</v>
      </c>
      <c r="I4215">
        <v>2020</v>
      </c>
      <c r="J4215">
        <v>4</v>
      </c>
      <c r="K4215" t="s">
        <v>36</v>
      </c>
      <c r="L4215">
        <v>0</v>
      </c>
      <c r="M4215">
        <v>1</v>
      </c>
    </row>
    <row r="4216" spans="1:13" x14ac:dyDescent="0.25">
      <c r="A4216" t="s">
        <v>2875</v>
      </c>
      <c r="B4216" t="s">
        <v>95</v>
      </c>
      <c r="C4216" t="s">
        <v>174</v>
      </c>
      <c r="D4216" t="s">
        <v>111</v>
      </c>
      <c r="E4216">
        <v>131</v>
      </c>
      <c r="F4216">
        <v>0.23</v>
      </c>
      <c r="G4216">
        <v>224</v>
      </c>
      <c r="H4216" s="1">
        <v>43935</v>
      </c>
      <c r="I4216">
        <v>2020</v>
      </c>
      <c r="J4216">
        <v>4</v>
      </c>
      <c r="K4216" t="s">
        <v>36</v>
      </c>
      <c r="L4216">
        <v>0</v>
      </c>
      <c r="M4216">
        <v>1</v>
      </c>
    </row>
    <row r="4217" spans="1:13" x14ac:dyDescent="0.25">
      <c r="A4217" t="s">
        <v>2876</v>
      </c>
      <c r="B4217" t="s">
        <v>40</v>
      </c>
      <c r="C4217" t="s">
        <v>14</v>
      </c>
      <c r="D4217" t="s">
        <v>33</v>
      </c>
      <c r="E4217">
        <v>58</v>
      </c>
      <c r="F4217">
        <v>0.3</v>
      </c>
      <c r="G4217">
        <v>59</v>
      </c>
      <c r="H4217" s="1">
        <v>43935</v>
      </c>
      <c r="I4217">
        <v>2020</v>
      </c>
      <c r="J4217">
        <v>4</v>
      </c>
      <c r="K4217" t="s">
        <v>30</v>
      </c>
      <c r="L4217">
        <v>0</v>
      </c>
      <c r="M4217">
        <v>1</v>
      </c>
    </row>
    <row r="4218" spans="1:13" x14ac:dyDescent="0.25">
      <c r="A4218" t="s">
        <v>310</v>
      </c>
      <c r="B4218" t="s">
        <v>18</v>
      </c>
      <c r="C4218" t="s">
        <v>14</v>
      </c>
      <c r="D4218" t="s">
        <v>33</v>
      </c>
      <c r="E4218">
        <v>45</v>
      </c>
      <c r="F4218">
        <v>0.35</v>
      </c>
      <c r="G4218">
        <v>90</v>
      </c>
      <c r="H4218" s="1">
        <v>43935</v>
      </c>
      <c r="I4218">
        <v>2020</v>
      </c>
      <c r="J4218">
        <v>4</v>
      </c>
      <c r="K4218" t="s">
        <v>30</v>
      </c>
      <c r="L4218">
        <v>0</v>
      </c>
      <c r="M4218">
        <v>1</v>
      </c>
    </row>
    <row r="4219" spans="1:13" x14ac:dyDescent="0.25">
      <c r="A4219" t="s">
        <v>2286</v>
      </c>
      <c r="B4219" t="s">
        <v>18</v>
      </c>
      <c r="C4219" t="s">
        <v>14</v>
      </c>
      <c r="D4219" t="s">
        <v>55</v>
      </c>
      <c r="E4219">
        <v>21</v>
      </c>
      <c r="F4219" t="s">
        <v>21</v>
      </c>
      <c r="G4219">
        <v>132</v>
      </c>
      <c r="H4219" s="1">
        <v>43935</v>
      </c>
      <c r="I4219">
        <v>2020</v>
      </c>
      <c r="J4219">
        <v>4</v>
      </c>
      <c r="K4219" t="s">
        <v>36</v>
      </c>
      <c r="L4219" t="s">
        <v>21</v>
      </c>
      <c r="M4219">
        <v>1</v>
      </c>
    </row>
    <row r="4220" spans="1:13" x14ac:dyDescent="0.25">
      <c r="A4220" t="s">
        <v>2877</v>
      </c>
      <c r="B4220" t="s">
        <v>38</v>
      </c>
      <c r="C4220" t="s">
        <v>14</v>
      </c>
      <c r="D4220" t="s">
        <v>111</v>
      </c>
      <c r="E4220">
        <v>15</v>
      </c>
      <c r="F4220" t="s">
        <v>21</v>
      </c>
      <c r="G4220">
        <v>190</v>
      </c>
      <c r="H4220" s="1">
        <v>43935</v>
      </c>
      <c r="I4220">
        <v>2020</v>
      </c>
      <c r="J4220">
        <v>4</v>
      </c>
      <c r="K4220" t="s">
        <v>36</v>
      </c>
      <c r="L4220" t="s">
        <v>21</v>
      </c>
      <c r="M4220">
        <v>1</v>
      </c>
    </row>
    <row r="4221" spans="1:13" x14ac:dyDescent="0.25">
      <c r="A4221" t="s">
        <v>2878</v>
      </c>
      <c r="B4221" t="s">
        <v>40</v>
      </c>
      <c r="C4221" t="s">
        <v>230</v>
      </c>
      <c r="D4221" t="s">
        <v>22</v>
      </c>
      <c r="E4221">
        <v>10</v>
      </c>
      <c r="F4221" t="s">
        <v>21</v>
      </c>
      <c r="G4221">
        <v>5</v>
      </c>
      <c r="H4221" s="1">
        <v>43935</v>
      </c>
      <c r="I4221">
        <v>2020</v>
      </c>
      <c r="J4221">
        <v>4</v>
      </c>
      <c r="K4221" t="s">
        <v>16</v>
      </c>
      <c r="L4221" t="s">
        <v>21</v>
      </c>
      <c r="M4221">
        <v>1</v>
      </c>
    </row>
    <row r="4222" spans="1:13" x14ac:dyDescent="0.25">
      <c r="A4222" t="s">
        <v>2657</v>
      </c>
      <c r="B4222" t="s">
        <v>77</v>
      </c>
      <c r="C4222" t="s">
        <v>14</v>
      </c>
      <c r="D4222" t="s">
        <v>22</v>
      </c>
      <c r="E4222" t="s">
        <v>21</v>
      </c>
      <c r="F4222" t="s">
        <v>21</v>
      </c>
      <c r="G4222">
        <v>584</v>
      </c>
      <c r="H4222" s="1">
        <v>43935</v>
      </c>
      <c r="I4222">
        <v>2020</v>
      </c>
      <c r="J4222">
        <v>4</v>
      </c>
      <c r="K4222" t="s">
        <v>36</v>
      </c>
      <c r="L4222" t="s">
        <v>21</v>
      </c>
      <c r="M4222">
        <v>0</v>
      </c>
    </row>
    <row r="4223" spans="1:13" x14ac:dyDescent="0.25">
      <c r="A4223" t="s">
        <v>2879</v>
      </c>
      <c r="B4223" t="s">
        <v>73</v>
      </c>
      <c r="C4223" t="s">
        <v>64</v>
      </c>
      <c r="D4223" t="s">
        <v>46</v>
      </c>
      <c r="E4223" t="s">
        <v>21</v>
      </c>
      <c r="F4223" t="s">
        <v>21</v>
      </c>
      <c r="G4223">
        <v>134</v>
      </c>
      <c r="H4223" s="1">
        <v>43935</v>
      </c>
      <c r="I4223">
        <v>2020</v>
      </c>
      <c r="J4223">
        <v>4</v>
      </c>
      <c r="K4223" t="s">
        <v>36</v>
      </c>
      <c r="L4223" t="s">
        <v>21</v>
      </c>
      <c r="M4223">
        <v>0</v>
      </c>
    </row>
    <row r="4224" spans="1:13" x14ac:dyDescent="0.25">
      <c r="A4224" t="s">
        <v>126</v>
      </c>
      <c r="B4224" t="s">
        <v>24</v>
      </c>
      <c r="C4224" t="s">
        <v>14</v>
      </c>
      <c r="D4224" t="s">
        <v>15</v>
      </c>
      <c r="E4224">
        <v>2800</v>
      </c>
      <c r="F4224">
        <v>0.44</v>
      </c>
      <c r="G4224">
        <v>1400</v>
      </c>
      <c r="H4224" s="1">
        <v>43934</v>
      </c>
      <c r="I4224">
        <v>2020</v>
      </c>
      <c r="J4224">
        <v>4</v>
      </c>
      <c r="K4224" t="s">
        <v>26</v>
      </c>
      <c r="L4224">
        <v>0</v>
      </c>
      <c r="M4224">
        <v>1</v>
      </c>
    </row>
    <row r="4225" spans="1:13" x14ac:dyDescent="0.25">
      <c r="A4225" t="s">
        <v>2880</v>
      </c>
      <c r="B4225" t="s">
        <v>66</v>
      </c>
      <c r="C4225" t="s">
        <v>14</v>
      </c>
      <c r="D4225" t="s">
        <v>33</v>
      </c>
      <c r="E4225">
        <v>100</v>
      </c>
      <c r="F4225">
        <v>0.1</v>
      </c>
      <c r="G4225">
        <v>955</v>
      </c>
      <c r="H4225" s="1">
        <v>43934</v>
      </c>
      <c r="I4225">
        <v>2020</v>
      </c>
      <c r="J4225">
        <v>4</v>
      </c>
      <c r="K4225" t="s">
        <v>36</v>
      </c>
      <c r="L4225">
        <v>0</v>
      </c>
      <c r="M4225">
        <v>1</v>
      </c>
    </row>
    <row r="4226" spans="1:13" x14ac:dyDescent="0.25">
      <c r="A4226" t="s">
        <v>1123</v>
      </c>
      <c r="B4226" t="s">
        <v>77</v>
      </c>
      <c r="C4226" t="s">
        <v>230</v>
      </c>
      <c r="D4226" t="s">
        <v>33</v>
      </c>
      <c r="E4226">
        <v>70</v>
      </c>
      <c r="F4226">
        <v>0.1</v>
      </c>
      <c r="G4226">
        <v>120</v>
      </c>
      <c r="H4226" s="1">
        <v>43934</v>
      </c>
      <c r="I4226">
        <v>2020</v>
      </c>
      <c r="J4226">
        <v>4</v>
      </c>
      <c r="K4226" t="s">
        <v>36</v>
      </c>
      <c r="L4226">
        <v>0</v>
      </c>
      <c r="M4226">
        <v>1</v>
      </c>
    </row>
    <row r="4227" spans="1:13" x14ac:dyDescent="0.25">
      <c r="A4227" t="s">
        <v>2881</v>
      </c>
      <c r="B4227" t="s">
        <v>117</v>
      </c>
      <c r="C4227" t="s">
        <v>14</v>
      </c>
      <c r="D4227" t="s">
        <v>68</v>
      </c>
      <c r="E4227">
        <v>50</v>
      </c>
      <c r="F4227">
        <v>0.25</v>
      </c>
      <c r="G4227">
        <v>12</v>
      </c>
      <c r="H4227" s="1">
        <v>43934</v>
      </c>
      <c r="I4227">
        <v>2020</v>
      </c>
      <c r="J4227">
        <v>4</v>
      </c>
      <c r="K4227" t="s">
        <v>30</v>
      </c>
      <c r="L4227">
        <v>0</v>
      </c>
      <c r="M4227">
        <v>1</v>
      </c>
    </row>
    <row r="4228" spans="1:13" x14ac:dyDescent="0.25">
      <c r="A4228" t="s">
        <v>2882</v>
      </c>
      <c r="B4228" t="s">
        <v>77</v>
      </c>
      <c r="C4228" t="s">
        <v>174</v>
      </c>
      <c r="D4228" t="s">
        <v>33</v>
      </c>
      <c r="E4228">
        <v>17</v>
      </c>
      <c r="F4228">
        <v>0.08</v>
      </c>
      <c r="G4228">
        <v>119</v>
      </c>
      <c r="H4228" s="1">
        <v>43934</v>
      </c>
      <c r="I4228">
        <v>2020</v>
      </c>
      <c r="J4228">
        <v>4</v>
      </c>
      <c r="K4228" t="s">
        <v>36</v>
      </c>
      <c r="L4228">
        <v>0</v>
      </c>
      <c r="M4228">
        <v>1</v>
      </c>
    </row>
    <row r="4229" spans="1:13" x14ac:dyDescent="0.25">
      <c r="A4229" t="s">
        <v>1033</v>
      </c>
      <c r="B4229" t="s">
        <v>32</v>
      </c>
      <c r="C4229" t="s">
        <v>14</v>
      </c>
      <c r="D4229" t="s">
        <v>22</v>
      </c>
      <c r="E4229">
        <v>201</v>
      </c>
      <c r="F4229" t="s">
        <v>21</v>
      </c>
      <c r="G4229">
        <v>185</v>
      </c>
      <c r="H4229" s="1">
        <v>43931</v>
      </c>
      <c r="I4229">
        <v>2020</v>
      </c>
      <c r="J4229">
        <v>4</v>
      </c>
      <c r="K4229" t="s">
        <v>36</v>
      </c>
      <c r="L4229" t="s">
        <v>21</v>
      </c>
      <c r="M4229">
        <v>1</v>
      </c>
    </row>
    <row r="4230" spans="1:13" x14ac:dyDescent="0.25">
      <c r="A4230" t="s">
        <v>999</v>
      </c>
      <c r="B4230" t="s">
        <v>73</v>
      </c>
      <c r="C4230" t="s">
        <v>14</v>
      </c>
      <c r="D4230" t="s">
        <v>22</v>
      </c>
      <c r="E4230">
        <v>35</v>
      </c>
      <c r="F4230">
        <v>0.16</v>
      </c>
      <c r="G4230">
        <v>3</v>
      </c>
      <c r="H4230" s="1">
        <v>43931</v>
      </c>
      <c r="I4230">
        <v>2020</v>
      </c>
      <c r="J4230">
        <v>4</v>
      </c>
      <c r="K4230" t="s">
        <v>16</v>
      </c>
      <c r="L4230">
        <v>0</v>
      </c>
      <c r="M4230">
        <v>1</v>
      </c>
    </row>
    <row r="4231" spans="1:13" x14ac:dyDescent="0.25">
      <c r="A4231" t="s">
        <v>2883</v>
      </c>
      <c r="B4231" t="s">
        <v>77</v>
      </c>
      <c r="C4231" t="s">
        <v>230</v>
      </c>
      <c r="D4231" t="s">
        <v>33</v>
      </c>
      <c r="E4231">
        <v>30</v>
      </c>
      <c r="F4231" t="s">
        <v>21</v>
      </c>
      <c r="G4231">
        <v>14</v>
      </c>
      <c r="H4231" s="1">
        <v>43931</v>
      </c>
      <c r="I4231">
        <v>2020</v>
      </c>
      <c r="J4231">
        <v>4</v>
      </c>
      <c r="K4231" t="s">
        <v>30</v>
      </c>
      <c r="L4231" t="s">
        <v>21</v>
      </c>
      <c r="M4231">
        <v>1</v>
      </c>
    </row>
    <row r="4232" spans="1:13" x14ac:dyDescent="0.25">
      <c r="A4232" t="s">
        <v>2212</v>
      </c>
      <c r="B4232" t="s">
        <v>45</v>
      </c>
      <c r="C4232" t="s">
        <v>14</v>
      </c>
      <c r="D4232" t="s">
        <v>46</v>
      </c>
      <c r="E4232">
        <v>28</v>
      </c>
      <c r="F4232" t="s">
        <v>21</v>
      </c>
      <c r="G4232">
        <v>29</v>
      </c>
      <c r="H4232" s="1">
        <v>43931</v>
      </c>
      <c r="I4232">
        <v>2020</v>
      </c>
      <c r="J4232">
        <v>4</v>
      </c>
      <c r="K4232" t="s">
        <v>30</v>
      </c>
      <c r="L4232" t="s">
        <v>21</v>
      </c>
      <c r="M4232">
        <v>1</v>
      </c>
    </row>
    <row r="4233" spans="1:13" x14ac:dyDescent="0.25">
      <c r="A4233" t="s">
        <v>2884</v>
      </c>
      <c r="B4233" t="s">
        <v>38</v>
      </c>
      <c r="C4233" t="s">
        <v>14</v>
      </c>
      <c r="D4233" t="s">
        <v>22</v>
      </c>
      <c r="E4233">
        <v>20</v>
      </c>
      <c r="F4233">
        <v>0.28999999999999998</v>
      </c>
      <c r="G4233">
        <v>85</v>
      </c>
      <c r="H4233" s="1">
        <v>43931</v>
      </c>
      <c r="I4233">
        <v>2020</v>
      </c>
      <c r="J4233">
        <v>4</v>
      </c>
      <c r="K4233" t="s">
        <v>30</v>
      </c>
      <c r="L4233">
        <v>0</v>
      </c>
      <c r="M4233">
        <v>1</v>
      </c>
    </row>
    <row r="4234" spans="1:13" x14ac:dyDescent="0.25">
      <c r="A4234" t="s">
        <v>2885</v>
      </c>
      <c r="B4234" t="s">
        <v>533</v>
      </c>
      <c r="C4234" t="s">
        <v>14</v>
      </c>
      <c r="D4234" t="s">
        <v>33</v>
      </c>
      <c r="E4234">
        <v>16</v>
      </c>
      <c r="F4234">
        <v>0.27</v>
      </c>
      <c r="G4234">
        <v>35</v>
      </c>
      <c r="H4234" s="1">
        <v>43931</v>
      </c>
      <c r="I4234">
        <v>2020</v>
      </c>
      <c r="J4234">
        <v>4</v>
      </c>
      <c r="K4234" t="s">
        <v>30</v>
      </c>
      <c r="L4234">
        <v>0</v>
      </c>
      <c r="M4234">
        <v>1</v>
      </c>
    </row>
    <row r="4235" spans="1:13" x14ac:dyDescent="0.25">
      <c r="A4235" t="s">
        <v>2886</v>
      </c>
      <c r="B4235" t="s">
        <v>140</v>
      </c>
      <c r="C4235" t="s">
        <v>14</v>
      </c>
      <c r="D4235" t="s">
        <v>22</v>
      </c>
      <c r="E4235">
        <v>6</v>
      </c>
      <c r="F4235">
        <v>1</v>
      </c>
      <c r="G4235">
        <v>1</v>
      </c>
      <c r="H4235" s="1">
        <v>43931</v>
      </c>
      <c r="I4235">
        <v>2020</v>
      </c>
      <c r="J4235">
        <v>4</v>
      </c>
      <c r="K4235" t="s">
        <v>16</v>
      </c>
      <c r="L4235">
        <v>1</v>
      </c>
      <c r="M4235">
        <v>1</v>
      </c>
    </row>
    <row r="4236" spans="1:13" x14ac:dyDescent="0.25">
      <c r="A4236" t="s">
        <v>2887</v>
      </c>
      <c r="B4236" t="s">
        <v>32</v>
      </c>
      <c r="C4236" t="s">
        <v>14</v>
      </c>
      <c r="D4236" t="s">
        <v>22</v>
      </c>
      <c r="E4236">
        <v>5</v>
      </c>
      <c r="F4236">
        <v>0.31</v>
      </c>
      <c r="G4236" t="s">
        <v>21</v>
      </c>
      <c r="H4236" s="1">
        <v>43931</v>
      </c>
      <c r="I4236">
        <v>2020</v>
      </c>
      <c r="J4236">
        <v>4</v>
      </c>
      <c r="K4236" t="s">
        <v>22</v>
      </c>
      <c r="L4236">
        <v>0</v>
      </c>
      <c r="M4236">
        <v>1</v>
      </c>
    </row>
    <row r="4237" spans="1:13" x14ac:dyDescent="0.25">
      <c r="A4237" t="s">
        <v>2888</v>
      </c>
      <c r="B4237" t="s">
        <v>77</v>
      </c>
      <c r="C4237" t="s">
        <v>14</v>
      </c>
      <c r="D4237" t="s">
        <v>46</v>
      </c>
      <c r="E4237" t="s">
        <v>21</v>
      </c>
      <c r="F4237" t="s">
        <v>21</v>
      </c>
      <c r="G4237">
        <v>119</v>
      </c>
      <c r="H4237" s="1">
        <v>43931</v>
      </c>
      <c r="I4237">
        <v>2020</v>
      </c>
      <c r="J4237">
        <v>4</v>
      </c>
      <c r="K4237" t="s">
        <v>36</v>
      </c>
      <c r="L4237" t="s">
        <v>21</v>
      </c>
      <c r="M4237">
        <v>0</v>
      </c>
    </row>
    <row r="4238" spans="1:13" x14ac:dyDescent="0.25">
      <c r="A4238" t="s">
        <v>2714</v>
      </c>
      <c r="B4238" t="s">
        <v>18</v>
      </c>
      <c r="C4238" t="s">
        <v>14</v>
      </c>
      <c r="D4238" t="s">
        <v>15</v>
      </c>
      <c r="E4238">
        <v>1000</v>
      </c>
      <c r="F4238">
        <v>0.17</v>
      </c>
      <c r="G4238">
        <v>56</v>
      </c>
      <c r="H4238" s="1">
        <v>43930</v>
      </c>
      <c r="I4238">
        <v>2020</v>
      </c>
      <c r="J4238">
        <v>4</v>
      </c>
      <c r="K4238" t="s">
        <v>30</v>
      </c>
      <c r="L4238">
        <v>0</v>
      </c>
      <c r="M4238">
        <v>1</v>
      </c>
    </row>
    <row r="4239" spans="1:13" x14ac:dyDescent="0.25">
      <c r="A4239" t="s">
        <v>212</v>
      </c>
      <c r="B4239" t="s">
        <v>77</v>
      </c>
      <c r="C4239" t="s">
        <v>14</v>
      </c>
      <c r="D4239" t="s">
        <v>43</v>
      </c>
      <c r="E4239">
        <v>165</v>
      </c>
      <c r="F4239" t="s">
        <v>21</v>
      </c>
      <c r="G4239">
        <v>324</v>
      </c>
      <c r="H4239" s="1">
        <v>43930</v>
      </c>
      <c r="I4239">
        <v>2020</v>
      </c>
      <c r="J4239">
        <v>4</v>
      </c>
      <c r="K4239" t="s">
        <v>36</v>
      </c>
      <c r="L4239" t="s">
        <v>21</v>
      </c>
      <c r="M4239">
        <v>1</v>
      </c>
    </row>
    <row r="4240" spans="1:13" x14ac:dyDescent="0.25">
      <c r="A4240" t="s">
        <v>2535</v>
      </c>
      <c r="B4240" t="s">
        <v>342</v>
      </c>
      <c r="C4240" t="s">
        <v>14</v>
      </c>
      <c r="D4240" t="s">
        <v>33</v>
      </c>
      <c r="E4240">
        <v>150</v>
      </c>
      <c r="F4240">
        <v>0.1</v>
      </c>
      <c r="G4240">
        <v>410</v>
      </c>
      <c r="H4240" s="1">
        <v>43930</v>
      </c>
      <c r="I4240">
        <v>2020</v>
      </c>
      <c r="J4240">
        <v>4</v>
      </c>
      <c r="K4240" t="s">
        <v>36</v>
      </c>
      <c r="L4240">
        <v>0</v>
      </c>
      <c r="M4240">
        <v>1</v>
      </c>
    </row>
    <row r="4241" spans="1:13" x14ac:dyDescent="0.25">
      <c r="A4241" t="s">
        <v>2889</v>
      </c>
      <c r="B4241" t="s">
        <v>77</v>
      </c>
      <c r="C4241" t="s">
        <v>230</v>
      </c>
      <c r="D4241" t="s">
        <v>33</v>
      </c>
      <c r="E4241">
        <v>136</v>
      </c>
      <c r="F4241">
        <v>0.31</v>
      </c>
      <c r="G4241">
        <v>26</v>
      </c>
      <c r="H4241" s="1">
        <v>43930</v>
      </c>
      <c r="I4241">
        <v>2020</v>
      </c>
      <c r="J4241">
        <v>4</v>
      </c>
      <c r="K4241" t="s">
        <v>30</v>
      </c>
      <c r="L4241">
        <v>0</v>
      </c>
      <c r="M4241">
        <v>1</v>
      </c>
    </row>
    <row r="4242" spans="1:13" x14ac:dyDescent="0.25">
      <c r="A4242" t="s">
        <v>1038</v>
      </c>
      <c r="B4242" t="s">
        <v>38</v>
      </c>
      <c r="C4242" t="s">
        <v>14</v>
      </c>
      <c r="D4242" t="s">
        <v>15</v>
      </c>
      <c r="E4242">
        <v>90</v>
      </c>
      <c r="F4242">
        <v>0.1</v>
      </c>
      <c r="G4242">
        <v>689</v>
      </c>
      <c r="H4242" s="1">
        <v>43930</v>
      </c>
      <c r="I4242">
        <v>2020</v>
      </c>
      <c r="J4242">
        <v>4</v>
      </c>
      <c r="K4242" t="s">
        <v>36</v>
      </c>
      <c r="L4242">
        <v>0</v>
      </c>
      <c r="M4242">
        <v>1</v>
      </c>
    </row>
    <row r="4243" spans="1:13" x14ac:dyDescent="0.25">
      <c r="A4243" t="s">
        <v>1329</v>
      </c>
      <c r="B4243" t="s">
        <v>38</v>
      </c>
      <c r="C4243" t="s">
        <v>14</v>
      </c>
      <c r="D4243" t="s">
        <v>55</v>
      </c>
      <c r="E4243">
        <v>90</v>
      </c>
      <c r="F4243">
        <v>0.34</v>
      </c>
      <c r="G4243">
        <v>114</v>
      </c>
      <c r="H4243" s="1">
        <v>43930</v>
      </c>
      <c r="I4243">
        <v>2020</v>
      </c>
      <c r="J4243">
        <v>4</v>
      </c>
      <c r="K4243" t="s">
        <v>36</v>
      </c>
      <c r="L4243">
        <v>0</v>
      </c>
      <c r="M4243">
        <v>1</v>
      </c>
    </row>
    <row r="4244" spans="1:13" x14ac:dyDescent="0.25">
      <c r="A4244" t="s">
        <v>2890</v>
      </c>
      <c r="B4244" t="s">
        <v>89</v>
      </c>
      <c r="C4244" t="s">
        <v>14</v>
      </c>
      <c r="D4244" t="s">
        <v>33</v>
      </c>
      <c r="E4244">
        <v>40</v>
      </c>
      <c r="F4244">
        <v>0.32</v>
      </c>
      <c r="G4244">
        <v>59</v>
      </c>
      <c r="H4244" s="1">
        <v>43930</v>
      </c>
      <c r="I4244">
        <v>2020</v>
      </c>
      <c r="J4244">
        <v>4</v>
      </c>
      <c r="K4244" t="s">
        <v>30</v>
      </c>
      <c r="L4244">
        <v>0</v>
      </c>
      <c r="M4244">
        <v>1</v>
      </c>
    </row>
    <row r="4245" spans="1:13" x14ac:dyDescent="0.25">
      <c r="A4245" t="s">
        <v>2337</v>
      </c>
      <c r="B4245" t="s">
        <v>24</v>
      </c>
      <c r="C4245" t="s">
        <v>174</v>
      </c>
      <c r="D4245" t="s">
        <v>33</v>
      </c>
      <c r="E4245">
        <v>36</v>
      </c>
      <c r="F4245">
        <v>0.15</v>
      </c>
      <c r="G4245">
        <v>28</v>
      </c>
      <c r="H4245" s="1">
        <v>43930</v>
      </c>
      <c r="I4245">
        <v>2020</v>
      </c>
      <c r="J4245">
        <v>4</v>
      </c>
      <c r="K4245" t="s">
        <v>30</v>
      </c>
      <c r="L4245">
        <v>0</v>
      </c>
      <c r="M4245">
        <v>1</v>
      </c>
    </row>
    <row r="4246" spans="1:13" x14ac:dyDescent="0.25">
      <c r="A4246" t="s">
        <v>1312</v>
      </c>
      <c r="B4246" t="s">
        <v>38</v>
      </c>
      <c r="C4246" t="s">
        <v>14</v>
      </c>
      <c r="D4246" t="s">
        <v>33</v>
      </c>
      <c r="E4246">
        <v>25</v>
      </c>
      <c r="F4246">
        <v>0.05</v>
      </c>
      <c r="G4246">
        <v>137.5</v>
      </c>
      <c r="H4246" s="1">
        <v>43930</v>
      </c>
      <c r="I4246">
        <v>2020</v>
      </c>
      <c r="J4246">
        <v>4</v>
      </c>
      <c r="K4246" t="s">
        <v>36</v>
      </c>
      <c r="L4246">
        <v>0</v>
      </c>
      <c r="M4246">
        <v>1</v>
      </c>
    </row>
    <row r="4247" spans="1:13" x14ac:dyDescent="0.25">
      <c r="A4247" t="s">
        <v>2891</v>
      </c>
      <c r="B4247" t="s">
        <v>106</v>
      </c>
      <c r="C4247" t="s">
        <v>174</v>
      </c>
      <c r="D4247" t="s">
        <v>22</v>
      </c>
      <c r="E4247">
        <v>14</v>
      </c>
      <c r="F4247">
        <v>7.0000000000000007E-2</v>
      </c>
      <c r="G4247" t="s">
        <v>21</v>
      </c>
      <c r="H4247" s="1">
        <v>43930</v>
      </c>
      <c r="I4247">
        <v>2020</v>
      </c>
      <c r="J4247">
        <v>4</v>
      </c>
      <c r="K4247" t="s">
        <v>22</v>
      </c>
      <c r="L4247">
        <v>0</v>
      </c>
      <c r="M4247">
        <v>1</v>
      </c>
    </row>
    <row r="4248" spans="1:13" x14ac:dyDescent="0.25">
      <c r="A4248" t="s">
        <v>2892</v>
      </c>
      <c r="B4248" t="s">
        <v>54</v>
      </c>
      <c r="C4248" t="s">
        <v>80</v>
      </c>
      <c r="D4248" t="s">
        <v>22</v>
      </c>
      <c r="E4248">
        <v>8</v>
      </c>
      <c r="F4248">
        <v>0.04</v>
      </c>
      <c r="G4248">
        <v>32</v>
      </c>
      <c r="H4248" s="1">
        <v>43930</v>
      </c>
      <c r="I4248">
        <v>2020</v>
      </c>
      <c r="J4248">
        <v>4</v>
      </c>
      <c r="K4248" t="s">
        <v>30</v>
      </c>
      <c r="L4248">
        <v>0</v>
      </c>
      <c r="M4248">
        <v>1</v>
      </c>
    </row>
    <row r="4249" spans="1:13" x14ac:dyDescent="0.25">
      <c r="A4249" t="s">
        <v>2893</v>
      </c>
      <c r="B4249" t="s">
        <v>52</v>
      </c>
      <c r="C4249" t="s">
        <v>14</v>
      </c>
      <c r="D4249" t="s">
        <v>22</v>
      </c>
      <c r="E4249" t="s">
        <v>21</v>
      </c>
      <c r="F4249" t="s">
        <v>21</v>
      </c>
      <c r="G4249">
        <v>18</v>
      </c>
      <c r="H4249" s="1">
        <v>43930</v>
      </c>
      <c r="I4249">
        <v>2020</v>
      </c>
      <c r="J4249">
        <v>4</v>
      </c>
      <c r="K4249" t="s">
        <v>30</v>
      </c>
      <c r="L4249" t="s">
        <v>21</v>
      </c>
      <c r="M4249">
        <v>0</v>
      </c>
    </row>
    <row r="4250" spans="1:13" x14ac:dyDescent="0.25">
      <c r="A4250" t="s">
        <v>2894</v>
      </c>
      <c r="B4250" t="s">
        <v>52</v>
      </c>
      <c r="C4250" t="s">
        <v>80</v>
      </c>
      <c r="D4250" t="s">
        <v>33</v>
      </c>
      <c r="E4250" t="s">
        <v>21</v>
      </c>
      <c r="F4250">
        <v>0.3</v>
      </c>
      <c r="G4250">
        <v>40</v>
      </c>
      <c r="H4250" s="1">
        <v>43930</v>
      </c>
      <c r="I4250">
        <v>2020</v>
      </c>
      <c r="J4250">
        <v>4</v>
      </c>
      <c r="K4250" t="s">
        <v>30</v>
      </c>
      <c r="L4250">
        <v>0</v>
      </c>
      <c r="M4250">
        <v>1</v>
      </c>
    </row>
    <row r="4251" spans="1:13" x14ac:dyDescent="0.25">
      <c r="A4251" t="s">
        <v>2895</v>
      </c>
      <c r="B4251" t="s">
        <v>77</v>
      </c>
      <c r="C4251" t="s">
        <v>14</v>
      </c>
      <c r="D4251" t="s">
        <v>22</v>
      </c>
      <c r="E4251" t="s">
        <v>21</v>
      </c>
      <c r="F4251" t="s">
        <v>21</v>
      </c>
      <c r="G4251">
        <v>217</v>
      </c>
      <c r="H4251" s="1">
        <v>43930</v>
      </c>
      <c r="I4251">
        <v>2020</v>
      </c>
      <c r="J4251">
        <v>4</v>
      </c>
      <c r="K4251" t="s">
        <v>36</v>
      </c>
      <c r="L4251" t="s">
        <v>21</v>
      </c>
      <c r="M4251">
        <v>0</v>
      </c>
    </row>
    <row r="4252" spans="1:13" x14ac:dyDescent="0.25">
      <c r="A4252" t="s">
        <v>195</v>
      </c>
      <c r="B4252" t="s">
        <v>18</v>
      </c>
      <c r="C4252" t="s">
        <v>14</v>
      </c>
      <c r="D4252" t="s">
        <v>15</v>
      </c>
      <c r="E4252">
        <v>500</v>
      </c>
      <c r="F4252">
        <v>0.45</v>
      </c>
      <c r="G4252">
        <v>332</v>
      </c>
      <c r="H4252" s="1">
        <v>43929</v>
      </c>
      <c r="I4252">
        <v>2020</v>
      </c>
      <c r="J4252">
        <v>4</v>
      </c>
      <c r="K4252" t="s">
        <v>36</v>
      </c>
      <c r="L4252">
        <v>0</v>
      </c>
      <c r="M4252">
        <v>1</v>
      </c>
    </row>
    <row r="4253" spans="1:13" x14ac:dyDescent="0.25">
      <c r="A4253" t="s">
        <v>1480</v>
      </c>
      <c r="B4253" t="s">
        <v>24</v>
      </c>
      <c r="C4253" t="s">
        <v>48</v>
      </c>
      <c r="D4253" t="s">
        <v>55</v>
      </c>
      <c r="E4253">
        <v>200</v>
      </c>
      <c r="F4253">
        <v>0.28000000000000003</v>
      </c>
      <c r="G4253">
        <v>215</v>
      </c>
      <c r="H4253" s="1">
        <v>43929</v>
      </c>
      <c r="I4253">
        <v>2020</v>
      </c>
      <c r="J4253">
        <v>4</v>
      </c>
      <c r="K4253" t="s">
        <v>36</v>
      </c>
      <c r="L4253">
        <v>0</v>
      </c>
      <c r="M4253">
        <v>1</v>
      </c>
    </row>
    <row r="4254" spans="1:13" x14ac:dyDescent="0.25">
      <c r="A4254" t="s">
        <v>2668</v>
      </c>
      <c r="B4254" t="s">
        <v>66</v>
      </c>
      <c r="C4254" t="s">
        <v>14</v>
      </c>
      <c r="D4254" t="s">
        <v>46</v>
      </c>
      <c r="E4254">
        <v>92</v>
      </c>
      <c r="F4254">
        <v>0.33</v>
      </c>
      <c r="G4254">
        <v>95</v>
      </c>
      <c r="H4254" s="1">
        <v>43929</v>
      </c>
      <c r="I4254">
        <v>2020</v>
      </c>
      <c r="J4254">
        <v>4</v>
      </c>
      <c r="K4254" t="s">
        <v>30</v>
      </c>
      <c r="L4254">
        <v>0</v>
      </c>
      <c r="M4254">
        <v>1</v>
      </c>
    </row>
    <row r="4255" spans="1:13" x14ac:dyDescent="0.25">
      <c r="A4255" t="s">
        <v>2896</v>
      </c>
      <c r="B4255" t="s">
        <v>77</v>
      </c>
      <c r="C4255" t="s">
        <v>14</v>
      </c>
      <c r="D4255" t="s">
        <v>33</v>
      </c>
      <c r="E4255">
        <v>89</v>
      </c>
      <c r="F4255">
        <v>0.45</v>
      </c>
      <c r="G4255">
        <v>40</v>
      </c>
      <c r="H4255" s="1">
        <v>43929</v>
      </c>
      <c r="I4255">
        <v>2020</v>
      </c>
      <c r="J4255">
        <v>4</v>
      </c>
      <c r="K4255" t="s">
        <v>30</v>
      </c>
      <c r="L4255">
        <v>0</v>
      </c>
      <c r="M4255">
        <v>1</v>
      </c>
    </row>
    <row r="4256" spans="1:13" x14ac:dyDescent="0.25">
      <c r="A4256" t="s">
        <v>993</v>
      </c>
      <c r="B4256" t="s">
        <v>45</v>
      </c>
      <c r="C4256" t="s">
        <v>14</v>
      </c>
      <c r="D4256" t="s">
        <v>46</v>
      </c>
      <c r="E4256">
        <v>86</v>
      </c>
      <c r="F4256">
        <v>0.4</v>
      </c>
      <c r="G4256">
        <v>72</v>
      </c>
      <c r="H4256" s="1">
        <v>43929</v>
      </c>
      <c r="I4256">
        <v>2020</v>
      </c>
      <c r="J4256">
        <v>4</v>
      </c>
      <c r="K4256" t="s">
        <v>30</v>
      </c>
      <c r="L4256">
        <v>0</v>
      </c>
      <c r="M4256">
        <v>1</v>
      </c>
    </row>
    <row r="4257" spans="1:13" x14ac:dyDescent="0.25">
      <c r="A4257" t="s">
        <v>520</v>
      </c>
      <c r="B4257" t="s">
        <v>89</v>
      </c>
      <c r="C4257" t="s">
        <v>521</v>
      </c>
      <c r="D4257" t="s">
        <v>46</v>
      </c>
      <c r="E4257">
        <v>80</v>
      </c>
      <c r="F4257">
        <v>0.35</v>
      </c>
      <c r="G4257">
        <v>91</v>
      </c>
      <c r="H4257" s="1">
        <v>43929</v>
      </c>
      <c r="I4257">
        <v>2020</v>
      </c>
      <c r="J4257">
        <v>4</v>
      </c>
      <c r="K4257" t="s">
        <v>30</v>
      </c>
      <c r="L4257">
        <v>0</v>
      </c>
      <c r="M4257">
        <v>1</v>
      </c>
    </row>
    <row r="4258" spans="1:13" x14ac:dyDescent="0.25">
      <c r="A4258" t="s">
        <v>2897</v>
      </c>
      <c r="B4258" t="s">
        <v>54</v>
      </c>
      <c r="C4258" t="s">
        <v>14</v>
      </c>
      <c r="D4258" t="s">
        <v>46</v>
      </c>
      <c r="E4258">
        <v>48</v>
      </c>
      <c r="F4258">
        <v>0.35</v>
      </c>
      <c r="G4258">
        <v>64</v>
      </c>
      <c r="H4258" s="1">
        <v>43929</v>
      </c>
      <c r="I4258">
        <v>2020</v>
      </c>
      <c r="J4258">
        <v>4</v>
      </c>
      <c r="K4258" t="s">
        <v>30</v>
      </c>
      <c r="L4258">
        <v>0</v>
      </c>
      <c r="M4258">
        <v>1</v>
      </c>
    </row>
    <row r="4259" spans="1:13" x14ac:dyDescent="0.25">
      <c r="A4259" t="s">
        <v>2898</v>
      </c>
      <c r="B4259" t="s">
        <v>91</v>
      </c>
      <c r="C4259" t="s">
        <v>14</v>
      </c>
      <c r="D4259" t="s">
        <v>33</v>
      </c>
      <c r="E4259">
        <v>40</v>
      </c>
      <c r="F4259">
        <v>0.4</v>
      </c>
      <c r="G4259">
        <v>40</v>
      </c>
      <c r="H4259" s="1">
        <v>43929</v>
      </c>
      <c r="I4259">
        <v>2020</v>
      </c>
      <c r="J4259">
        <v>4</v>
      </c>
      <c r="K4259" t="s">
        <v>30</v>
      </c>
      <c r="L4259">
        <v>0</v>
      </c>
      <c r="M4259">
        <v>1</v>
      </c>
    </row>
    <row r="4260" spans="1:13" x14ac:dyDescent="0.25">
      <c r="A4260" t="s">
        <v>2365</v>
      </c>
      <c r="B4260" t="s">
        <v>54</v>
      </c>
      <c r="C4260" t="s">
        <v>14</v>
      </c>
      <c r="D4260" t="s">
        <v>46</v>
      </c>
      <c r="E4260">
        <v>30</v>
      </c>
      <c r="F4260">
        <v>0.05</v>
      </c>
      <c r="G4260">
        <v>65</v>
      </c>
      <c r="H4260" s="1">
        <v>43929</v>
      </c>
      <c r="I4260">
        <v>2020</v>
      </c>
      <c r="J4260">
        <v>4</v>
      </c>
      <c r="K4260" t="s">
        <v>30</v>
      </c>
      <c r="L4260">
        <v>0</v>
      </c>
      <c r="M4260">
        <v>1</v>
      </c>
    </row>
    <row r="4261" spans="1:13" x14ac:dyDescent="0.25">
      <c r="A4261" t="s">
        <v>2899</v>
      </c>
      <c r="B4261" t="s">
        <v>54</v>
      </c>
      <c r="C4261" t="s">
        <v>14</v>
      </c>
      <c r="D4261" t="s">
        <v>22</v>
      </c>
      <c r="E4261">
        <v>25</v>
      </c>
      <c r="F4261">
        <v>0.25</v>
      </c>
      <c r="G4261" t="s">
        <v>21</v>
      </c>
      <c r="H4261" s="1">
        <v>43929</v>
      </c>
      <c r="I4261">
        <v>2020</v>
      </c>
      <c r="J4261">
        <v>4</v>
      </c>
      <c r="K4261" t="s">
        <v>22</v>
      </c>
      <c r="L4261">
        <v>0</v>
      </c>
      <c r="M4261">
        <v>1</v>
      </c>
    </row>
    <row r="4262" spans="1:13" x14ac:dyDescent="0.25">
      <c r="A4262" t="s">
        <v>996</v>
      </c>
      <c r="B4262" t="s">
        <v>54</v>
      </c>
      <c r="C4262" t="s">
        <v>14</v>
      </c>
      <c r="D4262" t="s">
        <v>46</v>
      </c>
      <c r="E4262">
        <v>21</v>
      </c>
      <c r="F4262">
        <v>0.1</v>
      </c>
      <c r="G4262">
        <v>106</v>
      </c>
      <c r="H4262" s="1">
        <v>43929</v>
      </c>
      <c r="I4262">
        <v>2020</v>
      </c>
      <c r="J4262">
        <v>4</v>
      </c>
      <c r="K4262" t="s">
        <v>36</v>
      </c>
      <c r="L4262">
        <v>0</v>
      </c>
      <c r="M4262">
        <v>1</v>
      </c>
    </row>
    <row r="4263" spans="1:13" x14ac:dyDescent="0.25">
      <c r="A4263" t="s">
        <v>2900</v>
      </c>
      <c r="B4263" t="s">
        <v>45</v>
      </c>
      <c r="C4263" t="s">
        <v>230</v>
      </c>
      <c r="D4263" t="s">
        <v>22</v>
      </c>
      <c r="E4263">
        <v>18</v>
      </c>
      <c r="F4263">
        <v>0.16</v>
      </c>
      <c r="G4263">
        <v>23</v>
      </c>
      <c r="H4263" s="1">
        <v>43929</v>
      </c>
      <c r="I4263">
        <v>2020</v>
      </c>
      <c r="J4263">
        <v>4</v>
      </c>
      <c r="K4263" t="s">
        <v>30</v>
      </c>
      <c r="L4263">
        <v>0</v>
      </c>
      <c r="M4263">
        <v>1</v>
      </c>
    </row>
    <row r="4264" spans="1:13" x14ac:dyDescent="0.25">
      <c r="A4264" t="s">
        <v>2901</v>
      </c>
      <c r="B4264" t="s">
        <v>114</v>
      </c>
      <c r="C4264" t="s">
        <v>174</v>
      </c>
      <c r="D4264" t="s">
        <v>22</v>
      </c>
      <c r="E4264">
        <v>17</v>
      </c>
      <c r="F4264">
        <v>0.1</v>
      </c>
      <c r="G4264" t="s">
        <v>21</v>
      </c>
      <c r="H4264" s="1">
        <v>43929</v>
      </c>
      <c r="I4264">
        <v>2020</v>
      </c>
      <c r="J4264">
        <v>4</v>
      </c>
      <c r="K4264" t="s">
        <v>22</v>
      </c>
      <c r="L4264">
        <v>0</v>
      </c>
      <c r="M4264">
        <v>1</v>
      </c>
    </row>
    <row r="4265" spans="1:13" x14ac:dyDescent="0.25">
      <c r="A4265" t="s">
        <v>2902</v>
      </c>
      <c r="B4265" t="s">
        <v>18</v>
      </c>
      <c r="C4265" t="s">
        <v>230</v>
      </c>
      <c r="D4265" t="s">
        <v>33</v>
      </c>
      <c r="E4265">
        <v>11</v>
      </c>
      <c r="F4265">
        <v>0.1</v>
      </c>
      <c r="G4265">
        <v>16</v>
      </c>
      <c r="H4265" s="1">
        <v>43929</v>
      </c>
      <c r="I4265">
        <v>2020</v>
      </c>
      <c r="J4265">
        <v>4</v>
      </c>
      <c r="K4265" t="s">
        <v>30</v>
      </c>
      <c r="L4265">
        <v>0</v>
      </c>
      <c r="M4265">
        <v>1</v>
      </c>
    </row>
    <row r="4266" spans="1:13" x14ac:dyDescent="0.25">
      <c r="A4266" t="s">
        <v>2903</v>
      </c>
      <c r="B4266" t="s">
        <v>95</v>
      </c>
      <c r="C4266" t="s">
        <v>14</v>
      </c>
      <c r="D4266" t="s">
        <v>68</v>
      </c>
      <c r="E4266">
        <v>4</v>
      </c>
      <c r="F4266">
        <v>0.12</v>
      </c>
      <c r="G4266">
        <v>26</v>
      </c>
      <c r="H4266" s="1">
        <v>43929</v>
      </c>
      <c r="I4266">
        <v>2020</v>
      </c>
      <c r="J4266">
        <v>4</v>
      </c>
      <c r="K4266" t="s">
        <v>30</v>
      </c>
      <c r="L4266">
        <v>0</v>
      </c>
      <c r="M4266">
        <v>1</v>
      </c>
    </row>
    <row r="4267" spans="1:13" x14ac:dyDescent="0.25">
      <c r="A4267" t="s">
        <v>2904</v>
      </c>
      <c r="B4267" t="s">
        <v>77</v>
      </c>
      <c r="C4267" t="s">
        <v>230</v>
      </c>
      <c r="D4267" t="s">
        <v>55</v>
      </c>
      <c r="E4267" t="s">
        <v>21</v>
      </c>
      <c r="F4267">
        <v>0.06</v>
      </c>
      <c r="G4267">
        <v>314</v>
      </c>
      <c r="H4267" s="1">
        <v>43929</v>
      </c>
      <c r="I4267">
        <v>2020</v>
      </c>
      <c r="J4267">
        <v>4</v>
      </c>
      <c r="K4267" t="s">
        <v>36</v>
      </c>
      <c r="L4267">
        <v>0</v>
      </c>
      <c r="M4267">
        <v>1</v>
      </c>
    </row>
    <row r="4268" spans="1:13" x14ac:dyDescent="0.25">
      <c r="A4268" t="s">
        <v>2905</v>
      </c>
      <c r="B4268" t="s">
        <v>54</v>
      </c>
      <c r="C4268" t="s">
        <v>14</v>
      </c>
      <c r="D4268" t="s">
        <v>46</v>
      </c>
      <c r="E4268" t="s">
        <v>21</v>
      </c>
      <c r="F4268" t="s">
        <v>21</v>
      </c>
      <c r="G4268">
        <v>58</v>
      </c>
      <c r="H4268" s="1">
        <v>43929</v>
      </c>
      <c r="I4268">
        <v>2020</v>
      </c>
      <c r="J4268">
        <v>4</v>
      </c>
      <c r="K4268" t="s">
        <v>30</v>
      </c>
      <c r="L4268" t="s">
        <v>21</v>
      </c>
      <c r="M4268">
        <v>0</v>
      </c>
    </row>
    <row r="4269" spans="1:13" x14ac:dyDescent="0.25">
      <c r="A4269" t="s">
        <v>2879</v>
      </c>
      <c r="B4269" t="s">
        <v>73</v>
      </c>
      <c r="C4269" t="s">
        <v>64</v>
      </c>
      <c r="D4269" t="s">
        <v>46</v>
      </c>
      <c r="E4269" t="s">
        <v>21</v>
      </c>
      <c r="F4269">
        <v>0.1</v>
      </c>
      <c r="G4269">
        <v>134</v>
      </c>
      <c r="H4269" s="1">
        <v>43929</v>
      </c>
      <c r="I4269">
        <v>2020</v>
      </c>
      <c r="J4269">
        <v>4</v>
      </c>
      <c r="K4269" t="s">
        <v>36</v>
      </c>
      <c r="L4269">
        <v>0</v>
      </c>
      <c r="M4269">
        <v>1</v>
      </c>
    </row>
    <row r="4270" spans="1:13" x14ac:dyDescent="0.25">
      <c r="A4270" t="s">
        <v>2906</v>
      </c>
      <c r="B4270" t="s">
        <v>77</v>
      </c>
      <c r="C4270" t="s">
        <v>14</v>
      </c>
      <c r="D4270" t="s">
        <v>68</v>
      </c>
      <c r="E4270" t="s">
        <v>21</v>
      </c>
      <c r="F4270" t="s">
        <v>21</v>
      </c>
      <c r="G4270">
        <v>35</v>
      </c>
      <c r="H4270" s="1">
        <v>43929</v>
      </c>
      <c r="I4270">
        <v>2020</v>
      </c>
      <c r="J4270">
        <v>4</v>
      </c>
      <c r="K4270" t="s">
        <v>30</v>
      </c>
      <c r="L4270" t="s">
        <v>21</v>
      </c>
      <c r="M4270">
        <v>0</v>
      </c>
    </row>
    <row r="4271" spans="1:13" x14ac:dyDescent="0.25">
      <c r="A4271" t="s">
        <v>2907</v>
      </c>
      <c r="B4271" t="s">
        <v>77</v>
      </c>
      <c r="C4271" t="s">
        <v>143</v>
      </c>
      <c r="D4271" t="s">
        <v>22</v>
      </c>
      <c r="E4271" t="s">
        <v>21</v>
      </c>
      <c r="F4271" t="s">
        <v>21</v>
      </c>
      <c r="G4271">
        <v>1</v>
      </c>
      <c r="H4271" s="1">
        <v>43929</v>
      </c>
      <c r="I4271">
        <v>2020</v>
      </c>
      <c r="J4271">
        <v>4</v>
      </c>
      <c r="K4271" t="s">
        <v>16</v>
      </c>
      <c r="L4271" t="s">
        <v>21</v>
      </c>
      <c r="M4271">
        <v>0</v>
      </c>
    </row>
    <row r="4272" spans="1:13" x14ac:dyDescent="0.25">
      <c r="A4272" t="s">
        <v>2908</v>
      </c>
      <c r="B4272" t="s">
        <v>24</v>
      </c>
      <c r="C4272" t="s">
        <v>14</v>
      </c>
      <c r="D4272" t="s">
        <v>55</v>
      </c>
      <c r="E4272" t="s">
        <v>21</v>
      </c>
      <c r="F4272">
        <v>0.2</v>
      </c>
      <c r="G4272">
        <v>140</v>
      </c>
      <c r="H4272" s="1">
        <v>43929</v>
      </c>
      <c r="I4272">
        <v>2020</v>
      </c>
      <c r="J4272">
        <v>4</v>
      </c>
      <c r="K4272" t="s">
        <v>36</v>
      </c>
      <c r="L4272">
        <v>0</v>
      </c>
      <c r="M4272">
        <v>1</v>
      </c>
    </row>
    <row r="4273" spans="1:13" x14ac:dyDescent="0.25">
      <c r="A4273" t="s">
        <v>877</v>
      </c>
      <c r="B4273" t="s">
        <v>95</v>
      </c>
      <c r="C4273" t="s">
        <v>14</v>
      </c>
      <c r="D4273" t="s">
        <v>43</v>
      </c>
      <c r="E4273">
        <v>1300</v>
      </c>
      <c r="F4273">
        <v>0.5</v>
      </c>
      <c r="G4273">
        <v>902</v>
      </c>
      <c r="H4273" s="1">
        <v>43928</v>
      </c>
      <c r="I4273">
        <v>2020</v>
      </c>
      <c r="J4273">
        <v>4</v>
      </c>
      <c r="K4273" t="s">
        <v>36</v>
      </c>
      <c r="L4273">
        <v>0</v>
      </c>
      <c r="M4273">
        <v>1</v>
      </c>
    </row>
    <row r="4274" spans="1:13" x14ac:dyDescent="0.25">
      <c r="A4274" t="s">
        <v>321</v>
      </c>
      <c r="B4274" t="s">
        <v>95</v>
      </c>
      <c r="C4274" t="s">
        <v>14</v>
      </c>
      <c r="D4274" t="s">
        <v>55</v>
      </c>
      <c r="E4274">
        <v>400</v>
      </c>
      <c r="F4274">
        <v>0.44</v>
      </c>
      <c r="G4274">
        <v>319</v>
      </c>
      <c r="H4274" s="1">
        <v>43928</v>
      </c>
      <c r="I4274">
        <v>2020</v>
      </c>
      <c r="J4274">
        <v>4</v>
      </c>
      <c r="K4274" t="s">
        <v>36</v>
      </c>
      <c r="L4274">
        <v>0</v>
      </c>
      <c r="M4274">
        <v>1</v>
      </c>
    </row>
    <row r="4275" spans="1:13" x14ac:dyDescent="0.25">
      <c r="A4275" t="s">
        <v>2909</v>
      </c>
      <c r="B4275" t="s">
        <v>35</v>
      </c>
      <c r="C4275" t="s">
        <v>14</v>
      </c>
      <c r="D4275" t="s">
        <v>15</v>
      </c>
      <c r="E4275">
        <v>340</v>
      </c>
      <c r="F4275">
        <v>0.53</v>
      </c>
      <c r="G4275">
        <v>438</v>
      </c>
      <c r="H4275" s="1">
        <v>43928</v>
      </c>
      <c r="I4275">
        <v>2020</v>
      </c>
      <c r="J4275">
        <v>4</v>
      </c>
      <c r="K4275" t="s">
        <v>36</v>
      </c>
      <c r="L4275">
        <v>0</v>
      </c>
      <c r="M4275">
        <v>1</v>
      </c>
    </row>
    <row r="4276" spans="1:13" x14ac:dyDescent="0.25">
      <c r="A4276" t="s">
        <v>494</v>
      </c>
      <c r="B4276" t="s">
        <v>91</v>
      </c>
      <c r="C4276" t="s">
        <v>14</v>
      </c>
      <c r="D4276" t="s">
        <v>15</v>
      </c>
      <c r="E4276">
        <v>236</v>
      </c>
      <c r="F4276">
        <v>7.0000000000000007E-2</v>
      </c>
      <c r="G4276">
        <v>319</v>
      </c>
      <c r="H4276" s="1">
        <v>43928</v>
      </c>
      <c r="I4276">
        <v>2020</v>
      </c>
      <c r="J4276">
        <v>4</v>
      </c>
      <c r="K4276" t="s">
        <v>36</v>
      </c>
      <c r="L4276">
        <v>0</v>
      </c>
      <c r="M4276">
        <v>1</v>
      </c>
    </row>
    <row r="4277" spans="1:13" x14ac:dyDescent="0.25">
      <c r="A4277" t="s">
        <v>2910</v>
      </c>
      <c r="B4277" t="s">
        <v>54</v>
      </c>
      <c r="C4277" t="s">
        <v>14</v>
      </c>
      <c r="D4277" t="s">
        <v>111</v>
      </c>
      <c r="E4277">
        <v>100</v>
      </c>
      <c r="F4277">
        <v>0.2</v>
      </c>
      <c r="G4277">
        <v>367</v>
      </c>
      <c r="H4277" s="1">
        <v>43928</v>
      </c>
      <c r="I4277">
        <v>2020</v>
      </c>
      <c r="J4277">
        <v>4</v>
      </c>
      <c r="K4277" t="s">
        <v>36</v>
      </c>
      <c r="L4277">
        <v>0</v>
      </c>
      <c r="M4277">
        <v>1</v>
      </c>
    </row>
    <row r="4278" spans="1:13" x14ac:dyDescent="0.25">
      <c r="A4278" t="s">
        <v>2911</v>
      </c>
      <c r="B4278" t="s">
        <v>77</v>
      </c>
      <c r="C4278" t="s">
        <v>14</v>
      </c>
      <c r="D4278" t="s">
        <v>22</v>
      </c>
      <c r="E4278">
        <v>94</v>
      </c>
      <c r="F4278" t="s">
        <v>21</v>
      </c>
      <c r="G4278" t="s">
        <v>21</v>
      </c>
      <c r="H4278" s="1">
        <v>43928</v>
      </c>
      <c r="I4278">
        <v>2020</v>
      </c>
      <c r="J4278">
        <v>4</v>
      </c>
      <c r="K4278" t="s">
        <v>22</v>
      </c>
      <c r="L4278" t="s">
        <v>21</v>
      </c>
      <c r="M4278">
        <v>1</v>
      </c>
    </row>
    <row r="4279" spans="1:13" x14ac:dyDescent="0.25">
      <c r="A4279" t="s">
        <v>482</v>
      </c>
      <c r="B4279" t="s">
        <v>24</v>
      </c>
      <c r="C4279" t="s">
        <v>14</v>
      </c>
      <c r="D4279" t="s">
        <v>55</v>
      </c>
      <c r="E4279">
        <v>87</v>
      </c>
      <c r="F4279">
        <v>0.15</v>
      </c>
      <c r="G4279">
        <v>85</v>
      </c>
      <c r="H4279" s="1">
        <v>43928</v>
      </c>
      <c r="I4279">
        <v>2020</v>
      </c>
      <c r="J4279">
        <v>4</v>
      </c>
      <c r="K4279" t="s">
        <v>30</v>
      </c>
      <c r="L4279">
        <v>0</v>
      </c>
      <c r="M4279">
        <v>1</v>
      </c>
    </row>
    <row r="4280" spans="1:13" x14ac:dyDescent="0.25">
      <c r="A4280" t="s">
        <v>2912</v>
      </c>
      <c r="B4280" t="s">
        <v>35</v>
      </c>
      <c r="C4280" t="s">
        <v>14</v>
      </c>
      <c r="D4280" t="s">
        <v>46</v>
      </c>
      <c r="E4280">
        <v>65</v>
      </c>
      <c r="F4280" t="s">
        <v>21</v>
      </c>
      <c r="G4280">
        <v>175</v>
      </c>
      <c r="H4280" s="1">
        <v>43928</v>
      </c>
      <c r="I4280">
        <v>2020</v>
      </c>
      <c r="J4280">
        <v>4</v>
      </c>
      <c r="K4280" t="s">
        <v>36</v>
      </c>
      <c r="L4280" t="s">
        <v>21</v>
      </c>
      <c r="M4280">
        <v>1</v>
      </c>
    </row>
    <row r="4281" spans="1:13" x14ac:dyDescent="0.25">
      <c r="A4281" t="s">
        <v>883</v>
      </c>
      <c r="B4281" t="s">
        <v>24</v>
      </c>
      <c r="C4281" t="s">
        <v>14</v>
      </c>
      <c r="D4281" t="s">
        <v>55</v>
      </c>
      <c r="E4281">
        <v>60</v>
      </c>
      <c r="F4281">
        <v>0.1</v>
      </c>
      <c r="G4281">
        <v>181</v>
      </c>
      <c r="H4281" s="1">
        <v>43928</v>
      </c>
      <c r="I4281">
        <v>2020</v>
      </c>
      <c r="J4281">
        <v>4</v>
      </c>
      <c r="K4281" t="s">
        <v>36</v>
      </c>
      <c r="L4281">
        <v>0</v>
      </c>
      <c r="M4281">
        <v>1</v>
      </c>
    </row>
    <row r="4282" spans="1:13" x14ac:dyDescent="0.25">
      <c r="A4282" t="s">
        <v>1354</v>
      </c>
      <c r="B4282" t="s">
        <v>54</v>
      </c>
      <c r="C4282" t="s">
        <v>14</v>
      </c>
      <c r="D4282" t="s">
        <v>81</v>
      </c>
      <c r="E4282">
        <v>53</v>
      </c>
      <c r="F4282">
        <v>0.08</v>
      </c>
      <c r="G4282">
        <v>607</v>
      </c>
      <c r="H4282" s="1">
        <v>43928</v>
      </c>
      <c r="I4282">
        <v>2020</v>
      </c>
      <c r="J4282">
        <v>4</v>
      </c>
      <c r="K4282" t="s">
        <v>36</v>
      </c>
      <c r="L4282">
        <v>0</v>
      </c>
      <c r="M4282">
        <v>1</v>
      </c>
    </row>
    <row r="4283" spans="1:13" x14ac:dyDescent="0.25">
      <c r="A4283" t="s">
        <v>2913</v>
      </c>
      <c r="B4283" t="s">
        <v>32</v>
      </c>
      <c r="C4283" t="s">
        <v>14</v>
      </c>
      <c r="D4283" t="s">
        <v>22</v>
      </c>
      <c r="E4283">
        <v>50</v>
      </c>
      <c r="F4283">
        <v>7.0000000000000007E-2</v>
      </c>
      <c r="G4283">
        <v>190</v>
      </c>
      <c r="H4283" s="1">
        <v>43928</v>
      </c>
      <c r="I4283">
        <v>2020</v>
      </c>
      <c r="J4283">
        <v>4</v>
      </c>
      <c r="K4283" t="s">
        <v>36</v>
      </c>
      <c r="L4283">
        <v>0</v>
      </c>
      <c r="M4283">
        <v>1</v>
      </c>
    </row>
    <row r="4284" spans="1:13" x14ac:dyDescent="0.25">
      <c r="A4284" t="s">
        <v>2914</v>
      </c>
      <c r="B4284" t="s">
        <v>40</v>
      </c>
      <c r="C4284" t="s">
        <v>14</v>
      </c>
      <c r="D4284" t="s">
        <v>22</v>
      </c>
      <c r="E4284">
        <v>46</v>
      </c>
      <c r="F4284" t="s">
        <v>21</v>
      </c>
      <c r="G4284" t="s">
        <v>21</v>
      </c>
      <c r="H4284" s="1">
        <v>43928</v>
      </c>
      <c r="I4284">
        <v>2020</v>
      </c>
      <c r="J4284">
        <v>4</v>
      </c>
      <c r="K4284" t="s">
        <v>22</v>
      </c>
      <c r="L4284" t="s">
        <v>21</v>
      </c>
      <c r="M4284">
        <v>1</v>
      </c>
    </row>
    <row r="4285" spans="1:13" x14ac:dyDescent="0.25">
      <c r="A4285" t="s">
        <v>2915</v>
      </c>
      <c r="B4285" t="s">
        <v>77</v>
      </c>
      <c r="C4285" t="s">
        <v>14</v>
      </c>
      <c r="D4285" t="s">
        <v>46</v>
      </c>
      <c r="E4285">
        <v>30</v>
      </c>
      <c r="F4285" t="s">
        <v>21</v>
      </c>
      <c r="G4285">
        <v>99</v>
      </c>
      <c r="H4285" s="1">
        <v>43928</v>
      </c>
      <c r="I4285">
        <v>2020</v>
      </c>
      <c r="J4285">
        <v>4</v>
      </c>
      <c r="K4285" t="s">
        <v>30</v>
      </c>
      <c r="L4285" t="s">
        <v>21</v>
      </c>
      <c r="M4285">
        <v>1</v>
      </c>
    </row>
    <row r="4286" spans="1:13" x14ac:dyDescent="0.25">
      <c r="A4286" t="s">
        <v>2916</v>
      </c>
      <c r="B4286" t="s">
        <v>89</v>
      </c>
      <c r="C4286" t="s">
        <v>14</v>
      </c>
      <c r="D4286" t="s">
        <v>68</v>
      </c>
      <c r="E4286" t="s">
        <v>21</v>
      </c>
      <c r="F4286" t="s">
        <v>21</v>
      </c>
      <c r="G4286">
        <v>15</v>
      </c>
      <c r="H4286" s="1">
        <v>43928</v>
      </c>
      <c r="I4286">
        <v>2020</v>
      </c>
      <c r="J4286">
        <v>4</v>
      </c>
      <c r="K4286" t="s">
        <v>30</v>
      </c>
      <c r="L4286" t="s">
        <v>21</v>
      </c>
      <c r="M4286">
        <v>0</v>
      </c>
    </row>
    <row r="4287" spans="1:13" x14ac:dyDescent="0.25">
      <c r="A4287" t="s">
        <v>2917</v>
      </c>
      <c r="B4287" t="s">
        <v>54</v>
      </c>
      <c r="C4287" t="s">
        <v>14</v>
      </c>
      <c r="D4287" t="s">
        <v>81</v>
      </c>
      <c r="E4287" t="s">
        <v>21</v>
      </c>
      <c r="F4287" t="s">
        <v>21</v>
      </c>
      <c r="G4287">
        <v>41</v>
      </c>
      <c r="H4287" s="1">
        <v>43928</v>
      </c>
      <c r="I4287">
        <v>2020</v>
      </c>
      <c r="J4287">
        <v>4</v>
      </c>
      <c r="K4287" t="s">
        <v>30</v>
      </c>
      <c r="L4287" t="s">
        <v>21</v>
      </c>
      <c r="M4287">
        <v>0</v>
      </c>
    </row>
    <row r="4288" spans="1:13" x14ac:dyDescent="0.25">
      <c r="A4288" t="s">
        <v>2370</v>
      </c>
      <c r="B4288" t="s">
        <v>77</v>
      </c>
      <c r="C4288" t="s">
        <v>14</v>
      </c>
      <c r="D4288" t="s">
        <v>111</v>
      </c>
      <c r="E4288">
        <v>100</v>
      </c>
      <c r="F4288">
        <v>0.33</v>
      </c>
      <c r="G4288">
        <v>293</v>
      </c>
      <c r="H4288" s="1">
        <v>43927</v>
      </c>
      <c r="I4288">
        <v>2020</v>
      </c>
      <c r="J4288">
        <v>4</v>
      </c>
      <c r="K4288" t="s">
        <v>36</v>
      </c>
      <c r="L4288">
        <v>0</v>
      </c>
      <c r="M4288">
        <v>1</v>
      </c>
    </row>
    <row r="4289" spans="1:13" x14ac:dyDescent="0.25">
      <c r="A4289" t="s">
        <v>1877</v>
      </c>
      <c r="B4289" t="s">
        <v>54</v>
      </c>
      <c r="C4289" t="s">
        <v>230</v>
      </c>
      <c r="D4289" t="s">
        <v>68</v>
      </c>
      <c r="E4289">
        <v>100</v>
      </c>
      <c r="F4289">
        <v>0.2</v>
      </c>
      <c r="G4289">
        <v>0.7</v>
      </c>
      <c r="H4289" s="1">
        <v>43927</v>
      </c>
      <c r="I4289">
        <v>2020</v>
      </c>
      <c r="J4289">
        <v>4</v>
      </c>
      <c r="K4289" t="s">
        <v>16</v>
      </c>
      <c r="L4289">
        <v>0</v>
      </c>
      <c r="M4289">
        <v>1</v>
      </c>
    </row>
    <row r="4290" spans="1:13" x14ac:dyDescent="0.25">
      <c r="A4290" t="s">
        <v>2918</v>
      </c>
      <c r="B4290" t="s">
        <v>54</v>
      </c>
      <c r="C4290" t="s">
        <v>14</v>
      </c>
      <c r="D4290" t="s">
        <v>33</v>
      </c>
      <c r="E4290">
        <v>77</v>
      </c>
      <c r="F4290">
        <v>0.2</v>
      </c>
      <c r="G4290">
        <v>75</v>
      </c>
      <c r="H4290" s="1">
        <v>43927</v>
      </c>
      <c r="I4290">
        <v>2020</v>
      </c>
      <c r="J4290">
        <v>4</v>
      </c>
      <c r="K4290" t="s">
        <v>30</v>
      </c>
      <c r="L4290">
        <v>0</v>
      </c>
      <c r="M4290">
        <v>1</v>
      </c>
    </row>
    <row r="4291" spans="1:13" x14ac:dyDescent="0.25">
      <c r="A4291" t="s">
        <v>1727</v>
      </c>
      <c r="B4291" t="s">
        <v>77</v>
      </c>
      <c r="C4291" t="s">
        <v>230</v>
      </c>
      <c r="D4291" t="s">
        <v>22</v>
      </c>
      <c r="E4291">
        <v>60</v>
      </c>
      <c r="F4291">
        <v>0.06</v>
      </c>
      <c r="G4291" t="s">
        <v>21</v>
      </c>
      <c r="H4291" s="1">
        <v>43927</v>
      </c>
      <c r="I4291">
        <v>2020</v>
      </c>
      <c r="J4291">
        <v>4</v>
      </c>
      <c r="K4291" t="s">
        <v>22</v>
      </c>
      <c r="L4291">
        <v>0</v>
      </c>
      <c r="M4291">
        <v>1</v>
      </c>
    </row>
    <row r="4292" spans="1:13" x14ac:dyDescent="0.25">
      <c r="A4292" t="s">
        <v>2919</v>
      </c>
      <c r="B4292" t="s">
        <v>54</v>
      </c>
      <c r="C4292" t="s">
        <v>14</v>
      </c>
      <c r="D4292" t="s">
        <v>20</v>
      </c>
      <c r="E4292">
        <v>26</v>
      </c>
      <c r="F4292">
        <v>0.1</v>
      </c>
      <c r="G4292">
        <v>28</v>
      </c>
      <c r="H4292" s="1">
        <v>43927</v>
      </c>
      <c r="I4292">
        <v>2020</v>
      </c>
      <c r="J4292">
        <v>4</v>
      </c>
      <c r="K4292" t="s">
        <v>30</v>
      </c>
      <c r="L4292">
        <v>0</v>
      </c>
      <c r="M4292">
        <v>1</v>
      </c>
    </row>
    <row r="4293" spans="1:13" x14ac:dyDescent="0.25">
      <c r="A4293" t="s">
        <v>1498</v>
      </c>
      <c r="B4293" t="s">
        <v>89</v>
      </c>
      <c r="C4293" t="s">
        <v>14</v>
      </c>
      <c r="D4293" t="s">
        <v>46</v>
      </c>
      <c r="E4293">
        <v>24</v>
      </c>
      <c r="F4293">
        <v>0.14000000000000001</v>
      </c>
      <c r="G4293">
        <v>92</v>
      </c>
      <c r="H4293" s="1">
        <v>43927</v>
      </c>
      <c r="I4293">
        <v>2020</v>
      </c>
      <c r="J4293">
        <v>4</v>
      </c>
      <c r="K4293" t="s">
        <v>30</v>
      </c>
      <c r="L4293">
        <v>0</v>
      </c>
      <c r="M4293">
        <v>1</v>
      </c>
    </row>
    <row r="4294" spans="1:13" x14ac:dyDescent="0.25">
      <c r="A4294" t="s">
        <v>2920</v>
      </c>
      <c r="B4294" t="s">
        <v>66</v>
      </c>
      <c r="C4294" t="s">
        <v>174</v>
      </c>
      <c r="D4294" t="s">
        <v>33</v>
      </c>
      <c r="E4294">
        <v>23</v>
      </c>
      <c r="F4294">
        <v>0.32</v>
      </c>
      <c r="G4294">
        <v>21</v>
      </c>
      <c r="H4294" s="1">
        <v>43927</v>
      </c>
      <c r="I4294">
        <v>2020</v>
      </c>
      <c r="J4294">
        <v>4</v>
      </c>
      <c r="K4294" t="s">
        <v>30</v>
      </c>
      <c r="L4294">
        <v>0</v>
      </c>
      <c r="M4294">
        <v>1</v>
      </c>
    </row>
    <row r="4295" spans="1:13" x14ac:dyDescent="0.25">
      <c r="A4295" t="s">
        <v>2921</v>
      </c>
      <c r="B4295" t="s">
        <v>77</v>
      </c>
      <c r="C4295" t="s">
        <v>174</v>
      </c>
      <c r="D4295" t="s">
        <v>33</v>
      </c>
      <c r="E4295">
        <v>15</v>
      </c>
      <c r="F4295">
        <v>0.2</v>
      </c>
      <c r="G4295">
        <v>72</v>
      </c>
      <c r="H4295" s="1">
        <v>43927</v>
      </c>
      <c r="I4295">
        <v>2020</v>
      </c>
      <c r="J4295">
        <v>4</v>
      </c>
      <c r="K4295" t="s">
        <v>30</v>
      </c>
      <c r="L4295">
        <v>0</v>
      </c>
      <c r="M4295">
        <v>1</v>
      </c>
    </row>
    <row r="4296" spans="1:13" x14ac:dyDescent="0.25">
      <c r="A4296" t="s">
        <v>2922</v>
      </c>
      <c r="B4296" t="s">
        <v>40</v>
      </c>
      <c r="C4296" t="s">
        <v>14</v>
      </c>
      <c r="D4296" t="s">
        <v>81</v>
      </c>
      <c r="E4296">
        <v>10</v>
      </c>
      <c r="F4296">
        <v>0.1</v>
      </c>
      <c r="G4296">
        <v>50</v>
      </c>
      <c r="H4296" s="1">
        <v>43927</v>
      </c>
      <c r="I4296">
        <v>2020</v>
      </c>
      <c r="J4296">
        <v>4</v>
      </c>
      <c r="K4296" t="s">
        <v>30</v>
      </c>
      <c r="L4296">
        <v>0</v>
      </c>
      <c r="M4296">
        <v>1</v>
      </c>
    </row>
    <row r="4297" spans="1:13" x14ac:dyDescent="0.25">
      <c r="A4297" t="s">
        <v>2923</v>
      </c>
      <c r="B4297" t="s">
        <v>52</v>
      </c>
      <c r="C4297" t="s">
        <v>174</v>
      </c>
      <c r="D4297" t="s">
        <v>15</v>
      </c>
      <c r="E4297" t="s">
        <v>21</v>
      </c>
      <c r="F4297" t="s">
        <v>21</v>
      </c>
      <c r="G4297">
        <v>25</v>
      </c>
      <c r="H4297" s="1">
        <v>43927</v>
      </c>
      <c r="I4297">
        <v>2020</v>
      </c>
      <c r="J4297">
        <v>4</v>
      </c>
      <c r="K4297" t="s">
        <v>30</v>
      </c>
      <c r="L4297" t="s">
        <v>21</v>
      </c>
      <c r="M4297">
        <v>0</v>
      </c>
    </row>
    <row r="4298" spans="1:13" x14ac:dyDescent="0.25">
      <c r="A4298" t="s">
        <v>566</v>
      </c>
      <c r="B4298" t="s">
        <v>73</v>
      </c>
      <c r="C4298" t="s">
        <v>14</v>
      </c>
      <c r="D4298" t="s">
        <v>55</v>
      </c>
      <c r="E4298" t="s">
        <v>21</v>
      </c>
      <c r="F4298" t="s">
        <v>21</v>
      </c>
      <c r="G4298">
        <v>183</v>
      </c>
      <c r="H4298" s="1">
        <v>43927</v>
      </c>
      <c r="I4298">
        <v>2020</v>
      </c>
      <c r="J4298">
        <v>4</v>
      </c>
      <c r="K4298" t="s">
        <v>36</v>
      </c>
      <c r="L4298" t="s">
        <v>21</v>
      </c>
      <c r="M4298">
        <v>0</v>
      </c>
    </row>
    <row r="4299" spans="1:13" x14ac:dyDescent="0.25">
      <c r="A4299" t="s">
        <v>1874</v>
      </c>
      <c r="B4299" t="s">
        <v>38</v>
      </c>
      <c r="C4299" t="s">
        <v>14</v>
      </c>
      <c r="D4299" t="s">
        <v>46</v>
      </c>
      <c r="E4299" t="s">
        <v>21</v>
      </c>
      <c r="F4299" t="s">
        <v>21</v>
      </c>
      <c r="G4299">
        <v>227</v>
      </c>
      <c r="H4299" s="1">
        <v>43927</v>
      </c>
      <c r="I4299">
        <v>2020</v>
      </c>
      <c r="J4299">
        <v>4</v>
      </c>
      <c r="K4299" t="s">
        <v>36</v>
      </c>
      <c r="L4299" t="s">
        <v>21</v>
      </c>
      <c r="M4299">
        <v>0</v>
      </c>
    </row>
    <row r="4300" spans="1:13" x14ac:dyDescent="0.25">
      <c r="A4300" t="s">
        <v>388</v>
      </c>
      <c r="B4300" t="s">
        <v>490</v>
      </c>
      <c r="C4300" t="s">
        <v>14</v>
      </c>
      <c r="D4300" t="s">
        <v>22</v>
      </c>
      <c r="E4300">
        <v>40</v>
      </c>
      <c r="F4300">
        <v>0.25</v>
      </c>
      <c r="G4300">
        <v>100</v>
      </c>
      <c r="H4300" s="1">
        <v>43926</v>
      </c>
      <c r="I4300">
        <v>2020</v>
      </c>
      <c r="J4300">
        <v>4</v>
      </c>
      <c r="K4300" t="s">
        <v>36</v>
      </c>
      <c r="L4300">
        <v>0</v>
      </c>
      <c r="M4300">
        <v>1</v>
      </c>
    </row>
    <row r="4301" spans="1:13" x14ac:dyDescent="0.25">
      <c r="A4301" t="s">
        <v>2924</v>
      </c>
      <c r="B4301" t="s">
        <v>18</v>
      </c>
      <c r="C4301" t="s">
        <v>2220</v>
      </c>
      <c r="D4301" t="s">
        <v>22</v>
      </c>
      <c r="E4301">
        <v>50</v>
      </c>
      <c r="F4301">
        <v>0.12</v>
      </c>
      <c r="G4301">
        <v>348</v>
      </c>
      <c r="H4301" s="1">
        <v>43925</v>
      </c>
      <c r="I4301">
        <v>2020</v>
      </c>
      <c r="J4301">
        <v>4</v>
      </c>
      <c r="K4301" t="s">
        <v>36</v>
      </c>
      <c r="L4301">
        <v>0</v>
      </c>
      <c r="M4301">
        <v>1</v>
      </c>
    </row>
    <row r="4302" spans="1:13" x14ac:dyDescent="0.25">
      <c r="A4302" t="s">
        <v>2925</v>
      </c>
      <c r="B4302" t="s">
        <v>207</v>
      </c>
      <c r="C4302" t="s">
        <v>230</v>
      </c>
      <c r="D4302" t="s">
        <v>55</v>
      </c>
      <c r="E4302">
        <v>467</v>
      </c>
      <c r="F4302">
        <v>0.33</v>
      </c>
      <c r="G4302">
        <v>300</v>
      </c>
      <c r="H4302" s="1">
        <v>43924</v>
      </c>
      <c r="I4302">
        <v>2020</v>
      </c>
      <c r="J4302">
        <v>4</v>
      </c>
      <c r="K4302" t="s">
        <v>36</v>
      </c>
      <c r="L4302">
        <v>0</v>
      </c>
      <c r="M4302">
        <v>1</v>
      </c>
    </row>
    <row r="4303" spans="1:13" x14ac:dyDescent="0.25">
      <c r="A4303" t="s">
        <v>1020</v>
      </c>
      <c r="B4303" t="s">
        <v>54</v>
      </c>
      <c r="C4303" t="s">
        <v>14</v>
      </c>
      <c r="D4303" t="s">
        <v>55</v>
      </c>
      <c r="E4303">
        <v>300</v>
      </c>
      <c r="F4303">
        <v>0.5</v>
      </c>
      <c r="G4303">
        <v>162</v>
      </c>
      <c r="H4303" s="1">
        <v>43924</v>
      </c>
      <c r="I4303">
        <v>2020</v>
      </c>
      <c r="J4303">
        <v>4</v>
      </c>
      <c r="K4303" t="s">
        <v>36</v>
      </c>
      <c r="L4303">
        <v>0</v>
      </c>
      <c r="M4303">
        <v>1</v>
      </c>
    </row>
    <row r="4304" spans="1:13" x14ac:dyDescent="0.25">
      <c r="A4304" t="s">
        <v>1185</v>
      </c>
      <c r="B4304" t="s">
        <v>73</v>
      </c>
      <c r="C4304" t="s">
        <v>230</v>
      </c>
      <c r="D4304" t="s">
        <v>22</v>
      </c>
      <c r="E4304">
        <v>167</v>
      </c>
      <c r="F4304">
        <v>0.42</v>
      </c>
      <c r="G4304" t="s">
        <v>21</v>
      </c>
      <c r="H4304" s="1">
        <v>43924</v>
      </c>
      <c r="I4304">
        <v>2020</v>
      </c>
      <c r="J4304">
        <v>4</v>
      </c>
      <c r="K4304" t="s">
        <v>22</v>
      </c>
      <c r="L4304">
        <v>0</v>
      </c>
      <c r="M4304">
        <v>1</v>
      </c>
    </row>
    <row r="4305" spans="1:13" x14ac:dyDescent="0.25">
      <c r="A4305" t="s">
        <v>2926</v>
      </c>
      <c r="B4305" t="s">
        <v>24</v>
      </c>
      <c r="C4305" t="s">
        <v>14</v>
      </c>
      <c r="D4305" t="s">
        <v>111</v>
      </c>
      <c r="E4305">
        <v>147</v>
      </c>
      <c r="F4305">
        <v>0.37</v>
      </c>
      <c r="G4305">
        <v>297</v>
      </c>
      <c r="H4305" s="1">
        <v>43924</v>
      </c>
      <c r="I4305">
        <v>2020</v>
      </c>
      <c r="J4305">
        <v>4</v>
      </c>
      <c r="K4305" t="s">
        <v>36</v>
      </c>
      <c r="L4305">
        <v>0</v>
      </c>
      <c r="M4305">
        <v>1</v>
      </c>
    </row>
    <row r="4306" spans="1:13" x14ac:dyDescent="0.25">
      <c r="A4306" t="s">
        <v>1651</v>
      </c>
      <c r="B4306" t="s">
        <v>66</v>
      </c>
      <c r="C4306" t="s">
        <v>14</v>
      </c>
      <c r="D4306" t="s">
        <v>22</v>
      </c>
      <c r="E4306">
        <v>140</v>
      </c>
      <c r="F4306" t="s">
        <v>21</v>
      </c>
      <c r="G4306">
        <v>225</v>
      </c>
      <c r="H4306" s="1">
        <v>43924</v>
      </c>
      <c r="I4306">
        <v>2020</v>
      </c>
      <c r="J4306">
        <v>4</v>
      </c>
      <c r="K4306" t="s">
        <v>36</v>
      </c>
      <c r="L4306" t="s">
        <v>21</v>
      </c>
      <c r="M4306">
        <v>1</v>
      </c>
    </row>
    <row r="4307" spans="1:13" x14ac:dyDescent="0.25">
      <c r="A4307" t="s">
        <v>2880</v>
      </c>
      <c r="B4307" t="s">
        <v>66</v>
      </c>
      <c r="C4307" t="s">
        <v>14</v>
      </c>
      <c r="D4307" t="s">
        <v>33</v>
      </c>
      <c r="E4307">
        <v>120</v>
      </c>
      <c r="F4307" t="s">
        <v>21</v>
      </c>
      <c r="G4307">
        <v>955</v>
      </c>
      <c r="H4307" s="1">
        <v>43924</v>
      </c>
      <c r="I4307">
        <v>2020</v>
      </c>
      <c r="J4307">
        <v>4</v>
      </c>
      <c r="K4307" t="s">
        <v>36</v>
      </c>
      <c r="L4307" t="s">
        <v>21</v>
      </c>
      <c r="M4307">
        <v>1</v>
      </c>
    </row>
    <row r="4308" spans="1:13" x14ac:dyDescent="0.25">
      <c r="A4308" t="s">
        <v>2927</v>
      </c>
      <c r="B4308" t="s">
        <v>73</v>
      </c>
      <c r="C4308" t="s">
        <v>25</v>
      </c>
      <c r="D4308" t="s">
        <v>22</v>
      </c>
      <c r="E4308">
        <v>100</v>
      </c>
      <c r="F4308">
        <v>0.1</v>
      </c>
      <c r="G4308" t="s">
        <v>21</v>
      </c>
      <c r="H4308" s="1">
        <v>43924</v>
      </c>
      <c r="I4308">
        <v>2020</v>
      </c>
      <c r="J4308">
        <v>4</v>
      </c>
      <c r="K4308" t="s">
        <v>22</v>
      </c>
      <c r="L4308">
        <v>0</v>
      </c>
      <c r="M4308">
        <v>1</v>
      </c>
    </row>
    <row r="4309" spans="1:13" x14ac:dyDescent="0.25">
      <c r="A4309" t="s">
        <v>2928</v>
      </c>
      <c r="B4309" t="s">
        <v>117</v>
      </c>
      <c r="C4309" t="s">
        <v>14</v>
      </c>
      <c r="D4309" t="s">
        <v>33</v>
      </c>
      <c r="E4309">
        <v>75</v>
      </c>
      <c r="F4309">
        <v>7.0000000000000007E-2</v>
      </c>
      <c r="G4309">
        <v>35</v>
      </c>
      <c r="H4309" s="1">
        <v>43924</v>
      </c>
      <c r="I4309">
        <v>2020</v>
      </c>
      <c r="J4309">
        <v>4</v>
      </c>
      <c r="K4309" t="s">
        <v>30</v>
      </c>
      <c r="L4309">
        <v>0</v>
      </c>
      <c r="M4309">
        <v>1</v>
      </c>
    </row>
    <row r="4310" spans="1:13" x14ac:dyDescent="0.25">
      <c r="A4310" t="s">
        <v>1094</v>
      </c>
      <c r="B4310" t="s">
        <v>24</v>
      </c>
      <c r="C4310" t="s">
        <v>14</v>
      </c>
      <c r="D4310" t="s">
        <v>55</v>
      </c>
      <c r="E4310">
        <v>60</v>
      </c>
      <c r="F4310">
        <v>0.13</v>
      </c>
      <c r="G4310">
        <v>97</v>
      </c>
      <c r="H4310" s="1">
        <v>43924</v>
      </c>
      <c r="I4310">
        <v>2020</v>
      </c>
      <c r="J4310">
        <v>4</v>
      </c>
      <c r="K4310" t="s">
        <v>30</v>
      </c>
      <c r="L4310">
        <v>0</v>
      </c>
      <c r="M4310">
        <v>1</v>
      </c>
    </row>
    <row r="4311" spans="1:13" x14ac:dyDescent="0.25">
      <c r="A4311" t="s">
        <v>2929</v>
      </c>
      <c r="B4311" t="s">
        <v>77</v>
      </c>
      <c r="C4311" t="s">
        <v>14</v>
      </c>
      <c r="D4311" t="s">
        <v>33</v>
      </c>
      <c r="E4311">
        <v>35</v>
      </c>
      <c r="F4311">
        <v>0.4</v>
      </c>
      <c r="G4311">
        <v>40</v>
      </c>
      <c r="H4311" s="1">
        <v>43924</v>
      </c>
      <c r="I4311">
        <v>2020</v>
      </c>
      <c r="J4311">
        <v>4</v>
      </c>
      <c r="K4311" t="s">
        <v>30</v>
      </c>
      <c r="L4311">
        <v>0</v>
      </c>
      <c r="M4311">
        <v>1</v>
      </c>
    </row>
    <row r="4312" spans="1:13" x14ac:dyDescent="0.25">
      <c r="A4312" t="s">
        <v>1025</v>
      </c>
      <c r="B4312" t="s">
        <v>140</v>
      </c>
      <c r="C4312" t="s">
        <v>14</v>
      </c>
      <c r="D4312" t="s">
        <v>55</v>
      </c>
      <c r="E4312">
        <v>34</v>
      </c>
      <c r="F4312">
        <v>0.13</v>
      </c>
      <c r="G4312">
        <v>247</v>
      </c>
      <c r="H4312" s="1">
        <v>43924</v>
      </c>
      <c r="I4312">
        <v>2020</v>
      </c>
      <c r="J4312">
        <v>4</v>
      </c>
      <c r="K4312" t="s">
        <v>36</v>
      </c>
      <c r="L4312">
        <v>0</v>
      </c>
      <c r="M4312">
        <v>1</v>
      </c>
    </row>
    <row r="4313" spans="1:13" x14ac:dyDescent="0.25">
      <c r="A4313" t="s">
        <v>1748</v>
      </c>
      <c r="B4313" t="s">
        <v>32</v>
      </c>
      <c r="C4313" t="s">
        <v>14</v>
      </c>
      <c r="D4313" t="s">
        <v>111</v>
      </c>
      <c r="E4313">
        <v>24</v>
      </c>
      <c r="F4313">
        <v>0.08</v>
      </c>
      <c r="G4313">
        <v>80</v>
      </c>
      <c r="H4313" s="1">
        <v>43924</v>
      </c>
      <c r="I4313">
        <v>2020</v>
      </c>
      <c r="J4313">
        <v>4</v>
      </c>
      <c r="K4313" t="s">
        <v>30</v>
      </c>
      <c r="L4313">
        <v>0</v>
      </c>
      <c r="M4313">
        <v>1</v>
      </c>
    </row>
    <row r="4314" spans="1:13" x14ac:dyDescent="0.25">
      <c r="A4314" t="s">
        <v>1748</v>
      </c>
      <c r="B4314" t="s">
        <v>32</v>
      </c>
      <c r="C4314" t="s">
        <v>14</v>
      </c>
      <c r="D4314" t="s">
        <v>111</v>
      </c>
      <c r="E4314">
        <v>19</v>
      </c>
      <c r="F4314" t="s">
        <v>21</v>
      </c>
      <c r="G4314">
        <v>80</v>
      </c>
      <c r="H4314" s="1">
        <v>43924</v>
      </c>
      <c r="I4314">
        <v>2020</v>
      </c>
      <c r="J4314">
        <v>4</v>
      </c>
      <c r="K4314" t="s">
        <v>30</v>
      </c>
      <c r="L4314" t="s">
        <v>21</v>
      </c>
      <c r="M4314">
        <v>1</v>
      </c>
    </row>
    <row r="4315" spans="1:13" x14ac:dyDescent="0.25">
      <c r="A4315" t="s">
        <v>2930</v>
      </c>
      <c r="B4315" t="s">
        <v>35</v>
      </c>
      <c r="C4315" t="s">
        <v>174</v>
      </c>
      <c r="D4315" t="s">
        <v>68</v>
      </c>
      <c r="E4315">
        <v>18</v>
      </c>
      <c r="F4315">
        <v>0.25</v>
      </c>
      <c r="G4315">
        <v>24</v>
      </c>
      <c r="H4315" s="1">
        <v>43924</v>
      </c>
      <c r="I4315">
        <v>2020</v>
      </c>
      <c r="J4315">
        <v>4</v>
      </c>
      <c r="K4315" t="s">
        <v>30</v>
      </c>
      <c r="L4315">
        <v>0</v>
      </c>
      <c r="M4315">
        <v>1</v>
      </c>
    </row>
    <row r="4316" spans="1:13" x14ac:dyDescent="0.25">
      <c r="A4316" t="s">
        <v>2931</v>
      </c>
      <c r="B4316" t="s">
        <v>35</v>
      </c>
      <c r="C4316" t="s">
        <v>14</v>
      </c>
      <c r="D4316" t="s">
        <v>68</v>
      </c>
      <c r="E4316">
        <v>17</v>
      </c>
      <c r="F4316" t="s">
        <v>21</v>
      </c>
      <c r="G4316">
        <v>14</v>
      </c>
      <c r="H4316" s="1">
        <v>43924</v>
      </c>
      <c r="I4316">
        <v>2020</v>
      </c>
      <c r="J4316">
        <v>4</v>
      </c>
      <c r="K4316" t="s">
        <v>30</v>
      </c>
      <c r="L4316" t="s">
        <v>21</v>
      </c>
      <c r="M4316">
        <v>1</v>
      </c>
    </row>
    <row r="4317" spans="1:13" x14ac:dyDescent="0.25">
      <c r="A4317" t="s">
        <v>2932</v>
      </c>
      <c r="B4317" t="s">
        <v>32</v>
      </c>
      <c r="C4317" t="s">
        <v>14</v>
      </c>
      <c r="D4317" t="s">
        <v>22</v>
      </c>
      <c r="E4317">
        <v>14</v>
      </c>
      <c r="F4317">
        <v>0.05</v>
      </c>
      <c r="G4317" t="s">
        <v>21</v>
      </c>
      <c r="H4317" s="1">
        <v>43924</v>
      </c>
      <c r="I4317">
        <v>2020</v>
      </c>
      <c r="J4317">
        <v>4</v>
      </c>
      <c r="K4317" t="s">
        <v>22</v>
      </c>
      <c r="L4317">
        <v>0</v>
      </c>
      <c r="M4317">
        <v>1</v>
      </c>
    </row>
    <row r="4318" spans="1:13" x14ac:dyDescent="0.25">
      <c r="A4318" t="s">
        <v>2933</v>
      </c>
      <c r="B4318" t="s">
        <v>24</v>
      </c>
      <c r="C4318" t="s">
        <v>14</v>
      </c>
      <c r="D4318" t="s">
        <v>68</v>
      </c>
      <c r="E4318">
        <v>12</v>
      </c>
      <c r="F4318" t="s">
        <v>21</v>
      </c>
      <c r="G4318">
        <v>4</v>
      </c>
      <c r="H4318" s="1">
        <v>43924</v>
      </c>
      <c r="I4318">
        <v>2020</v>
      </c>
      <c r="J4318">
        <v>4</v>
      </c>
      <c r="K4318" t="s">
        <v>16</v>
      </c>
      <c r="L4318" t="s">
        <v>21</v>
      </c>
      <c r="M4318">
        <v>1</v>
      </c>
    </row>
    <row r="4319" spans="1:13" x14ac:dyDescent="0.25">
      <c r="A4319" t="s">
        <v>2934</v>
      </c>
      <c r="B4319" t="s">
        <v>73</v>
      </c>
      <c r="C4319" t="s">
        <v>14</v>
      </c>
      <c r="D4319" t="s">
        <v>22</v>
      </c>
      <c r="E4319">
        <v>10</v>
      </c>
      <c r="F4319">
        <v>0.25</v>
      </c>
      <c r="G4319" t="s">
        <v>21</v>
      </c>
      <c r="H4319" s="1">
        <v>43924</v>
      </c>
      <c r="I4319">
        <v>2020</v>
      </c>
      <c r="J4319">
        <v>4</v>
      </c>
      <c r="K4319" t="s">
        <v>22</v>
      </c>
      <c r="L4319">
        <v>0</v>
      </c>
      <c r="M4319">
        <v>1</v>
      </c>
    </row>
    <row r="4320" spans="1:13" x14ac:dyDescent="0.25">
      <c r="A4320" t="s">
        <v>2935</v>
      </c>
      <c r="B4320" t="s">
        <v>32</v>
      </c>
      <c r="C4320" t="s">
        <v>14</v>
      </c>
      <c r="D4320" t="s">
        <v>22</v>
      </c>
      <c r="E4320">
        <v>5</v>
      </c>
      <c r="F4320">
        <v>0.2</v>
      </c>
      <c r="G4320" t="s">
        <v>21</v>
      </c>
      <c r="H4320" s="1">
        <v>43924</v>
      </c>
      <c r="I4320">
        <v>2020</v>
      </c>
      <c r="J4320">
        <v>4</v>
      </c>
      <c r="K4320" t="s">
        <v>22</v>
      </c>
      <c r="L4320">
        <v>0</v>
      </c>
      <c r="M4320">
        <v>1</v>
      </c>
    </row>
    <row r="4321" spans="1:13" x14ac:dyDescent="0.25">
      <c r="A4321" t="s">
        <v>2936</v>
      </c>
      <c r="B4321" t="s">
        <v>38</v>
      </c>
      <c r="C4321" t="s">
        <v>14</v>
      </c>
      <c r="D4321" t="s">
        <v>68</v>
      </c>
      <c r="E4321" t="s">
        <v>21</v>
      </c>
      <c r="F4321" t="s">
        <v>21</v>
      </c>
      <c r="G4321">
        <v>16</v>
      </c>
      <c r="H4321" s="1">
        <v>43924</v>
      </c>
      <c r="I4321">
        <v>2020</v>
      </c>
      <c r="J4321">
        <v>4</v>
      </c>
      <c r="K4321" t="s">
        <v>30</v>
      </c>
      <c r="L4321" t="s">
        <v>21</v>
      </c>
      <c r="M4321">
        <v>0</v>
      </c>
    </row>
    <row r="4322" spans="1:13" x14ac:dyDescent="0.25">
      <c r="A4322" t="s">
        <v>2937</v>
      </c>
      <c r="B4322" t="s">
        <v>40</v>
      </c>
      <c r="C4322" t="s">
        <v>14</v>
      </c>
      <c r="D4322" t="s">
        <v>33</v>
      </c>
      <c r="E4322" t="s">
        <v>21</v>
      </c>
      <c r="F4322" t="s">
        <v>21</v>
      </c>
      <c r="G4322">
        <v>64</v>
      </c>
      <c r="H4322" s="1">
        <v>43924</v>
      </c>
      <c r="I4322">
        <v>2020</v>
      </c>
      <c r="J4322">
        <v>4</v>
      </c>
      <c r="K4322" t="s">
        <v>30</v>
      </c>
      <c r="L4322" t="s">
        <v>21</v>
      </c>
      <c r="M4322">
        <v>0</v>
      </c>
    </row>
    <row r="4323" spans="1:13" x14ac:dyDescent="0.25">
      <c r="A4323" t="s">
        <v>2938</v>
      </c>
      <c r="B4323" t="s">
        <v>73</v>
      </c>
      <c r="C4323" t="s">
        <v>274</v>
      </c>
      <c r="D4323" t="s">
        <v>33</v>
      </c>
      <c r="E4323" t="s">
        <v>21</v>
      </c>
      <c r="F4323" t="s">
        <v>21</v>
      </c>
      <c r="G4323">
        <v>41</v>
      </c>
      <c r="H4323" s="1">
        <v>43924</v>
      </c>
      <c r="I4323">
        <v>2020</v>
      </c>
      <c r="J4323">
        <v>4</v>
      </c>
      <c r="K4323" t="s">
        <v>30</v>
      </c>
      <c r="L4323" t="s">
        <v>21</v>
      </c>
      <c r="M4323">
        <v>0</v>
      </c>
    </row>
    <row r="4324" spans="1:13" x14ac:dyDescent="0.25">
      <c r="A4324" t="s">
        <v>2939</v>
      </c>
      <c r="B4324" t="s">
        <v>40</v>
      </c>
      <c r="C4324" t="s">
        <v>14</v>
      </c>
      <c r="D4324" t="s">
        <v>68</v>
      </c>
      <c r="E4324" t="s">
        <v>21</v>
      </c>
      <c r="F4324" t="s">
        <v>21</v>
      </c>
      <c r="G4324">
        <v>7</v>
      </c>
      <c r="H4324" s="1">
        <v>43924</v>
      </c>
      <c r="I4324">
        <v>2020</v>
      </c>
      <c r="J4324">
        <v>4</v>
      </c>
      <c r="K4324" t="s">
        <v>16</v>
      </c>
      <c r="L4324" t="s">
        <v>21</v>
      </c>
      <c r="M4324">
        <v>0</v>
      </c>
    </row>
    <row r="4325" spans="1:13" x14ac:dyDescent="0.25">
      <c r="A4325" t="s">
        <v>2940</v>
      </c>
      <c r="B4325" t="s">
        <v>45</v>
      </c>
      <c r="C4325" t="s">
        <v>14</v>
      </c>
      <c r="D4325" t="s">
        <v>33</v>
      </c>
      <c r="E4325" t="s">
        <v>21</v>
      </c>
      <c r="F4325" t="s">
        <v>21</v>
      </c>
      <c r="G4325">
        <v>28</v>
      </c>
      <c r="H4325" s="1">
        <v>43924</v>
      </c>
      <c r="I4325">
        <v>2020</v>
      </c>
      <c r="J4325">
        <v>4</v>
      </c>
      <c r="K4325" t="s">
        <v>30</v>
      </c>
      <c r="L4325" t="s">
        <v>21</v>
      </c>
      <c r="M4325">
        <v>0</v>
      </c>
    </row>
    <row r="4326" spans="1:13" x14ac:dyDescent="0.25">
      <c r="A4326" t="s">
        <v>2281</v>
      </c>
      <c r="B4326" t="s">
        <v>91</v>
      </c>
      <c r="C4326" t="s">
        <v>14</v>
      </c>
      <c r="D4326" t="s">
        <v>46</v>
      </c>
      <c r="E4326" t="s">
        <v>21</v>
      </c>
      <c r="F4326">
        <v>0.5</v>
      </c>
      <c r="G4326">
        <v>117</v>
      </c>
      <c r="H4326" s="1">
        <v>43924</v>
      </c>
      <c r="I4326">
        <v>2020</v>
      </c>
      <c r="J4326">
        <v>4</v>
      </c>
      <c r="K4326" t="s">
        <v>36</v>
      </c>
      <c r="L4326">
        <v>0</v>
      </c>
      <c r="M4326">
        <v>1</v>
      </c>
    </row>
    <row r="4327" spans="1:13" x14ac:dyDescent="0.25">
      <c r="A4327" t="s">
        <v>2167</v>
      </c>
      <c r="B4327" t="s">
        <v>207</v>
      </c>
      <c r="C4327" t="s">
        <v>14</v>
      </c>
      <c r="D4327" t="s">
        <v>15</v>
      </c>
      <c r="E4327">
        <v>700</v>
      </c>
      <c r="F4327">
        <v>0.35</v>
      </c>
      <c r="G4327">
        <v>114</v>
      </c>
      <c r="H4327" s="1">
        <v>43923</v>
      </c>
      <c r="I4327">
        <v>2020</v>
      </c>
      <c r="J4327">
        <v>4</v>
      </c>
      <c r="K4327" t="s">
        <v>36</v>
      </c>
      <c r="L4327">
        <v>0</v>
      </c>
      <c r="M4327">
        <v>1</v>
      </c>
    </row>
    <row r="4328" spans="1:13" x14ac:dyDescent="0.25">
      <c r="A4328" t="s">
        <v>2645</v>
      </c>
      <c r="B4328" t="s">
        <v>533</v>
      </c>
      <c r="C4328" t="s">
        <v>14</v>
      </c>
      <c r="D4328" t="s">
        <v>55</v>
      </c>
      <c r="E4328">
        <v>240</v>
      </c>
      <c r="F4328">
        <v>0.03</v>
      </c>
      <c r="G4328">
        <v>1200</v>
      </c>
      <c r="H4328" s="1">
        <v>43923</v>
      </c>
      <c r="I4328">
        <v>2020</v>
      </c>
      <c r="J4328">
        <v>4</v>
      </c>
      <c r="K4328" t="s">
        <v>26</v>
      </c>
      <c r="L4328">
        <v>0</v>
      </c>
      <c r="M4328">
        <v>1</v>
      </c>
    </row>
    <row r="4329" spans="1:13" x14ac:dyDescent="0.25">
      <c r="A4329" t="s">
        <v>1381</v>
      </c>
      <c r="B4329" t="s">
        <v>95</v>
      </c>
      <c r="C4329" t="s">
        <v>174</v>
      </c>
      <c r="D4329" t="s">
        <v>46</v>
      </c>
      <c r="E4329">
        <v>196</v>
      </c>
      <c r="F4329">
        <v>0.54</v>
      </c>
      <c r="G4329">
        <v>112</v>
      </c>
      <c r="H4329" s="1">
        <v>43923</v>
      </c>
      <c r="I4329">
        <v>2020</v>
      </c>
      <c r="J4329">
        <v>4</v>
      </c>
      <c r="K4329" t="s">
        <v>36</v>
      </c>
      <c r="L4329">
        <v>0</v>
      </c>
      <c r="M4329">
        <v>1</v>
      </c>
    </row>
    <row r="4330" spans="1:13" x14ac:dyDescent="0.25">
      <c r="A4330" t="s">
        <v>2941</v>
      </c>
      <c r="B4330" t="s">
        <v>207</v>
      </c>
      <c r="C4330" t="s">
        <v>14</v>
      </c>
      <c r="D4330" t="s">
        <v>111</v>
      </c>
      <c r="E4330">
        <v>154</v>
      </c>
      <c r="F4330">
        <v>0.22</v>
      </c>
      <c r="G4330">
        <v>549</v>
      </c>
      <c r="H4330" s="1">
        <v>43923</v>
      </c>
      <c r="I4330">
        <v>2020</v>
      </c>
      <c r="J4330">
        <v>4</v>
      </c>
      <c r="K4330" t="s">
        <v>36</v>
      </c>
      <c r="L4330">
        <v>0</v>
      </c>
      <c r="M4330">
        <v>1</v>
      </c>
    </row>
    <row r="4331" spans="1:13" x14ac:dyDescent="0.25">
      <c r="A4331" t="s">
        <v>2942</v>
      </c>
      <c r="B4331" t="s">
        <v>207</v>
      </c>
      <c r="C4331" t="s">
        <v>83</v>
      </c>
      <c r="D4331" t="s">
        <v>55</v>
      </c>
      <c r="E4331">
        <v>100</v>
      </c>
      <c r="F4331">
        <v>0.25</v>
      </c>
      <c r="G4331">
        <v>109</v>
      </c>
      <c r="H4331" s="1">
        <v>43923</v>
      </c>
      <c r="I4331">
        <v>2020</v>
      </c>
      <c r="J4331">
        <v>4</v>
      </c>
      <c r="K4331" t="s">
        <v>36</v>
      </c>
      <c r="L4331">
        <v>0</v>
      </c>
      <c r="M4331">
        <v>1</v>
      </c>
    </row>
    <row r="4332" spans="1:13" x14ac:dyDescent="0.25">
      <c r="A4332" t="s">
        <v>876</v>
      </c>
      <c r="B4332" t="s">
        <v>66</v>
      </c>
      <c r="C4332" t="s">
        <v>161</v>
      </c>
      <c r="D4332" t="s">
        <v>33</v>
      </c>
      <c r="E4332">
        <v>100</v>
      </c>
      <c r="F4332" t="s">
        <v>21</v>
      </c>
      <c r="G4332">
        <v>167</v>
      </c>
      <c r="H4332" s="1">
        <v>43923</v>
      </c>
      <c r="I4332">
        <v>2020</v>
      </c>
      <c r="J4332">
        <v>4</v>
      </c>
      <c r="K4332" t="s">
        <v>36</v>
      </c>
      <c r="L4332" t="s">
        <v>21</v>
      </c>
      <c r="M4332">
        <v>1</v>
      </c>
    </row>
    <row r="4333" spans="1:13" x14ac:dyDescent="0.25">
      <c r="A4333" t="s">
        <v>2943</v>
      </c>
      <c r="B4333" t="s">
        <v>91</v>
      </c>
      <c r="C4333" t="s">
        <v>14</v>
      </c>
      <c r="D4333" t="s">
        <v>55</v>
      </c>
      <c r="E4333">
        <v>90</v>
      </c>
      <c r="F4333">
        <v>0.2</v>
      </c>
      <c r="G4333">
        <v>222</v>
      </c>
      <c r="H4333" s="1">
        <v>43923</v>
      </c>
      <c r="I4333">
        <v>2020</v>
      </c>
      <c r="J4333">
        <v>4</v>
      </c>
      <c r="K4333" t="s">
        <v>36</v>
      </c>
      <c r="L4333">
        <v>0</v>
      </c>
      <c r="M4333">
        <v>1</v>
      </c>
    </row>
    <row r="4334" spans="1:13" x14ac:dyDescent="0.25">
      <c r="A4334" t="s">
        <v>2944</v>
      </c>
      <c r="B4334" t="s">
        <v>24</v>
      </c>
      <c r="C4334" t="s">
        <v>14</v>
      </c>
      <c r="D4334" t="s">
        <v>55</v>
      </c>
      <c r="E4334">
        <v>70</v>
      </c>
      <c r="F4334">
        <v>0.17</v>
      </c>
      <c r="G4334">
        <v>253</v>
      </c>
      <c r="H4334" s="1">
        <v>43923</v>
      </c>
      <c r="I4334">
        <v>2020</v>
      </c>
      <c r="J4334">
        <v>4</v>
      </c>
      <c r="K4334" t="s">
        <v>36</v>
      </c>
      <c r="L4334">
        <v>0</v>
      </c>
      <c r="M4334">
        <v>1</v>
      </c>
    </row>
    <row r="4335" spans="1:13" x14ac:dyDescent="0.25">
      <c r="A4335" t="s">
        <v>2945</v>
      </c>
      <c r="B4335" t="s">
        <v>24</v>
      </c>
      <c r="C4335" t="s">
        <v>14</v>
      </c>
      <c r="D4335" t="s">
        <v>33</v>
      </c>
      <c r="E4335">
        <v>65</v>
      </c>
      <c r="F4335">
        <v>0.3</v>
      </c>
      <c r="G4335">
        <v>68</v>
      </c>
      <c r="H4335" s="1">
        <v>43923</v>
      </c>
      <c r="I4335">
        <v>2020</v>
      </c>
      <c r="J4335">
        <v>4</v>
      </c>
      <c r="K4335" t="s">
        <v>30</v>
      </c>
      <c r="L4335">
        <v>0</v>
      </c>
      <c r="M4335">
        <v>1</v>
      </c>
    </row>
    <row r="4336" spans="1:13" x14ac:dyDescent="0.25">
      <c r="A4336" t="s">
        <v>1337</v>
      </c>
      <c r="B4336" t="s">
        <v>28</v>
      </c>
      <c r="C4336" t="s">
        <v>14</v>
      </c>
      <c r="D4336" t="s">
        <v>33</v>
      </c>
      <c r="E4336">
        <v>60</v>
      </c>
      <c r="F4336" t="s">
        <v>21</v>
      </c>
      <c r="G4336">
        <v>152</v>
      </c>
      <c r="H4336" s="1">
        <v>43923</v>
      </c>
      <c r="I4336">
        <v>2020</v>
      </c>
      <c r="J4336">
        <v>4</v>
      </c>
      <c r="K4336" t="s">
        <v>36</v>
      </c>
      <c r="L4336" t="s">
        <v>21</v>
      </c>
      <c r="M4336">
        <v>1</v>
      </c>
    </row>
    <row r="4337" spans="1:13" x14ac:dyDescent="0.25">
      <c r="A4337" t="s">
        <v>2352</v>
      </c>
      <c r="B4337" t="s">
        <v>40</v>
      </c>
      <c r="C4337" t="s">
        <v>14</v>
      </c>
      <c r="D4337" t="s">
        <v>20</v>
      </c>
      <c r="E4337">
        <v>59</v>
      </c>
      <c r="F4337">
        <v>0.25</v>
      </c>
      <c r="G4337">
        <v>65</v>
      </c>
      <c r="H4337" s="1">
        <v>43923</v>
      </c>
      <c r="I4337">
        <v>2020</v>
      </c>
      <c r="J4337">
        <v>4</v>
      </c>
      <c r="K4337" t="s">
        <v>30</v>
      </c>
      <c r="L4337">
        <v>0</v>
      </c>
      <c r="M4337">
        <v>1</v>
      </c>
    </row>
    <row r="4338" spans="1:13" x14ac:dyDescent="0.25">
      <c r="A4338" t="s">
        <v>2946</v>
      </c>
      <c r="B4338" t="s">
        <v>66</v>
      </c>
      <c r="C4338" t="s">
        <v>48</v>
      </c>
      <c r="D4338" t="s">
        <v>46</v>
      </c>
      <c r="E4338">
        <v>40</v>
      </c>
      <c r="F4338" t="s">
        <v>21</v>
      </c>
      <c r="G4338">
        <v>122</v>
      </c>
      <c r="H4338" s="1">
        <v>43923</v>
      </c>
      <c r="I4338">
        <v>2020</v>
      </c>
      <c r="J4338">
        <v>4</v>
      </c>
      <c r="K4338" t="s">
        <v>36</v>
      </c>
      <c r="L4338" t="s">
        <v>21</v>
      </c>
      <c r="M4338">
        <v>1</v>
      </c>
    </row>
    <row r="4339" spans="1:13" x14ac:dyDescent="0.25">
      <c r="A4339" t="s">
        <v>2947</v>
      </c>
      <c r="B4339" t="s">
        <v>45</v>
      </c>
      <c r="C4339" t="s">
        <v>14</v>
      </c>
      <c r="D4339" t="s">
        <v>81</v>
      </c>
      <c r="E4339">
        <v>39</v>
      </c>
      <c r="F4339">
        <v>0.2</v>
      </c>
      <c r="G4339">
        <v>118</v>
      </c>
      <c r="H4339" s="1">
        <v>43923</v>
      </c>
      <c r="I4339">
        <v>2020</v>
      </c>
      <c r="J4339">
        <v>4</v>
      </c>
      <c r="K4339" t="s">
        <v>36</v>
      </c>
      <c r="L4339">
        <v>0</v>
      </c>
      <c r="M4339">
        <v>1</v>
      </c>
    </row>
    <row r="4340" spans="1:13" x14ac:dyDescent="0.25">
      <c r="A4340" t="s">
        <v>1590</v>
      </c>
      <c r="B4340" t="s">
        <v>54</v>
      </c>
      <c r="C4340" t="s">
        <v>14</v>
      </c>
      <c r="D4340" t="s">
        <v>46</v>
      </c>
      <c r="E4340">
        <v>35</v>
      </c>
      <c r="F4340" t="s">
        <v>21</v>
      </c>
      <c r="G4340">
        <v>102</v>
      </c>
      <c r="H4340" s="1">
        <v>43923</v>
      </c>
      <c r="I4340">
        <v>2020</v>
      </c>
      <c r="J4340">
        <v>4</v>
      </c>
      <c r="K4340" t="s">
        <v>36</v>
      </c>
      <c r="L4340" t="s">
        <v>21</v>
      </c>
      <c r="M4340">
        <v>1</v>
      </c>
    </row>
    <row r="4341" spans="1:13" x14ac:dyDescent="0.25">
      <c r="A4341" t="s">
        <v>2948</v>
      </c>
      <c r="B4341" t="s">
        <v>40</v>
      </c>
      <c r="C4341" t="s">
        <v>14</v>
      </c>
      <c r="D4341" t="s">
        <v>111</v>
      </c>
      <c r="E4341">
        <v>35</v>
      </c>
      <c r="F4341">
        <v>0.19</v>
      </c>
      <c r="G4341">
        <v>114</v>
      </c>
      <c r="H4341" s="1">
        <v>43923</v>
      </c>
      <c r="I4341">
        <v>2020</v>
      </c>
      <c r="J4341">
        <v>4</v>
      </c>
      <c r="K4341" t="s">
        <v>36</v>
      </c>
      <c r="L4341">
        <v>0</v>
      </c>
      <c r="M4341">
        <v>1</v>
      </c>
    </row>
    <row r="4342" spans="1:13" x14ac:dyDescent="0.25">
      <c r="A4342" t="s">
        <v>2949</v>
      </c>
      <c r="B4342" t="s">
        <v>32</v>
      </c>
      <c r="C4342" t="s">
        <v>14</v>
      </c>
      <c r="D4342" t="s">
        <v>55</v>
      </c>
      <c r="E4342">
        <v>30</v>
      </c>
      <c r="F4342" t="s">
        <v>21</v>
      </c>
      <c r="G4342">
        <v>50</v>
      </c>
      <c r="H4342" s="1">
        <v>43923</v>
      </c>
      <c r="I4342">
        <v>2020</v>
      </c>
      <c r="J4342">
        <v>4</v>
      </c>
      <c r="K4342" t="s">
        <v>30</v>
      </c>
      <c r="L4342" t="s">
        <v>21</v>
      </c>
      <c r="M4342">
        <v>1</v>
      </c>
    </row>
    <row r="4343" spans="1:13" x14ac:dyDescent="0.25">
      <c r="A4343" t="s">
        <v>2950</v>
      </c>
      <c r="B4343" t="s">
        <v>140</v>
      </c>
      <c r="C4343" t="s">
        <v>14</v>
      </c>
      <c r="D4343" t="s">
        <v>22</v>
      </c>
      <c r="E4343">
        <v>30</v>
      </c>
      <c r="F4343">
        <v>0.15</v>
      </c>
      <c r="G4343">
        <v>151</v>
      </c>
      <c r="H4343" s="1">
        <v>43923</v>
      </c>
      <c r="I4343">
        <v>2020</v>
      </c>
      <c r="J4343">
        <v>4</v>
      </c>
      <c r="K4343" t="s">
        <v>36</v>
      </c>
      <c r="L4343">
        <v>0</v>
      </c>
      <c r="M4343">
        <v>1</v>
      </c>
    </row>
    <row r="4344" spans="1:13" x14ac:dyDescent="0.25">
      <c r="A4344" t="s">
        <v>2951</v>
      </c>
      <c r="B4344" t="s">
        <v>40</v>
      </c>
      <c r="C4344" t="s">
        <v>14</v>
      </c>
      <c r="D4344" t="s">
        <v>33</v>
      </c>
      <c r="E4344">
        <v>26</v>
      </c>
      <c r="F4344" t="s">
        <v>21</v>
      </c>
      <c r="G4344">
        <v>40</v>
      </c>
      <c r="H4344" s="1">
        <v>43923</v>
      </c>
      <c r="I4344">
        <v>2020</v>
      </c>
      <c r="J4344">
        <v>4</v>
      </c>
      <c r="K4344" t="s">
        <v>30</v>
      </c>
      <c r="L4344" t="s">
        <v>21</v>
      </c>
      <c r="M4344">
        <v>1</v>
      </c>
    </row>
    <row r="4345" spans="1:13" x14ac:dyDescent="0.25">
      <c r="A4345" t="s">
        <v>403</v>
      </c>
      <c r="B4345" t="s">
        <v>54</v>
      </c>
      <c r="C4345" t="s">
        <v>14</v>
      </c>
      <c r="D4345" t="s">
        <v>33</v>
      </c>
      <c r="E4345">
        <v>23</v>
      </c>
      <c r="F4345">
        <v>7.0000000000000007E-2</v>
      </c>
      <c r="G4345">
        <v>16</v>
      </c>
      <c r="H4345" s="1">
        <v>43923</v>
      </c>
      <c r="I4345">
        <v>2020</v>
      </c>
      <c r="J4345">
        <v>4</v>
      </c>
      <c r="K4345" t="s">
        <v>30</v>
      </c>
      <c r="L4345">
        <v>0</v>
      </c>
      <c r="M4345">
        <v>1</v>
      </c>
    </row>
    <row r="4346" spans="1:13" x14ac:dyDescent="0.25">
      <c r="A4346" t="s">
        <v>2952</v>
      </c>
      <c r="B4346" t="s">
        <v>106</v>
      </c>
      <c r="C4346" t="s">
        <v>14</v>
      </c>
      <c r="D4346" t="s">
        <v>22</v>
      </c>
      <c r="E4346">
        <v>7</v>
      </c>
      <c r="F4346">
        <v>7.0000000000000007E-2</v>
      </c>
      <c r="G4346">
        <v>2</v>
      </c>
      <c r="H4346" s="1">
        <v>43923</v>
      </c>
      <c r="I4346">
        <v>2020</v>
      </c>
      <c r="J4346">
        <v>4</v>
      </c>
      <c r="K4346" t="s">
        <v>16</v>
      </c>
      <c r="L4346">
        <v>0</v>
      </c>
      <c r="M4346">
        <v>1</v>
      </c>
    </row>
    <row r="4347" spans="1:13" x14ac:dyDescent="0.25">
      <c r="A4347" t="s">
        <v>2953</v>
      </c>
      <c r="B4347" t="s">
        <v>77</v>
      </c>
      <c r="C4347" t="s">
        <v>48</v>
      </c>
      <c r="D4347" t="s">
        <v>22</v>
      </c>
      <c r="E4347">
        <v>6</v>
      </c>
      <c r="F4347">
        <v>0.06</v>
      </c>
      <c r="G4347">
        <v>8</v>
      </c>
      <c r="H4347" s="1">
        <v>43923</v>
      </c>
      <c r="I4347">
        <v>2020</v>
      </c>
      <c r="J4347">
        <v>4</v>
      </c>
      <c r="K4347" t="s">
        <v>16</v>
      </c>
      <c r="L4347">
        <v>0</v>
      </c>
      <c r="M4347">
        <v>1</v>
      </c>
    </row>
    <row r="4348" spans="1:13" x14ac:dyDescent="0.25">
      <c r="A4348" t="s">
        <v>2954</v>
      </c>
      <c r="B4348" t="s">
        <v>95</v>
      </c>
      <c r="C4348" t="s">
        <v>14</v>
      </c>
      <c r="D4348" t="s">
        <v>68</v>
      </c>
      <c r="E4348">
        <v>5</v>
      </c>
      <c r="F4348">
        <v>7.0000000000000007E-2</v>
      </c>
      <c r="G4348">
        <v>6</v>
      </c>
      <c r="H4348" s="1">
        <v>43923</v>
      </c>
      <c r="I4348">
        <v>2020</v>
      </c>
      <c r="J4348">
        <v>4</v>
      </c>
      <c r="K4348" t="s">
        <v>16</v>
      </c>
      <c r="L4348">
        <v>0</v>
      </c>
      <c r="M4348">
        <v>1</v>
      </c>
    </row>
    <row r="4349" spans="1:13" x14ac:dyDescent="0.25">
      <c r="A4349" t="s">
        <v>2955</v>
      </c>
      <c r="B4349" t="s">
        <v>91</v>
      </c>
      <c r="C4349" t="s">
        <v>14</v>
      </c>
      <c r="D4349" t="s">
        <v>22</v>
      </c>
      <c r="E4349" t="s">
        <v>21</v>
      </c>
      <c r="F4349">
        <v>0.5</v>
      </c>
      <c r="G4349" t="s">
        <v>21</v>
      </c>
      <c r="H4349" s="1">
        <v>43923</v>
      </c>
      <c r="I4349">
        <v>2020</v>
      </c>
      <c r="J4349">
        <v>4</v>
      </c>
      <c r="K4349" t="s">
        <v>22</v>
      </c>
      <c r="L4349">
        <v>0</v>
      </c>
      <c r="M4349">
        <v>1</v>
      </c>
    </row>
    <row r="4350" spans="1:13" x14ac:dyDescent="0.25">
      <c r="A4350" t="s">
        <v>2956</v>
      </c>
      <c r="B4350" t="s">
        <v>24</v>
      </c>
      <c r="C4350" t="s">
        <v>48</v>
      </c>
      <c r="D4350" t="s">
        <v>81</v>
      </c>
      <c r="E4350" t="s">
        <v>21</v>
      </c>
      <c r="F4350" t="s">
        <v>21</v>
      </c>
      <c r="G4350">
        <v>102</v>
      </c>
      <c r="H4350" s="1">
        <v>43923</v>
      </c>
      <c r="I4350">
        <v>2020</v>
      </c>
      <c r="J4350">
        <v>4</v>
      </c>
      <c r="K4350" t="s">
        <v>36</v>
      </c>
      <c r="L4350" t="s">
        <v>21</v>
      </c>
      <c r="M4350">
        <v>0</v>
      </c>
    </row>
    <row r="4351" spans="1:13" x14ac:dyDescent="0.25">
      <c r="A4351" t="s">
        <v>2470</v>
      </c>
      <c r="B4351" t="s">
        <v>24</v>
      </c>
      <c r="C4351" t="s">
        <v>14</v>
      </c>
      <c r="D4351" t="s">
        <v>46</v>
      </c>
      <c r="E4351" t="s">
        <v>21</v>
      </c>
      <c r="F4351" t="s">
        <v>21</v>
      </c>
      <c r="G4351">
        <v>70</v>
      </c>
      <c r="H4351" s="1">
        <v>43923</v>
      </c>
      <c r="I4351">
        <v>2020</v>
      </c>
      <c r="J4351">
        <v>4</v>
      </c>
      <c r="K4351" t="s">
        <v>30</v>
      </c>
      <c r="L4351" t="s">
        <v>21</v>
      </c>
      <c r="M4351">
        <v>0</v>
      </c>
    </row>
    <row r="4352" spans="1:13" x14ac:dyDescent="0.25">
      <c r="A4352" t="s">
        <v>2957</v>
      </c>
      <c r="B4352" t="s">
        <v>24</v>
      </c>
      <c r="C4352" t="s">
        <v>172</v>
      </c>
      <c r="D4352" t="s">
        <v>22</v>
      </c>
      <c r="E4352" t="s">
        <v>21</v>
      </c>
      <c r="F4352">
        <v>1</v>
      </c>
      <c r="G4352" t="s">
        <v>21</v>
      </c>
      <c r="H4352" s="1">
        <v>43923</v>
      </c>
      <c r="I4352">
        <v>2020</v>
      </c>
      <c r="J4352">
        <v>4</v>
      </c>
      <c r="K4352" t="s">
        <v>22</v>
      </c>
      <c r="L4352">
        <v>1</v>
      </c>
      <c r="M4352">
        <v>1</v>
      </c>
    </row>
    <row r="4353" spans="1:13" x14ac:dyDescent="0.25">
      <c r="A4353" t="s">
        <v>2017</v>
      </c>
      <c r="B4353" t="s">
        <v>13</v>
      </c>
      <c r="C4353" t="s">
        <v>14</v>
      </c>
      <c r="D4353" t="s">
        <v>22</v>
      </c>
      <c r="E4353" t="s">
        <v>21</v>
      </c>
      <c r="F4353" t="s">
        <v>21</v>
      </c>
      <c r="G4353" t="s">
        <v>21</v>
      </c>
      <c r="H4353" s="1">
        <v>43923</v>
      </c>
      <c r="I4353">
        <v>2020</v>
      </c>
      <c r="J4353">
        <v>4</v>
      </c>
      <c r="K4353" t="s">
        <v>22</v>
      </c>
      <c r="L4353" t="s">
        <v>21</v>
      </c>
      <c r="M4353">
        <v>0</v>
      </c>
    </row>
    <row r="4354" spans="1:13" x14ac:dyDescent="0.25">
      <c r="A4354" t="s">
        <v>2958</v>
      </c>
      <c r="B4354" t="s">
        <v>18</v>
      </c>
      <c r="C4354" t="s">
        <v>14</v>
      </c>
      <c r="D4354" t="s">
        <v>33</v>
      </c>
      <c r="E4354">
        <v>200</v>
      </c>
      <c r="F4354" t="s">
        <v>21</v>
      </c>
      <c r="G4354">
        <v>48</v>
      </c>
      <c r="H4354" s="1">
        <v>43922</v>
      </c>
      <c r="I4354">
        <v>2020</v>
      </c>
      <c r="J4354">
        <v>4</v>
      </c>
      <c r="K4354" t="s">
        <v>30</v>
      </c>
      <c r="L4354" t="s">
        <v>21</v>
      </c>
      <c r="M4354">
        <v>1</v>
      </c>
    </row>
    <row r="4355" spans="1:13" x14ac:dyDescent="0.25">
      <c r="A4355" t="s">
        <v>2959</v>
      </c>
      <c r="B4355" t="s">
        <v>73</v>
      </c>
      <c r="C4355" t="s">
        <v>2960</v>
      </c>
      <c r="D4355" t="s">
        <v>22</v>
      </c>
      <c r="E4355">
        <v>200</v>
      </c>
      <c r="F4355">
        <v>0.33</v>
      </c>
      <c r="G4355" t="s">
        <v>21</v>
      </c>
      <c r="H4355" s="1">
        <v>43922</v>
      </c>
      <c r="I4355">
        <v>2020</v>
      </c>
      <c r="J4355">
        <v>4</v>
      </c>
      <c r="K4355" t="s">
        <v>22</v>
      </c>
      <c r="L4355">
        <v>0</v>
      </c>
      <c r="M4355">
        <v>1</v>
      </c>
    </row>
    <row r="4356" spans="1:13" x14ac:dyDescent="0.25">
      <c r="A4356" t="s">
        <v>2961</v>
      </c>
      <c r="B4356" t="s">
        <v>35</v>
      </c>
      <c r="C4356" t="s">
        <v>14</v>
      </c>
      <c r="D4356" t="s">
        <v>33</v>
      </c>
      <c r="E4356">
        <v>100</v>
      </c>
      <c r="F4356">
        <v>0.2</v>
      </c>
      <c r="G4356">
        <v>75</v>
      </c>
      <c r="H4356" s="1">
        <v>43922</v>
      </c>
      <c r="I4356">
        <v>2020</v>
      </c>
      <c r="J4356">
        <v>4</v>
      </c>
      <c r="K4356" t="s">
        <v>30</v>
      </c>
      <c r="L4356">
        <v>0</v>
      </c>
      <c r="M4356">
        <v>1</v>
      </c>
    </row>
    <row r="4357" spans="1:13" x14ac:dyDescent="0.25">
      <c r="A4357" t="s">
        <v>801</v>
      </c>
      <c r="B4357" t="s">
        <v>54</v>
      </c>
      <c r="C4357" t="s">
        <v>14</v>
      </c>
      <c r="D4357" t="s">
        <v>55</v>
      </c>
      <c r="E4357">
        <v>52</v>
      </c>
      <c r="F4357">
        <v>0.12</v>
      </c>
      <c r="G4357">
        <v>159</v>
      </c>
      <c r="H4357" s="1">
        <v>43922</v>
      </c>
      <c r="I4357">
        <v>2020</v>
      </c>
      <c r="J4357">
        <v>4</v>
      </c>
      <c r="K4357" t="s">
        <v>36</v>
      </c>
      <c r="L4357">
        <v>0</v>
      </c>
      <c r="M4357">
        <v>1</v>
      </c>
    </row>
    <row r="4358" spans="1:13" x14ac:dyDescent="0.25">
      <c r="A4358" t="s">
        <v>1350</v>
      </c>
      <c r="B4358" t="s">
        <v>32</v>
      </c>
      <c r="C4358" t="s">
        <v>83</v>
      </c>
      <c r="D4358" t="s">
        <v>68</v>
      </c>
      <c r="E4358">
        <v>51</v>
      </c>
      <c r="F4358">
        <v>0.25</v>
      </c>
      <c r="G4358">
        <v>8.5</v>
      </c>
      <c r="H4358" s="1">
        <v>43922</v>
      </c>
      <c r="I4358">
        <v>2020</v>
      </c>
      <c r="J4358">
        <v>4</v>
      </c>
      <c r="K4358" t="s">
        <v>16</v>
      </c>
      <c r="L4358">
        <v>0</v>
      </c>
      <c r="M4358">
        <v>1</v>
      </c>
    </row>
    <row r="4359" spans="1:13" x14ac:dyDescent="0.25">
      <c r="A4359" t="s">
        <v>2962</v>
      </c>
      <c r="B4359" t="s">
        <v>77</v>
      </c>
      <c r="C4359" t="s">
        <v>14</v>
      </c>
      <c r="D4359" t="s">
        <v>46</v>
      </c>
      <c r="E4359">
        <v>50</v>
      </c>
      <c r="F4359">
        <v>0.2</v>
      </c>
      <c r="G4359">
        <v>190</v>
      </c>
      <c r="H4359" s="1">
        <v>43922</v>
      </c>
      <c r="I4359">
        <v>2020</v>
      </c>
      <c r="J4359">
        <v>4</v>
      </c>
      <c r="K4359" t="s">
        <v>36</v>
      </c>
      <c r="L4359">
        <v>0</v>
      </c>
      <c r="M4359">
        <v>1</v>
      </c>
    </row>
    <row r="4360" spans="1:13" x14ac:dyDescent="0.25">
      <c r="A4360" t="s">
        <v>2963</v>
      </c>
      <c r="B4360" t="s">
        <v>45</v>
      </c>
      <c r="C4360" t="s">
        <v>14</v>
      </c>
      <c r="D4360" t="s">
        <v>46</v>
      </c>
      <c r="E4360">
        <v>46</v>
      </c>
      <c r="F4360">
        <v>0.13</v>
      </c>
      <c r="G4360">
        <v>52</v>
      </c>
      <c r="H4360" s="1">
        <v>43922</v>
      </c>
      <c r="I4360">
        <v>2020</v>
      </c>
      <c r="J4360">
        <v>4</v>
      </c>
      <c r="K4360" t="s">
        <v>30</v>
      </c>
      <c r="L4360">
        <v>0</v>
      </c>
      <c r="M4360">
        <v>1</v>
      </c>
    </row>
    <row r="4361" spans="1:13" x14ac:dyDescent="0.25">
      <c r="A4361" t="s">
        <v>182</v>
      </c>
      <c r="B4361" t="s">
        <v>77</v>
      </c>
      <c r="C4361" t="s">
        <v>48</v>
      </c>
      <c r="D4361" t="s">
        <v>22</v>
      </c>
      <c r="E4361">
        <v>45</v>
      </c>
      <c r="F4361">
        <v>0.09</v>
      </c>
      <c r="G4361">
        <v>143</v>
      </c>
      <c r="H4361" s="1">
        <v>43922</v>
      </c>
      <c r="I4361">
        <v>2020</v>
      </c>
      <c r="J4361">
        <v>4</v>
      </c>
      <c r="K4361" t="s">
        <v>36</v>
      </c>
      <c r="L4361">
        <v>0</v>
      </c>
      <c r="M4361">
        <v>1</v>
      </c>
    </row>
    <row r="4362" spans="1:13" x14ac:dyDescent="0.25">
      <c r="A4362" t="s">
        <v>2964</v>
      </c>
      <c r="B4362" t="s">
        <v>66</v>
      </c>
      <c r="C4362" t="s">
        <v>14</v>
      </c>
      <c r="D4362" t="s">
        <v>22</v>
      </c>
      <c r="E4362">
        <v>28</v>
      </c>
      <c r="F4362">
        <v>0.37</v>
      </c>
      <c r="G4362" t="s">
        <v>21</v>
      </c>
      <c r="H4362" s="1">
        <v>43922</v>
      </c>
      <c r="I4362">
        <v>2020</v>
      </c>
      <c r="J4362">
        <v>4</v>
      </c>
      <c r="K4362" t="s">
        <v>22</v>
      </c>
      <c r="L4362">
        <v>0</v>
      </c>
      <c r="M4362">
        <v>1</v>
      </c>
    </row>
    <row r="4363" spans="1:13" x14ac:dyDescent="0.25">
      <c r="A4363" t="s">
        <v>317</v>
      </c>
      <c r="B4363" t="s">
        <v>28</v>
      </c>
      <c r="C4363" t="s">
        <v>29</v>
      </c>
      <c r="D4363" t="s">
        <v>46</v>
      </c>
      <c r="E4363">
        <v>24</v>
      </c>
      <c r="F4363">
        <v>0.09</v>
      </c>
      <c r="G4363">
        <v>100</v>
      </c>
      <c r="H4363" s="1">
        <v>43922</v>
      </c>
      <c r="I4363">
        <v>2020</v>
      </c>
      <c r="J4363">
        <v>4</v>
      </c>
      <c r="K4363" t="s">
        <v>36</v>
      </c>
      <c r="L4363">
        <v>0</v>
      </c>
      <c r="M4363">
        <v>1</v>
      </c>
    </row>
    <row r="4364" spans="1:13" x14ac:dyDescent="0.25">
      <c r="A4364" t="s">
        <v>2965</v>
      </c>
      <c r="B4364" t="s">
        <v>54</v>
      </c>
      <c r="C4364" t="s">
        <v>14</v>
      </c>
      <c r="D4364" t="s">
        <v>68</v>
      </c>
      <c r="E4364">
        <v>20</v>
      </c>
      <c r="F4364">
        <v>0.2</v>
      </c>
      <c r="G4364">
        <v>16</v>
      </c>
      <c r="H4364" s="1">
        <v>43922</v>
      </c>
      <c r="I4364">
        <v>2020</v>
      </c>
      <c r="J4364">
        <v>4</v>
      </c>
      <c r="K4364" t="s">
        <v>30</v>
      </c>
      <c r="L4364">
        <v>0</v>
      </c>
      <c r="M4364">
        <v>1</v>
      </c>
    </row>
    <row r="4365" spans="1:13" x14ac:dyDescent="0.25">
      <c r="A4365" t="s">
        <v>2966</v>
      </c>
      <c r="B4365" t="s">
        <v>73</v>
      </c>
      <c r="C4365" t="s">
        <v>14</v>
      </c>
      <c r="D4365" t="s">
        <v>68</v>
      </c>
      <c r="E4365">
        <v>18</v>
      </c>
      <c r="F4365" t="s">
        <v>21</v>
      </c>
      <c r="G4365">
        <v>11</v>
      </c>
      <c r="H4365" s="1">
        <v>43922</v>
      </c>
      <c r="I4365">
        <v>2020</v>
      </c>
      <c r="J4365">
        <v>4</v>
      </c>
      <c r="K4365" t="s">
        <v>30</v>
      </c>
      <c r="L4365" t="s">
        <v>21</v>
      </c>
      <c r="M4365">
        <v>1</v>
      </c>
    </row>
    <row r="4366" spans="1:13" x14ac:dyDescent="0.25">
      <c r="A4366" t="s">
        <v>2967</v>
      </c>
      <c r="B4366" t="s">
        <v>77</v>
      </c>
      <c r="C4366" t="s">
        <v>174</v>
      </c>
      <c r="D4366" t="s">
        <v>33</v>
      </c>
      <c r="E4366">
        <v>17</v>
      </c>
      <c r="F4366">
        <v>0.2</v>
      </c>
      <c r="G4366">
        <v>50</v>
      </c>
      <c r="H4366" s="1">
        <v>43922</v>
      </c>
      <c r="I4366">
        <v>2020</v>
      </c>
      <c r="J4366">
        <v>4</v>
      </c>
      <c r="K4366" t="s">
        <v>30</v>
      </c>
      <c r="L4366">
        <v>0</v>
      </c>
      <c r="M4366">
        <v>1</v>
      </c>
    </row>
    <row r="4367" spans="1:13" x14ac:dyDescent="0.25">
      <c r="A4367" t="s">
        <v>2968</v>
      </c>
      <c r="B4367" t="s">
        <v>54</v>
      </c>
      <c r="C4367" t="s">
        <v>14</v>
      </c>
      <c r="D4367" t="s">
        <v>46</v>
      </c>
      <c r="E4367">
        <v>15</v>
      </c>
      <c r="F4367">
        <v>0.25</v>
      </c>
      <c r="G4367">
        <v>46</v>
      </c>
      <c r="H4367" s="1">
        <v>43922</v>
      </c>
      <c r="I4367">
        <v>2020</v>
      </c>
      <c r="J4367">
        <v>4</v>
      </c>
      <c r="K4367" t="s">
        <v>30</v>
      </c>
      <c r="L4367">
        <v>0</v>
      </c>
      <c r="M4367">
        <v>1</v>
      </c>
    </row>
    <row r="4368" spans="1:13" x14ac:dyDescent="0.25">
      <c r="A4368" t="s">
        <v>2969</v>
      </c>
      <c r="B4368" t="s">
        <v>35</v>
      </c>
      <c r="C4368" t="s">
        <v>14</v>
      </c>
      <c r="D4368" t="s">
        <v>68</v>
      </c>
      <c r="E4368">
        <v>9</v>
      </c>
      <c r="F4368">
        <v>0.4</v>
      </c>
      <c r="G4368">
        <v>15</v>
      </c>
      <c r="H4368" s="1">
        <v>43922</v>
      </c>
      <c r="I4368">
        <v>2020</v>
      </c>
      <c r="J4368">
        <v>4</v>
      </c>
      <c r="K4368" t="s">
        <v>30</v>
      </c>
      <c r="L4368">
        <v>0</v>
      </c>
      <c r="M4368">
        <v>1</v>
      </c>
    </row>
    <row r="4369" spans="1:13" x14ac:dyDescent="0.25">
      <c r="A4369" t="s">
        <v>2970</v>
      </c>
      <c r="B4369" t="s">
        <v>77</v>
      </c>
      <c r="C4369" t="s">
        <v>14</v>
      </c>
      <c r="D4369" t="s">
        <v>22</v>
      </c>
      <c r="E4369" t="s">
        <v>21</v>
      </c>
      <c r="F4369" t="s">
        <v>21</v>
      </c>
      <c r="G4369" t="s">
        <v>21</v>
      </c>
      <c r="H4369" s="1">
        <v>43922</v>
      </c>
      <c r="I4369">
        <v>2020</v>
      </c>
      <c r="J4369">
        <v>4</v>
      </c>
      <c r="K4369" t="s">
        <v>22</v>
      </c>
      <c r="L4369" t="s">
        <v>21</v>
      </c>
      <c r="M4369">
        <v>0</v>
      </c>
    </row>
    <row r="4370" spans="1:13" x14ac:dyDescent="0.25">
      <c r="A4370" t="s">
        <v>2971</v>
      </c>
      <c r="B4370" t="s">
        <v>24</v>
      </c>
      <c r="C4370" t="s">
        <v>14</v>
      </c>
      <c r="D4370" t="s">
        <v>55</v>
      </c>
      <c r="E4370" t="s">
        <v>21</v>
      </c>
      <c r="F4370" t="s">
        <v>21</v>
      </c>
      <c r="G4370">
        <v>197</v>
      </c>
      <c r="H4370" s="1">
        <v>43922</v>
      </c>
      <c r="I4370">
        <v>2020</v>
      </c>
      <c r="J4370">
        <v>4</v>
      </c>
      <c r="K4370" t="s">
        <v>36</v>
      </c>
      <c r="L4370" t="s">
        <v>21</v>
      </c>
      <c r="M4370">
        <v>0</v>
      </c>
    </row>
    <row r="4371" spans="1:13" x14ac:dyDescent="0.25">
      <c r="A4371" t="s">
        <v>2972</v>
      </c>
      <c r="B4371" t="s">
        <v>24</v>
      </c>
      <c r="C4371" t="s">
        <v>14</v>
      </c>
      <c r="D4371" t="s">
        <v>46</v>
      </c>
      <c r="E4371" t="s">
        <v>21</v>
      </c>
      <c r="F4371">
        <v>0.5</v>
      </c>
      <c r="G4371">
        <v>62</v>
      </c>
      <c r="H4371" s="1">
        <v>43922</v>
      </c>
      <c r="I4371">
        <v>2020</v>
      </c>
      <c r="J4371">
        <v>4</v>
      </c>
      <c r="K4371" t="s">
        <v>30</v>
      </c>
      <c r="L4371">
        <v>0</v>
      </c>
      <c r="M4371">
        <v>1</v>
      </c>
    </row>
    <row r="4372" spans="1:13" x14ac:dyDescent="0.25">
      <c r="A4372" t="s">
        <v>2973</v>
      </c>
      <c r="B4372" t="s">
        <v>533</v>
      </c>
      <c r="C4372" t="s">
        <v>14</v>
      </c>
      <c r="D4372" t="s">
        <v>46</v>
      </c>
      <c r="E4372" t="s">
        <v>21</v>
      </c>
      <c r="F4372" t="s">
        <v>21</v>
      </c>
      <c r="G4372">
        <v>46</v>
      </c>
      <c r="H4372" s="1">
        <v>43922</v>
      </c>
      <c r="I4372">
        <v>2020</v>
      </c>
      <c r="J4372">
        <v>4</v>
      </c>
      <c r="K4372" t="s">
        <v>30</v>
      </c>
      <c r="L4372" t="s">
        <v>21</v>
      </c>
      <c r="M4372">
        <v>0</v>
      </c>
    </row>
    <row r="4373" spans="1:13" x14ac:dyDescent="0.25">
      <c r="A4373" t="s">
        <v>2974</v>
      </c>
      <c r="B4373" t="s">
        <v>54</v>
      </c>
      <c r="C4373" t="s">
        <v>14</v>
      </c>
      <c r="D4373" t="s">
        <v>46</v>
      </c>
      <c r="E4373" t="s">
        <v>21</v>
      </c>
      <c r="F4373">
        <v>0.6</v>
      </c>
      <c r="G4373">
        <v>81</v>
      </c>
      <c r="H4373" s="1">
        <v>43922</v>
      </c>
      <c r="I4373">
        <v>2020</v>
      </c>
      <c r="J4373">
        <v>4</v>
      </c>
      <c r="K4373" t="s">
        <v>30</v>
      </c>
      <c r="L4373">
        <v>0</v>
      </c>
      <c r="M4373">
        <v>1</v>
      </c>
    </row>
    <row r="4374" spans="1:13" x14ac:dyDescent="0.25">
      <c r="A4374" t="s">
        <v>2975</v>
      </c>
      <c r="B4374" t="s">
        <v>73</v>
      </c>
      <c r="C4374" t="s">
        <v>14</v>
      </c>
      <c r="D4374" t="s">
        <v>33</v>
      </c>
      <c r="E4374" t="s">
        <v>21</v>
      </c>
      <c r="F4374">
        <v>0.5</v>
      </c>
      <c r="G4374">
        <v>33</v>
      </c>
      <c r="H4374" s="1">
        <v>43922</v>
      </c>
      <c r="I4374">
        <v>2020</v>
      </c>
      <c r="J4374">
        <v>4</v>
      </c>
      <c r="K4374" t="s">
        <v>30</v>
      </c>
      <c r="L4374">
        <v>0</v>
      </c>
      <c r="M4374">
        <v>1</v>
      </c>
    </row>
    <row r="4375" spans="1:13" x14ac:dyDescent="0.25">
      <c r="A4375" t="s">
        <v>2976</v>
      </c>
      <c r="B4375" t="s">
        <v>117</v>
      </c>
      <c r="C4375" t="s">
        <v>14</v>
      </c>
      <c r="D4375" t="s">
        <v>55</v>
      </c>
      <c r="E4375">
        <v>349</v>
      </c>
      <c r="F4375">
        <v>0.18</v>
      </c>
      <c r="G4375">
        <v>227</v>
      </c>
      <c r="H4375" s="1">
        <v>43921</v>
      </c>
      <c r="I4375">
        <v>2020</v>
      </c>
      <c r="J4375">
        <v>3</v>
      </c>
      <c r="K4375" t="s">
        <v>36</v>
      </c>
      <c r="L4375">
        <v>0</v>
      </c>
      <c r="M4375">
        <v>1</v>
      </c>
    </row>
    <row r="4376" spans="1:13" x14ac:dyDescent="0.25">
      <c r="A4376" t="s">
        <v>2977</v>
      </c>
      <c r="B4376" t="s">
        <v>54</v>
      </c>
      <c r="C4376" t="s">
        <v>14</v>
      </c>
      <c r="D4376" t="s">
        <v>46</v>
      </c>
      <c r="E4376">
        <v>210</v>
      </c>
      <c r="F4376">
        <v>0.3</v>
      </c>
      <c r="G4376">
        <v>89</v>
      </c>
      <c r="H4376" s="1">
        <v>43921</v>
      </c>
      <c r="I4376">
        <v>2020</v>
      </c>
      <c r="J4376">
        <v>3</v>
      </c>
      <c r="K4376" t="s">
        <v>30</v>
      </c>
      <c r="L4376">
        <v>0</v>
      </c>
      <c r="M4376">
        <v>1</v>
      </c>
    </row>
    <row r="4377" spans="1:13" x14ac:dyDescent="0.25">
      <c r="A4377" t="s">
        <v>2978</v>
      </c>
      <c r="B4377" t="s">
        <v>18</v>
      </c>
      <c r="C4377" t="s">
        <v>14</v>
      </c>
      <c r="D4377" t="s">
        <v>194</v>
      </c>
      <c r="E4377">
        <v>194</v>
      </c>
      <c r="F4377">
        <v>0.41</v>
      </c>
      <c r="G4377">
        <v>310</v>
      </c>
      <c r="H4377" s="1">
        <v>43921</v>
      </c>
      <c r="I4377">
        <v>2020</v>
      </c>
      <c r="J4377">
        <v>3</v>
      </c>
      <c r="K4377" t="s">
        <v>36</v>
      </c>
      <c r="L4377">
        <v>0</v>
      </c>
      <c r="M4377">
        <v>1</v>
      </c>
    </row>
    <row r="4378" spans="1:13" x14ac:dyDescent="0.25">
      <c r="A4378" t="s">
        <v>446</v>
      </c>
      <c r="B4378" t="s">
        <v>66</v>
      </c>
      <c r="C4378" t="s">
        <v>14</v>
      </c>
      <c r="D4378" t="s">
        <v>111</v>
      </c>
      <c r="E4378">
        <v>108</v>
      </c>
      <c r="F4378">
        <v>0.3</v>
      </c>
      <c r="G4378">
        <v>467</v>
      </c>
      <c r="H4378" s="1">
        <v>43921</v>
      </c>
      <c r="I4378">
        <v>2020</v>
      </c>
      <c r="J4378">
        <v>3</v>
      </c>
      <c r="K4378" t="s">
        <v>36</v>
      </c>
      <c r="L4378">
        <v>0</v>
      </c>
      <c r="M4378">
        <v>1</v>
      </c>
    </row>
    <row r="4379" spans="1:13" x14ac:dyDescent="0.25">
      <c r="A4379" t="s">
        <v>2979</v>
      </c>
      <c r="B4379" t="s">
        <v>117</v>
      </c>
      <c r="C4379" t="s">
        <v>14</v>
      </c>
      <c r="D4379" t="s">
        <v>55</v>
      </c>
      <c r="E4379">
        <v>65</v>
      </c>
      <c r="F4379">
        <v>0.37</v>
      </c>
      <c r="G4379">
        <v>69</v>
      </c>
      <c r="H4379" s="1">
        <v>43921</v>
      </c>
      <c r="I4379">
        <v>2020</v>
      </c>
      <c r="J4379">
        <v>3</v>
      </c>
      <c r="K4379" t="s">
        <v>30</v>
      </c>
      <c r="L4379">
        <v>0</v>
      </c>
      <c r="M4379">
        <v>1</v>
      </c>
    </row>
    <row r="4380" spans="1:13" x14ac:dyDescent="0.25">
      <c r="A4380" t="s">
        <v>2980</v>
      </c>
      <c r="B4380" t="s">
        <v>91</v>
      </c>
      <c r="C4380" t="s">
        <v>14</v>
      </c>
      <c r="D4380" t="s">
        <v>20</v>
      </c>
      <c r="E4380">
        <v>50</v>
      </c>
      <c r="F4380">
        <v>0.25</v>
      </c>
      <c r="G4380" t="s">
        <v>21</v>
      </c>
      <c r="H4380" s="1">
        <v>43921</v>
      </c>
      <c r="I4380">
        <v>2020</v>
      </c>
      <c r="J4380">
        <v>3</v>
      </c>
      <c r="K4380" t="s">
        <v>22</v>
      </c>
      <c r="L4380">
        <v>0</v>
      </c>
      <c r="M4380">
        <v>1</v>
      </c>
    </row>
    <row r="4381" spans="1:13" x14ac:dyDescent="0.25">
      <c r="A4381" t="s">
        <v>2981</v>
      </c>
      <c r="B4381" t="s">
        <v>54</v>
      </c>
      <c r="C4381" t="s">
        <v>14</v>
      </c>
      <c r="D4381" t="s">
        <v>22</v>
      </c>
      <c r="E4381">
        <v>40</v>
      </c>
      <c r="F4381" t="s">
        <v>21</v>
      </c>
      <c r="G4381">
        <v>55</v>
      </c>
      <c r="H4381" s="1">
        <v>43921</v>
      </c>
      <c r="I4381">
        <v>2020</v>
      </c>
      <c r="J4381">
        <v>3</v>
      </c>
      <c r="K4381" t="s">
        <v>30</v>
      </c>
      <c r="L4381" t="s">
        <v>21</v>
      </c>
      <c r="M4381">
        <v>1</v>
      </c>
    </row>
    <row r="4382" spans="1:13" x14ac:dyDescent="0.25">
      <c r="A4382" t="s">
        <v>2982</v>
      </c>
      <c r="B4382" t="s">
        <v>45</v>
      </c>
      <c r="C4382" t="s">
        <v>14</v>
      </c>
      <c r="D4382" t="s">
        <v>33</v>
      </c>
      <c r="E4382">
        <v>20</v>
      </c>
      <c r="F4382" t="s">
        <v>21</v>
      </c>
      <c r="G4382">
        <v>26</v>
      </c>
      <c r="H4382" s="1">
        <v>43921</v>
      </c>
      <c r="I4382">
        <v>2020</v>
      </c>
      <c r="J4382">
        <v>3</v>
      </c>
      <c r="K4382" t="s">
        <v>30</v>
      </c>
      <c r="L4382" t="s">
        <v>21</v>
      </c>
      <c r="M4382">
        <v>1</v>
      </c>
    </row>
    <row r="4383" spans="1:13" x14ac:dyDescent="0.25">
      <c r="A4383" t="s">
        <v>2983</v>
      </c>
      <c r="B4383" t="s">
        <v>207</v>
      </c>
      <c r="C4383" t="s">
        <v>14</v>
      </c>
      <c r="D4383" t="s">
        <v>46</v>
      </c>
      <c r="E4383">
        <v>17</v>
      </c>
      <c r="F4383">
        <v>0.04</v>
      </c>
      <c r="G4383">
        <v>91</v>
      </c>
      <c r="H4383" s="1">
        <v>43921</v>
      </c>
      <c r="I4383">
        <v>2020</v>
      </c>
      <c r="J4383">
        <v>3</v>
      </c>
      <c r="K4383" t="s">
        <v>30</v>
      </c>
      <c r="L4383">
        <v>0</v>
      </c>
      <c r="M4383">
        <v>1</v>
      </c>
    </row>
    <row r="4384" spans="1:13" x14ac:dyDescent="0.25">
      <c r="A4384" t="s">
        <v>2984</v>
      </c>
      <c r="B4384" t="s">
        <v>54</v>
      </c>
      <c r="C4384" t="s">
        <v>14</v>
      </c>
      <c r="D4384" t="s">
        <v>33</v>
      </c>
      <c r="E4384">
        <v>5</v>
      </c>
      <c r="F4384">
        <v>0.14000000000000001</v>
      </c>
      <c r="G4384">
        <v>26</v>
      </c>
      <c r="H4384" s="1">
        <v>43921</v>
      </c>
      <c r="I4384">
        <v>2020</v>
      </c>
      <c r="J4384">
        <v>3</v>
      </c>
      <c r="K4384" t="s">
        <v>30</v>
      </c>
      <c r="L4384">
        <v>0</v>
      </c>
      <c r="M4384">
        <v>1</v>
      </c>
    </row>
    <row r="4385" spans="1:13" x14ac:dyDescent="0.25">
      <c r="A4385" t="s">
        <v>2985</v>
      </c>
      <c r="B4385" t="s">
        <v>73</v>
      </c>
      <c r="C4385" t="s">
        <v>14</v>
      </c>
      <c r="D4385" t="s">
        <v>46</v>
      </c>
      <c r="E4385" t="s">
        <v>21</v>
      </c>
      <c r="F4385" t="s">
        <v>21</v>
      </c>
      <c r="G4385">
        <v>67</v>
      </c>
      <c r="H4385" s="1">
        <v>43921</v>
      </c>
      <c r="I4385">
        <v>2020</v>
      </c>
      <c r="J4385">
        <v>3</v>
      </c>
      <c r="K4385" t="s">
        <v>30</v>
      </c>
      <c r="L4385" t="s">
        <v>21</v>
      </c>
      <c r="M4385">
        <v>0</v>
      </c>
    </row>
    <row r="4386" spans="1:13" x14ac:dyDescent="0.25">
      <c r="A4386" t="s">
        <v>2986</v>
      </c>
      <c r="B4386" t="s">
        <v>54</v>
      </c>
      <c r="C4386" t="s">
        <v>14</v>
      </c>
      <c r="D4386" t="s">
        <v>49</v>
      </c>
      <c r="E4386" t="s">
        <v>21</v>
      </c>
      <c r="F4386" t="s">
        <v>21</v>
      </c>
      <c r="G4386">
        <v>4</v>
      </c>
      <c r="H4386" s="1">
        <v>43921</v>
      </c>
      <c r="I4386">
        <v>2020</v>
      </c>
      <c r="J4386">
        <v>3</v>
      </c>
      <c r="K4386" t="s">
        <v>16</v>
      </c>
      <c r="L4386" t="s">
        <v>21</v>
      </c>
      <c r="M4386">
        <v>0</v>
      </c>
    </row>
    <row r="4387" spans="1:13" x14ac:dyDescent="0.25">
      <c r="A4387" t="s">
        <v>2664</v>
      </c>
      <c r="B4387" t="s">
        <v>73</v>
      </c>
      <c r="C4387" t="s">
        <v>14</v>
      </c>
      <c r="D4387" t="s">
        <v>33</v>
      </c>
      <c r="E4387" t="s">
        <v>21</v>
      </c>
      <c r="F4387">
        <v>0.3</v>
      </c>
      <c r="G4387">
        <v>116</v>
      </c>
      <c r="H4387" s="1">
        <v>43921</v>
      </c>
      <c r="I4387">
        <v>2020</v>
      </c>
      <c r="J4387">
        <v>3</v>
      </c>
      <c r="K4387" t="s">
        <v>36</v>
      </c>
      <c r="L4387">
        <v>0</v>
      </c>
      <c r="M4387">
        <v>1</v>
      </c>
    </row>
    <row r="4388" spans="1:13" x14ac:dyDescent="0.25">
      <c r="A4388" t="s">
        <v>2987</v>
      </c>
      <c r="B4388" t="s">
        <v>40</v>
      </c>
      <c r="C4388" t="s">
        <v>14</v>
      </c>
      <c r="D4388" t="s">
        <v>68</v>
      </c>
      <c r="E4388" t="s">
        <v>21</v>
      </c>
      <c r="F4388">
        <v>0.35</v>
      </c>
      <c r="G4388">
        <v>8</v>
      </c>
      <c r="H4388" s="1">
        <v>43921</v>
      </c>
      <c r="I4388">
        <v>2020</v>
      </c>
      <c r="J4388">
        <v>3</v>
      </c>
      <c r="K4388" t="s">
        <v>16</v>
      </c>
      <c r="L4388">
        <v>0</v>
      </c>
      <c r="M4388">
        <v>1</v>
      </c>
    </row>
    <row r="4389" spans="1:13" x14ac:dyDescent="0.25">
      <c r="A4389" t="s">
        <v>2988</v>
      </c>
      <c r="B4389" t="s">
        <v>77</v>
      </c>
      <c r="C4389" t="s">
        <v>14</v>
      </c>
      <c r="D4389" t="s">
        <v>22</v>
      </c>
      <c r="E4389" t="s">
        <v>21</v>
      </c>
      <c r="F4389" t="s">
        <v>21</v>
      </c>
      <c r="G4389" t="s">
        <v>21</v>
      </c>
      <c r="H4389" s="1">
        <v>43921</v>
      </c>
      <c r="I4389">
        <v>2020</v>
      </c>
      <c r="J4389">
        <v>3</v>
      </c>
      <c r="K4389" t="s">
        <v>22</v>
      </c>
      <c r="L4389" t="s">
        <v>21</v>
      </c>
      <c r="M4389">
        <v>0</v>
      </c>
    </row>
    <row r="4390" spans="1:13" x14ac:dyDescent="0.25">
      <c r="A4390" t="s">
        <v>2989</v>
      </c>
      <c r="B4390" t="s">
        <v>140</v>
      </c>
      <c r="C4390" t="s">
        <v>14</v>
      </c>
      <c r="D4390" t="s">
        <v>111</v>
      </c>
      <c r="E4390" t="s">
        <v>21</v>
      </c>
      <c r="F4390" t="s">
        <v>21</v>
      </c>
      <c r="G4390">
        <v>130</v>
      </c>
      <c r="H4390" s="1">
        <v>43921</v>
      </c>
      <c r="I4390">
        <v>2020</v>
      </c>
      <c r="J4390">
        <v>3</v>
      </c>
      <c r="K4390" t="s">
        <v>36</v>
      </c>
      <c r="L4390" t="s">
        <v>21</v>
      </c>
      <c r="M4390">
        <v>0</v>
      </c>
    </row>
    <row r="4391" spans="1:13" x14ac:dyDescent="0.25">
      <c r="A4391" t="s">
        <v>1951</v>
      </c>
      <c r="B4391" t="s">
        <v>18</v>
      </c>
      <c r="C4391" t="s">
        <v>14</v>
      </c>
      <c r="D4391" t="s">
        <v>43</v>
      </c>
      <c r="E4391">
        <v>250</v>
      </c>
      <c r="F4391">
        <v>0.3</v>
      </c>
      <c r="G4391">
        <v>423</v>
      </c>
      <c r="H4391" s="1">
        <v>43920</v>
      </c>
      <c r="I4391">
        <v>2020</v>
      </c>
      <c r="J4391">
        <v>3</v>
      </c>
      <c r="K4391" t="s">
        <v>36</v>
      </c>
      <c r="L4391">
        <v>0</v>
      </c>
      <c r="M4391">
        <v>1</v>
      </c>
    </row>
    <row r="4392" spans="1:13" x14ac:dyDescent="0.25">
      <c r="A4392" t="s">
        <v>2990</v>
      </c>
      <c r="B4392" t="s">
        <v>217</v>
      </c>
      <c r="C4392" t="s">
        <v>14</v>
      </c>
      <c r="D4392" t="s">
        <v>55</v>
      </c>
      <c r="E4392">
        <v>120</v>
      </c>
      <c r="F4392">
        <v>0.25</v>
      </c>
      <c r="G4392">
        <v>423</v>
      </c>
      <c r="H4392" s="1">
        <v>43920</v>
      </c>
      <c r="I4392">
        <v>2020</v>
      </c>
      <c r="J4392">
        <v>3</v>
      </c>
      <c r="K4392" t="s">
        <v>36</v>
      </c>
      <c r="L4392">
        <v>0</v>
      </c>
      <c r="M4392">
        <v>1</v>
      </c>
    </row>
    <row r="4393" spans="1:13" x14ac:dyDescent="0.25">
      <c r="A4393" t="s">
        <v>2991</v>
      </c>
      <c r="B4393" t="s">
        <v>73</v>
      </c>
      <c r="C4393" t="s">
        <v>48</v>
      </c>
      <c r="D4393" t="s">
        <v>33</v>
      </c>
      <c r="E4393">
        <v>80</v>
      </c>
      <c r="F4393">
        <v>0.2</v>
      </c>
      <c r="G4393">
        <v>48</v>
      </c>
      <c r="H4393" s="1">
        <v>43920</v>
      </c>
      <c r="I4393">
        <v>2020</v>
      </c>
      <c r="J4393">
        <v>3</v>
      </c>
      <c r="K4393" t="s">
        <v>30</v>
      </c>
      <c r="L4393">
        <v>0</v>
      </c>
      <c r="M4393">
        <v>1</v>
      </c>
    </row>
    <row r="4394" spans="1:13" x14ac:dyDescent="0.25">
      <c r="A4394" t="s">
        <v>2992</v>
      </c>
      <c r="B4394" t="s">
        <v>40</v>
      </c>
      <c r="C4394" t="s">
        <v>29</v>
      </c>
      <c r="D4394" t="s">
        <v>68</v>
      </c>
      <c r="E4394">
        <v>70</v>
      </c>
      <c r="F4394">
        <v>0.3</v>
      </c>
      <c r="G4394">
        <v>45</v>
      </c>
      <c r="H4394" s="1">
        <v>43920</v>
      </c>
      <c r="I4394">
        <v>2020</v>
      </c>
      <c r="J4394">
        <v>3</v>
      </c>
      <c r="K4394" t="s">
        <v>30</v>
      </c>
      <c r="L4394">
        <v>0</v>
      </c>
      <c r="M4394">
        <v>1</v>
      </c>
    </row>
    <row r="4395" spans="1:13" x14ac:dyDescent="0.25">
      <c r="A4395" t="s">
        <v>1672</v>
      </c>
      <c r="B4395" t="s">
        <v>77</v>
      </c>
      <c r="C4395" t="s">
        <v>14</v>
      </c>
      <c r="D4395" t="s">
        <v>46</v>
      </c>
      <c r="E4395">
        <v>51</v>
      </c>
      <c r="F4395">
        <v>0.3</v>
      </c>
      <c r="G4395">
        <v>110</v>
      </c>
      <c r="H4395" s="1">
        <v>43920</v>
      </c>
      <c r="I4395">
        <v>2020</v>
      </c>
      <c r="J4395">
        <v>3</v>
      </c>
      <c r="K4395" t="s">
        <v>36</v>
      </c>
      <c r="L4395">
        <v>0</v>
      </c>
      <c r="M4395">
        <v>1</v>
      </c>
    </row>
    <row r="4396" spans="1:13" x14ac:dyDescent="0.25">
      <c r="A4396" t="s">
        <v>2993</v>
      </c>
      <c r="B4396" t="s">
        <v>32</v>
      </c>
      <c r="C4396" t="s">
        <v>14</v>
      </c>
      <c r="D4396" t="s">
        <v>15</v>
      </c>
      <c r="E4396">
        <v>31</v>
      </c>
      <c r="F4396">
        <v>0.09</v>
      </c>
      <c r="G4396">
        <v>77</v>
      </c>
      <c r="H4396" s="1">
        <v>43920</v>
      </c>
      <c r="I4396">
        <v>2020</v>
      </c>
      <c r="J4396">
        <v>3</v>
      </c>
      <c r="K4396" t="s">
        <v>30</v>
      </c>
      <c r="L4396">
        <v>0</v>
      </c>
      <c r="M4396">
        <v>1</v>
      </c>
    </row>
    <row r="4397" spans="1:13" x14ac:dyDescent="0.25">
      <c r="A4397" t="s">
        <v>2994</v>
      </c>
      <c r="B4397" t="s">
        <v>117</v>
      </c>
      <c r="C4397" t="s">
        <v>14</v>
      </c>
      <c r="D4397" t="s">
        <v>22</v>
      </c>
      <c r="E4397">
        <v>30</v>
      </c>
      <c r="F4397">
        <v>0.1</v>
      </c>
      <c r="G4397" t="s">
        <v>21</v>
      </c>
      <c r="H4397" s="1">
        <v>43920</v>
      </c>
      <c r="I4397">
        <v>2020</v>
      </c>
      <c r="J4397">
        <v>3</v>
      </c>
      <c r="K4397" t="s">
        <v>22</v>
      </c>
      <c r="L4397">
        <v>0</v>
      </c>
      <c r="M4397">
        <v>1</v>
      </c>
    </row>
    <row r="4398" spans="1:13" x14ac:dyDescent="0.25">
      <c r="A4398" t="s">
        <v>2995</v>
      </c>
      <c r="B4398" t="s">
        <v>13</v>
      </c>
      <c r="C4398" t="s">
        <v>14</v>
      </c>
      <c r="D4398" t="s">
        <v>111</v>
      </c>
      <c r="E4398">
        <v>30</v>
      </c>
      <c r="F4398" t="s">
        <v>21</v>
      </c>
      <c r="G4398">
        <v>110</v>
      </c>
      <c r="H4398" s="1">
        <v>43920</v>
      </c>
      <c r="I4398">
        <v>2020</v>
      </c>
      <c r="J4398">
        <v>3</v>
      </c>
      <c r="K4398" t="s">
        <v>36</v>
      </c>
      <c r="L4398" t="s">
        <v>21</v>
      </c>
      <c r="M4398">
        <v>1</v>
      </c>
    </row>
    <row r="4399" spans="1:13" x14ac:dyDescent="0.25">
      <c r="A4399" t="s">
        <v>2996</v>
      </c>
      <c r="B4399" t="s">
        <v>66</v>
      </c>
      <c r="C4399" t="s">
        <v>356</v>
      </c>
      <c r="D4399" t="s">
        <v>68</v>
      </c>
      <c r="E4399">
        <v>30</v>
      </c>
      <c r="F4399" t="s">
        <v>21</v>
      </c>
      <c r="G4399">
        <v>82</v>
      </c>
      <c r="H4399" s="1">
        <v>43920</v>
      </c>
      <c r="I4399">
        <v>2020</v>
      </c>
      <c r="J4399">
        <v>3</v>
      </c>
      <c r="K4399" t="s">
        <v>30</v>
      </c>
      <c r="L4399" t="s">
        <v>21</v>
      </c>
      <c r="M4399">
        <v>1</v>
      </c>
    </row>
    <row r="4400" spans="1:13" x14ac:dyDescent="0.25">
      <c r="A4400" t="s">
        <v>2997</v>
      </c>
      <c r="B4400" t="s">
        <v>91</v>
      </c>
      <c r="C4400" t="s">
        <v>14</v>
      </c>
      <c r="D4400" t="s">
        <v>68</v>
      </c>
      <c r="E4400">
        <v>25</v>
      </c>
      <c r="F4400">
        <v>0.75</v>
      </c>
      <c r="G4400">
        <v>18</v>
      </c>
      <c r="H4400" s="1">
        <v>43920</v>
      </c>
      <c r="I4400">
        <v>2020</v>
      </c>
      <c r="J4400">
        <v>3</v>
      </c>
      <c r="K4400" t="s">
        <v>30</v>
      </c>
      <c r="L4400">
        <v>0</v>
      </c>
      <c r="M4400">
        <v>1</v>
      </c>
    </row>
    <row r="4401" spans="1:13" x14ac:dyDescent="0.25">
      <c r="A4401" t="s">
        <v>1254</v>
      </c>
      <c r="B4401" t="s">
        <v>24</v>
      </c>
      <c r="C4401" t="s">
        <v>14</v>
      </c>
      <c r="D4401" t="s">
        <v>68</v>
      </c>
      <c r="E4401">
        <v>20</v>
      </c>
      <c r="F4401" t="s">
        <v>21</v>
      </c>
      <c r="G4401">
        <v>75</v>
      </c>
      <c r="H4401" s="1">
        <v>43920</v>
      </c>
      <c r="I4401">
        <v>2020</v>
      </c>
      <c r="J4401">
        <v>3</v>
      </c>
      <c r="K4401" t="s">
        <v>30</v>
      </c>
      <c r="L4401" t="s">
        <v>21</v>
      </c>
      <c r="M4401">
        <v>1</v>
      </c>
    </row>
    <row r="4402" spans="1:13" x14ac:dyDescent="0.25">
      <c r="A4402" t="s">
        <v>2998</v>
      </c>
      <c r="B4402" t="s">
        <v>95</v>
      </c>
      <c r="C4402" t="s">
        <v>14</v>
      </c>
      <c r="D4402" t="s">
        <v>49</v>
      </c>
      <c r="E4402">
        <v>9</v>
      </c>
      <c r="F4402">
        <v>0.5</v>
      </c>
      <c r="G4402">
        <v>15</v>
      </c>
      <c r="H4402" s="1">
        <v>43920</v>
      </c>
      <c r="I4402">
        <v>2020</v>
      </c>
      <c r="J4402">
        <v>3</v>
      </c>
      <c r="K4402" t="s">
        <v>30</v>
      </c>
      <c r="L4402">
        <v>0</v>
      </c>
      <c r="M4402">
        <v>1</v>
      </c>
    </row>
    <row r="4403" spans="1:13" x14ac:dyDescent="0.25">
      <c r="A4403" t="s">
        <v>2999</v>
      </c>
      <c r="B4403" t="s">
        <v>24</v>
      </c>
      <c r="C4403" t="s">
        <v>14</v>
      </c>
      <c r="D4403" t="s">
        <v>46</v>
      </c>
      <c r="E4403" t="s">
        <v>21</v>
      </c>
      <c r="F4403" t="s">
        <v>21</v>
      </c>
      <c r="G4403">
        <v>31</v>
      </c>
      <c r="H4403" s="1">
        <v>43920</v>
      </c>
      <c r="I4403">
        <v>2020</v>
      </c>
      <c r="J4403">
        <v>3</v>
      </c>
      <c r="K4403" t="s">
        <v>30</v>
      </c>
      <c r="L4403" t="s">
        <v>21</v>
      </c>
      <c r="M4403">
        <v>0</v>
      </c>
    </row>
    <row r="4404" spans="1:13" x14ac:dyDescent="0.25">
      <c r="A4404" t="s">
        <v>357</v>
      </c>
      <c r="B4404" t="s">
        <v>45</v>
      </c>
      <c r="C4404" t="s">
        <v>14</v>
      </c>
      <c r="D4404" t="s">
        <v>33</v>
      </c>
      <c r="E4404">
        <v>400</v>
      </c>
      <c r="F4404">
        <v>0.39</v>
      </c>
      <c r="G4404">
        <v>219</v>
      </c>
      <c r="H4404" s="1">
        <v>43919</v>
      </c>
      <c r="I4404">
        <v>2020</v>
      </c>
      <c r="J4404">
        <v>3</v>
      </c>
      <c r="K4404" t="s">
        <v>36</v>
      </c>
      <c r="L4404">
        <v>0</v>
      </c>
      <c r="M4404">
        <v>1</v>
      </c>
    </row>
    <row r="4405" spans="1:13" x14ac:dyDescent="0.25">
      <c r="A4405" t="s">
        <v>3000</v>
      </c>
      <c r="B4405" t="s">
        <v>54</v>
      </c>
      <c r="C4405" t="s">
        <v>14</v>
      </c>
      <c r="D4405" t="s">
        <v>33</v>
      </c>
      <c r="E4405">
        <v>17</v>
      </c>
      <c r="F4405">
        <v>1</v>
      </c>
      <c r="G4405">
        <v>25</v>
      </c>
      <c r="H4405" s="1">
        <v>43919</v>
      </c>
      <c r="I4405">
        <v>2020</v>
      </c>
      <c r="J4405">
        <v>3</v>
      </c>
      <c r="K4405" t="s">
        <v>30</v>
      </c>
      <c r="L4405">
        <v>1</v>
      </c>
      <c r="M4405">
        <v>1</v>
      </c>
    </row>
    <row r="4406" spans="1:13" x14ac:dyDescent="0.25">
      <c r="A4406" t="s">
        <v>3001</v>
      </c>
      <c r="B4406" t="s">
        <v>18</v>
      </c>
      <c r="C4406" t="s">
        <v>14</v>
      </c>
      <c r="D4406" t="s">
        <v>68</v>
      </c>
      <c r="E4406">
        <v>10</v>
      </c>
      <c r="F4406" t="s">
        <v>21</v>
      </c>
      <c r="G4406">
        <v>13</v>
      </c>
      <c r="H4406" s="1">
        <v>43919</v>
      </c>
      <c r="I4406">
        <v>2020</v>
      </c>
      <c r="J4406">
        <v>3</v>
      </c>
      <c r="K4406" t="s">
        <v>30</v>
      </c>
      <c r="L4406" t="s">
        <v>21</v>
      </c>
      <c r="M4406">
        <v>1</v>
      </c>
    </row>
    <row r="4407" spans="1:13" x14ac:dyDescent="0.25">
      <c r="A4407" t="s">
        <v>3002</v>
      </c>
      <c r="B4407" t="s">
        <v>73</v>
      </c>
      <c r="C4407" t="s">
        <v>48</v>
      </c>
      <c r="D4407" t="s">
        <v>55</v>
      </c>
      <c r="E4407">
        <v>250</v>
      </c>
      <c r="F4407">
        <v>0.5</v>
      </c>
      <c r="G4407">
        <v>47</v>
      </c>
      <c r="H4407" s="1">
        <v>43918</v>
      </c>
      <c r="I4407">
        <v>2020</v>
      </c>
      <c r="J4407">
        <v>3</v>
      </c>
      <c r="K4407" t="s">
        <v>30</v>
      </c>
      <c r="L4407">
        <v>0</v>
      </c>
      <c r="M4407">
        <v>1</v>
      </c>
    </row>
    <row r="4408" spans="1:13" x14ac:dyDescent="0.25">
      <c r="A4408" t="s">
        <v>1810</v>
      </c>
      <c r="B4408" t="s">
        <v>91</v>
      </c>
      <c r="C4408" t="s">
        <v>14</v>
      </c>
      <c r="D4408" t="s">
        <v>347</v>
      </c>
      <c r="E4408">
        <v>250</v>
      </c>
      <c r="F4408" t="s">
        <v>21</v>
      </c>
      <c r="G4408">
        <v>2250</v>
      </c>
      <c r="H4408" s="1">
        <v>43918</v>
      </c>
      <c r="I4408">
        <v>2020</v>
      </c>
      <c r="J4408">
        <v>3</v>
      </c>
      <c r="K4408" t="s">
        <v>26</v>
      </c>
      <c r="L4408" t="s">
        <v>21</v>
      </c>
      <c r="M4408">
        <v>1</v>
      </c>
    </row>
    <row r="4409" spans="1:13" x14ac:dyDescent="0.25">
      <c r="A4409" t="s">
        <v>979</v>
      </c>
      <c r="B4409" t="s">
        <v>24</v>
      </c>
      <c r="C4409" t="s">
        <v>14</v>
      </c>
      <c r="D4409" t="s">
        <v>43</v>
      </c>
      <c r="E4409" t="s">
        <v>21</v>
      </c>
      <c r="F4409" t="s">
        <v>21</v>
      </c>
      <c r="G4409">
        <v>541</v>
      </c>
      <c r="H4409" s="1">
        <v>43918</v>
      </c>
      <c r="I4409">
        <v>2020</v>
      </c>
      <c r="J4409">
        <v>3</v>
      </c>
      <c r="K4409" t="s">
        <v>36</v>
      </c>
      <c r="L4409" t="s">
        <v>21</v>
      </c>
      <c r="M4409">
        <v>0</v>
      </c>
    </row>
    <row r="4410" spans="1:13" x14ac:dyDescent="0.25">
      <c r="A4410" t="s">
        <v>3003</v>
      </c>
      <c r="B4410" t="s">
        <v>490</v>
      </c>
      <c r="C4410" t="s">
        <v>80</v>
      </c>
      <c r="D4410" t="s">
        <v>22</v>
      </c>
      <c r="E4410">
        <v>451</v>
      </c>
      <c r="F4410">
        <v>0.85</v>
      </c>
      <c r="G4410">
        <v>3000</v>
      </c>
      <c r="H4410" s="1">
        <v>43917</v>
      </c>
      <c r="I4410">
        <v>2020</v>
      </c>
      <c r="J4410">
        <v>3</v>
      </c>
      <c r="K4410" t="s">
        <v>26</v>
      </c>
      <c r="L4410">
        <v>0</v>
      </c>
      <c r="M4410">
        <v>1</v>
      </c>
    </row>
    <row r="4411" spans="1:13" x14ac:dyDescent="0.25">
      <c r="A4411" t="s">
        <v>1135</v>
      </c>
      <c r="B4411" t="s">
        <v>66</v>
      </c>
      <c r="C4411" t="s">
        <v>14</v>
      </c>
      <c r="D4411" t="s">
        <v>55</v>
      </c>
      <c r="E4411">
        <v>406</v>
      </c>
      <c r="F4411">
        <v>0.3</v>
      </c>
      <c r="G4411">
        <v>623</v>
      </c>
      <c r="H4411" s="1">
        <v>43917</v>
      </c>
      <c r="I4411">
        <v>2020</v>
      </c>
      <c r="J4411">
        <v>3</v>
      </c>
      <c r="K4411" t="s">
        <v>36</v>
      </c>
      <c r="L4411">
        <v>0</v>
      </c>
      <c r="M4411">
        <v>1</v>
      </c>
    </row>
    <row r="4412" spans="1:13" x14ac:dyDescent="0.25">
      <c r="A4412" t="s">
        <v>3004</v>
      </c>
      <c r="B4412" t="s">
        <v>18</v>
      </c>
      <c r="C4412" t="s">
        <v>64</v>
      </c>
      <c r="D4412" t="s">
        <v>22</v>
      </c>
      <c r="E4412">
        <v>250</v>
      </c>
      <c r="F4412">
        <v>1</v>
      </c>
      <c r="G4412">
        <v>95</v>
      </c>
      <c r="H4412" s="1">
        <v>43917</v>
      </c>
      <c r="I4412">
        <v>2020</v>
      </c>
      <c r="J4412">
        <v>3</v>
      </c>
      <c r="K4412" t="s">
        <v>30</v>
      </c>
      <c r="L4412">
        <v>1</v>
      </c>
      <c r="M4412">
        <v>1</v>
      </c>
    </row>
    <row r="4413" spans="1:13" x14ac:dyDescent="0.25">
      <c r="A4413" t="s">
        <v>1910</v>
      </c>
      <c r="B4413" t="s">
        <v>24</v>
      </c>
      <c r="C4413" t="s">
        <v>14</v>
      </c>
      <c r="D4413" t="s">
        <v>22</v>
      </c>
      <c r="E4413">
        <v>227</v>
      </c>
      <c r="F4413" t="s">
        <v>21</v>
      </c>
      <c r="G4413">
        <v>18</v>
      </c>
      <c r="H4413" s="1">
        <v>43917</v>
      </c>
      <c r="I4413">
        <v>2020</v>
      </c>
      <c r="J4413">
        <v>3</v>
      </c>
      <c r="K4413" t="s">
        <v>30</v>
      </c>
      <c r="L4413" t="s">
        <v>21</v>
      </c>
      <c r="M4413">
        <v>1</v>
      </c>
    </row>
    <row r="4414" spans="1:13" x14ac:dyDescent="0.25">
      <c r="A4414" t="s">
        <v>2296</v>
      </c>
      <c r="B4414" t="s">
        <v>38</v>
      </c>
      <c r="C4414" t="s">
        <v>14</v>
      </c>
      <c r="D4414" t="s">
        <v>111</v>
      </c>
      <c r="E4414">
        <v>200</v>
      </c>
      <c r="F4414" t="s">
        <v>21</v>
      </c>
      <c r="G4414">
        <v>430</v>
      </c>
      <c r="H4414" s="1">
        <v>43917</v>
      </c>
      <c r="I4414">
        <v>2020</v>
      </c>
      <c r="J4414">
        <v>3</v>
      </c>
      <c r="K4414" t="s">
        <v>36</v>
      </c>
      <c r="L4414" t="s">
        <v>21</v>
      </c>
      <c r="M4414">
        <v>1</v>
      </c>
    </row>
    <row r="4415" spans="1:13" x14ac:dyDescent="0.25">
      <c r="A4415" t="s">
        <v>376</v>
      </c>
      <c r="B4415" t="s">
        <v>95</v>
      </c>
      <c r="C4415" t="s">
        <v>14</v>
      </c>
      <c r="D4415" t="s">
        <v>46</v>
      </c>
      <c r="E4415">
        <v>175</v>
      </c>
      <c r="F4415" t="s">
        <v>21</v>
      </c>
      <c r="G4415">
        <v>127</v>
      </c>
      <c r="H4415" s="1">
        <v>43917</v>
      </c>
      <c r="I4415">
        <v>2020</v>
      </c>
      <c r="J4415">
        <v>3</v>
      </c>
      <c r="K4415" t="s">
        <v>36</v>
      </c>
      <c r="L4415" t="s">
        <v>21</v>
      </c>
      <c r="M4415">
        <v>1</v>
      </c>
    </row>
    <row r="4416" spans="1:13" x14ac:dyDescent="0.25">
      <c r="A4416" t="s">
        <v>3005</v>
      </c>
      <c r="B4416" t="s">
        <v>91</v>
      </c>
      <c r="C4416" t="s">
        <v>14</v>
      </c>
      <c r="D4416" t="s">
        <v>33</v>
      </c>
      <c r="E4416">
        <v>130</v>
      </c>
      <c r="F4416">
        <v>0.25</v>
      </c>
      <c r="G4416">
        <v>77</v>
      </c>
      <c r="H4416" s="1">
        <v>43917</v>
      </c>
      <c r="I4416">
        <v>2020</v>
      </c>
      <c r="J4416">
        <v>3</v>
      </c>
      <c r="K4416" t="s">
        <v>30</v>
      </c>
      <c r="L4416">
        <v>0</v>
      </c>
      <c r="M4416">
        <v>1</v>
      </c>
    </row>
    <row r="4417" spans="1:13" x14ac:dyDescent="0.25">
      <c r="A4417" t="s">
        <v>2673</v>
      </c>
      <c r="B4417" t="s">
        <v>91</v>
      </c>
      <c r="C4417" t="s">
        <v>14</v>
      </c>
      <c r="D4417" t="s">
        <v>46</v>
      </c>
      <c r="E4417">
        <v>127</v>
      </c>
      <c r="F4417">
        <v>0.3</v>
      </c>
      <c r="G4417">
        <v>560</v>
      </c>
      <c r="H4417" s="1">
        <v>43917</v>
      </c>
      <c r="I4417">
        <v>2020</v>
      </c>
      <c r="J4417">
        <v>3</v>
      </c>
      <c r="K4417" t="s">
        <v>36</v>
      </c>
      <c r="L4417">
        <v>0</v>
      </c>
      <c r="M4417">
        <v>1</v>
      </c>
    </row>
    <row r="4418" spans="1:13" x14ac:dyDescent="0.25">
      <c r="A4418" t="s">
        <v>496</v>
      </c>
      <c r="B4418" t="s">
        <v>66</v>
      </c>
      <c r="C4418" t="s">
        <v>14</v>
      </c>
      <c r="D4418" t="s">
        <v>55</v>
      </c>
      <c r="E4418">
        <v>100</v>
      </c>
      <c r="F4418">
        <v>0.25</v>
      </c>
      <c r="G4418">
        <v>403</v>
      </c>
      <c r="H4418" s="1">
        <v>43917</v>
      </c>
      <c r="I4418">
        <v>2020</v>
      </c>
      <c r="J4418">
        <v>3</v>
      </c>
      <c r="K4418" t="s">
        <v>36</v>
      </c>
      <c r="L4418">
        <v>0</v>
      </c>
      <c r="M4418">
        <v>1</v>
      </c>
    </row>
    <row r="4419" spans="1:13" x14ac:dyDescent="0.25">
      <c r="A4419" t="s">
        <v>269</v>
      </c>
      <c r="B4419" t="s">
        <v>66</v>
      </c>
      <c r="C4419" t="s">
        <v>14</v>
      </c>
      <c r="D4419" t="s">
        <v>20</v>
      </c>
      <c r="E4419">
        <v>100</v>
      </c>
      <c r="F4419">
        <v>0.2</v>
      </c>
      <c r="G4419">
        <v>107</v>
      </c>
      <c r="H4419" s="1">
        <v>43917</v>
      </c>
      <c r="I4419">
        <v>2020</v>
      </c>
      <c r="J4419">
        <v>3</v>
      </c>
      <c r="K4419" t="s">
        <v>36</v>
      </c>
      <c r="L4419">
        <v>0</v>
      </c>
      <c r="M4419">
        <v>1</v>
      </c>
    </row>
    <row r="4420" spans="1:13" x14ac:dyDescent="0.25">
      <c r="A4420" t="s">
        <v>3006</v>
      </c>
      <c r="B4420" t="s">
        <v>77</v>
      </c>
      <c r="C4420" t="s">
        <v>174</v>
      </c>
      <c r="D4420" t="s">
        <v>15</v>
      </c>
      <c r="E4420">
        <v>78</v>
      </c>
      <c r="F4420">
        <v>0.3</v>
      </c>
      <c r="G4420">
        <v>201</v>
      </c>
      <c r="H4420" s="1">
        <v>43917</v>
      </c>
      <c r="I4420">
        <v>2020</v>
      </c>
      <c r="J4420">
        <v>3</v>
      </c>
      <c r="K4420" t="s">
        <v>36</v>
      </c>
      <c r="L4420">
        <v>0</v>
      </c>
      <c r="M4420">
        <v>1</v>
      </c>
    </row>
    <row r="4421" spans="1:13" x14ac:dyDescent="0.25">
      <c r="A4421" t="s">
        <v>3007</v>
      </c>
      <c r="B4421" t="s">
        <v>342</v>
      </c>
      <c r="C4421" t="s">
        <v>14</v>
      </c>
      <c r="D4421" t="s">
        <v>111</v>
      </c>
      <c r="E4421">
        <v>75</v>
      </c>
      <c r="F4421" t="s">
        <v>21</v>
      </c>
      <c r="G4421">
        <v>133</v>
      </c>
      <c r="H4421" s="1">
        <v>43917</v>
      </c>
      <c r="I4421">
        <v>2020</v>
      </c>
      <c r="J4421">
        <v>3</v>
      </c>
      <c r="K4421" t="s">
        <v>36</v>
      </c>
      <c r="L4421" t="s">
        <v>21</v>
      </c>
      <c r="M4421">
        <v>1</v>
      </c>
    </row>
    <row r="4422" spans="1:13" x14ac:dyDescent="0.25">
      <c r="A4422" t="s">
        <v>3008</v>
      </c>
      <c r="B4422" t="s">
        <v>533</v>
      </c>
      <c r="C4422" t="s">
        <v>14</v>
      </c>
      <c r="D4422" t="s">
        <v>68</v>
      </c>
      <c r="E4422">
        <v>60</v>
      </c>
      <c r="F4422" t="s">
        <v>21</v>
      </c>
      <c r="G4422">
        <v>12</v>
      </c>
      <c r="H4422" s="1">
        <v>43917</v>
      </c>
      <c r="I4422">
        <v>2020</v>
      </c>
      <c r="J4422">
        <v>3</v>
      </c>
      <c r="K4422" t="s">
        <v>30</v>
      </c>
      <c r="L4422" t="s">
        <v>21</v>
      </c>
      <c r="M4422">
        <v>1</v>
      </c>
    </row>
    <row r="4423" spans="1:13" x14ac:dyDescent="0.25">
      <c r="A4423" t="s">
        <v>438</v>
      </c>
      <c r="B4423" t="s">
        <v>77</v>
      </c>
      <c r="C4423" t="s">
        <v>174</v>
      </c>
      <c r="D4423" t="s">
        <v>33</v>
      </c>
      <c r="E4423">
        <v>47</v>
      </c>
      <c r="F4423">
        <v>0.1</v>
      </c>
      <c r="G4423">
        <v>49</v>
      </c>
      <c r="H4423" s="1">
        <v>43917</v>
      </c>
      <c r="I4423">
        <v>2020</v>
      </c>
      <c r="J4423">
        <v>3</v>
      </c>
      <c r="K4423" t="s">
        <v>30</v>
      </c>
      <c r="L4423">
        <v>0</v>
      </c>
      <c r="M4423">
        <v>1</v>
      </c>
    </row>
    <row r="4424" spans="1:13" x14ac:dyDescent="0.25">
      <c r="A4424" t="s">
        <v>1626</v>
      </c>
      <c r="B4424" t="s">
        <v>91</v>
      </c>
      <c r="C4424" t="s">
        <v>230</v>
      </c>
      <c r="D4424" t="s">
        <v>46</v>
      </c>
      <c r="E4424">
        <v>47</v>
      </c>
      <c r="F4424" t="s">
        <v>21</v>
      </c>
      <c r="G4424">
        <v>263</v>
      </c>
      <c r="H4424" s="1">
        <v>43917</v>
      </c>
      <c r="I4424">
        <v>2020</v>
      </c>
      <c r="J4424">
        <v>3</v>
      </c>
      <c r="K4424" t="s">
        <v>36</v>
      </c>
      <c r="L4424" t="s">
        <v>21</v>
      </c>
      <c r="M4424">
        <v>1</v>
      </c>
    </row>
    <row r="4425" spans="1:13" x14ac:dyDescent="0.25">
      <c r="A4425" t="s">
        <v>3009</v>
      </c>
      <c r="B4425" t="s">
        <v>95</v>
      </c>
      <c r="C4425" t="s">
        <v>14</v>
      </c>
      <c r="D4425" t="s">
        <v>49</v>
      </c>
      <c r="E4425">
        <v>40</v>
      </c>
      <c r="F4425" t="s">
        <v>21</v>
      </c>
      <c r="G4425">
        <v>20</v>
      </c>
      <c r="H4425" s="1">
        <v>43917</v>
      </c>
      <c r="I4425">
        <v>2020</v>
      </c>
      <c r="J4425">
        <v>3</v>
      </c>
      <c r="K4425" t="s">
        <v>30</v>
      </c>
      <c r="L4425" t="s">
        <v>21</v>
      </c>
      <c r="M4425">
        <v>1</v>
      </c>
    </row>
    <row r="4426" spans="1:13" x14ac:dyDescent="0.25">
      <c r="A4426" t="s">
        <v>3010</v>
      </c>
      <c r="B4426" t="s">
        <v>95</v>
      </c>
      <c r="C4426" t="s">
        <v>14</v>
      </c>
      <c r="D4426" t="s">
        <v>46</v>
      </c>
      <c r="E4426">
        <v>30</v>
      </c>
      <c r="F4426">
        <v>0.2</v>
      </c>
      <c r="G4426">
        <v>60</v>
      </c>
      <c r="H4426" s="1">
        <v>43917</v>
      </c>
      <c r="I4426">
        <v>2020</v>
      </c>
      <c r="J4426">
        <v>3</v>
      </c>
      <c r="K4426" t="s">
        <v>30</v>
      </c>
      <c r="L4426">
        <v>0</v>
      </c>
      <c r="M4426">
        <v>1</v>
      </c>
    </row>
    <row r="4427" spans="1:13" x14ac:dyDescent="0.25">
      <c r="A4427" t="s">
        <v>526</v>
      </c>
      <c r="B4427" t="s">
        <v>45</v>
      </c>
      <c r="C4427" t="s">
        <v>14</v>
      </c>
      <c r="D4427" t="s">
        <v>22</v>
      </c>
      <c r="E4427">
        <v>30</v>
      </c>
      <c r="F4427">
        <v>0.2</v>
      </c>
      <c r="G4427">
        <v>41</v>
      </c>
      <c r="H4427" s="1">
        <v>43917</v>
      </c>
      <c r="I4427">
        <v>2020</v>
      </c>
      <c r="J4427">
        <v>3</v>
      </c>
      <c r="K4427" t="s">
        <v>30</v>
      </c>
      <c r="L4427">
        <v>0</v>
      </c>
      <c r="M4427">
        <v>1</v>
      </c>
    </row>
    <row r="4428" spans="1:13" x14ac:dyDescent="0.25">
      <c r="A4428" t="s">
        <v>3011</v>
      </c>
      <c r="B4428" t="s">
        <v>54</v>
      </c>
      <c r="C4428" t="s">
        <v>14</v>
      </c>
      <c r="D4428" t="s">
        <v>33</v>
      </c>
      <c r="E4428">
        <v>20</v>
      </c>
      <c r="F4428" t="s">
        <v>21</v>
      </c>
      <c r="G4428">
        <v>25</v>
      </c>
      <c r="H4428" s="1">
        <v>43917</v>
      </c>
      <c r="I4428">
        <v>2020</v>
      </c>
      <c r="J4428">
        <v>3</v>
      </c>
      <c r="K4428" t="s">
        <v>30</v>
      </c>
      <c r="L4428" t="s">
        <v>21</v>
      </c>
      <c r="M4428">
        <v>1</v>
      </c>
    </row>
    <row r="4429" spans="1:13" x14ac:dyDescent="0.25">
      <c r="A4429" t="s">
        <v>2945</v>
      </c>
      <c r="B4429" t="s">
        <v>24</v>
      </c>
      <c r="C4429" t="s">
        <v>14</v>
      </c>
      <c r="D4429" t="s">
        <v>33</v>
      </c>
      <c r="E4429">
        <v>10</v>
      </c>
      <c r="F4429" t="s">
        <v>21</v>
      </c>
      <c r="G4429">
        <v>68</v>
      </c>
      <c r="H4429" s="1">
        <v>43917</v>
      </c>
      <c r="I4429">
        <v>2020</v>
      </c>
      <c r="J4429">
        <v>3</v>
      </c>
      <c r="K4429" t="s">
        <v>30</v>
      </c>
      <c r="L4429" t="s">
        <v>21</v>
      </c>
      <c r="M4429">
        <v>1</v>
      </c>
    </row>
    <row r="4430" spans="1:13" x14ac:dyDescent="0.25">
      <c r="A4430" t="s">
        <v>3012</v>
      </c>
      <c r="B4430" t="s">
        <v>77</v>
      </c>
      <c r="C4430" t="s">
        <v>230</v>
      </c>
      <c r="D4430" t="s">
        <v>68</v>
      </c>
      <c r="E4430" t="s">
        <v>21</v>
      </c>
      <c r="F4430" t="s">
        <v>21</v>
      </c>
      <c r="G4430" t="s">
        <v>21</v>
      </c>
      <c r="H4430" s="1">
        <v>43917</v>
      </c>
      <c r="I4430">
        <v>2020</v>
      </c>
      <c r="J4430">
        <v>3</v>
      </c>
      <c r="K4430" t="s">
        <v>22</v>
      </c>
      <c r="L4430" t="s">
        <v>21</v>
      </c>
      <c r="M4430">
        <v>0</v>
      </c>
    </row>
    <row r="4431" spans="1:13" x14ac:dyDescent="0.25">
      <c r="A4431" t="s">
        <v>3013</v>
      </c>
      <c r="B4431" t="s">
        <v>106</v>
      </c>
      <c r="C4431" t="s">
        <v>14</v>
      </c>
      <c r="D4431" t="s">
        <v>22</v>
      </c>
      <c r="E4431" t="s">
        <v>21</v>
      </c>
      <c r="F4431" t="s">
        <v>21</v>
      </c>
      <c r="G4431" t="s">
        <v>21</v>
      </c>
      <c r="H4431" s="1">
        <v>43917</v>
      </c>
      <c r="I4431">
        <v>2020</v>
      </c>
      <c r="J4431">
        <v>3</v>
      </c>
      <c r="K4431" t="s">
        <v>22</v>
      </c>
      <c r="L4431" t="s">
        <v>21</v>
      </c>
      <c r="M4431">
        <v>0</v>
      </c>
    </row>
    <row r="4432" spans="1:13" x14ac:dyDescent="0.25">
      <c r="A4432" t="s">
        <v>3014</v>
      </c>
      <c r="B4432" t="s">
        <v>140</v>
      </c>
      <c r="C4432" t="s">
        <v>14</v>
      </c>
      <c r="D4432" t="s">
        <v>347</v>
      </c>
      <c r="E4432" t="s">
        <v>21</v>
      </c>
      <c r="F4432" t="s">
        <v>21</v>
      </c>
      <c r="G4432">
        <v>273</v>
      </c>
      <c r="H4432" s="1">
        <v>43917</v>
      </c>
      <c r="I4432">
        <v>2020</v>
      </c>
      <c r="J4432">
        <v>3</v>
      </c>
      <c r="K4432" t="s">
        <v>36</v>
      </c>
      <c r="L4432" t="s">
        <v>21</v>
      </c>
      <c r="M4432">
        <v>0</v>
      </c>
    </row>
    <row r="4433" spans="1:13" x14ac:dyDescent="0.25">
      <c r="A4433" t="s">
        <v>3015</v>
      </c>
      <c r="B4433" t="s">
        <v>24</v>
      </c>
      <c r="C4433" t="s">
        <v>14</v>
      </c>
      <c r="D4433" t="s">
        <v>46</v>
      </c>
      <c r="E4433">
        <v>250</v>
      </c>
      <c r="F4433">
        <v>0.5</v>
      </c>
      <c r="G4433">
        <v>88</v>
      </c>
      <c r="H4433" s="1">
        <v>43916</v>
      </c>
      <c r="I4433">
        <v>2020</v>
      </c>
      <c r="J4433">
        <v>3</v>
      </c>
      <c r="K4433" t="s">
        <v>30</v>
      </c>
      <c r="L4433">
        <v>0</v>
      </c>
      <c r="M4433">
        <v>1</v>
      </c>
    </row>
    <row r="4434" spans="1:13" x14ac:dyDescent="0.25">
      <c r="A4434" t="s">
        <v>3016</v>
      </c>
      <c r="B4434" t="s">
        <v>73</v>
      </c>
      <c r="C4434" t="s">
        <v>48</v>
      </c>
      <c r="D4434" t="s">
        <v>22</v>
      </c>
      <c r="E4434">
        <v>200</v>
      </c>
      <c r="F4434" t="s">
        <v>21</v>
      </c>
      <c r="G4434" t="s">
        <v>21</v>
      </c>
      <c r="H4434" s="1">
        <v>43916</v>
      </c>
      <c r="I4434">
        <v>2020</v>
      </c>
      <c r="J4434">
        <v>3</v>
      </c>
      <c r="K4434" t="s">
        <v>22</v>
      </c>
      <c r="L4434" t="s">
        <v>21</v>
      </c>
      <c r="M4434">
        <v>1</v>
      </c>
    </row>
    <row r="4435" spans="1:13" x14ac:dyDescent="0.25">
      <c r="A4435" t="s">
        <v>2348</v>
      </c>
      <c r="B4435" t="s">
        <v>140</v>
      </c>
      <c r="C4435" t="s">
        <v>14</v>
      </c>
      <c r="D4435" t="s">
        <v>43</v>
      </c>
      <c r="E4435">
        <v>50</v>
      </c>
      <c r="F4435">
        <v>0.1</v>
      </c>
      <c r="G4435">
        <v>149</v>
      </c>
      <c r="H4435" s="1">
        <v>43916</v>
      </c>
      <c r="I4435">
        <v>2020</v>
      </c>
      <c r="J4435">
        <v>3</v>
      </c>
      <c r="K4435" t="s">
        <v>36</v>
      </c>
      <c r="L4435">
        <v>0</v>
      </c>
      <c r="M4435">
        <v>1</v>
      </c>
    </row>
    <row r="4436" spans="1:13" x14ac:dyDescent="0.25">
      <c r="A4436" t="s">
        <v>3017</v>
      </c>
      <c r="B4436" t="s">
        <v>217</v>
      </c>
      <c r="C4436" t="s">
        <v>174</v>
      </c>
      <c r="D4436" t="s">
        <v>46</v>
      </c>
      <c r="E4436">
        <v>47</v>
      </c>
      <c r="F4436">
        <v>0.1</v>
      </c>
      <c r="G4436">
        <v>149</v>
      </c>
      <c r="H4436" s="1">
        <v>43916</v>
      </c>
      <c r="I4436">
        <v>2020</v>
      </c>
      <c r="J4436">
        <v>3</v>
      </c>
      <c r="K4436" t="s">
        <v>36</v>
      </c>
      <c r="L4436">
        <v>0</v>
      </c>
      <c r="M4436">
        <v>1</v>
      </c>
    </row>
    <row r="4437" spans="1:13" x14ac:dyDescent="0.25">
      <c r="A4437" t="s">
        <v>3018</v>
      </c>
      <c r="B4437" t="s">
        <v>66</v>
      </c>
      <c r="C4437" t="s">
        <v>14</v>
      </c>
      <c r="D4437" t="s">
        <v>55</v>
      </c>
      <c r="E4437">
        <v>44</v>
      </c>
      <c r="F4437" t="s">
        <v>21</v>
      </c>
      <c r="G4437">
        <v>123</v>
      </c>
      <c r="H4437" s="1">
        <v>43916</v>
      </c>
      <c r="I4437">
        <v>2020</v>
      </c>
      <c r="J4437">
        <v>3</v>
      </c>
      <c r="K4437" t="s">
        <v>36</v>
      </c>
      <c r="L4437" t="s">
        <v>21</v>
      </c>
      <c r="M4437">
        <v>1</v>
      </c>
    </row>
    <row r="4438" spans="1:13" x14ac:dyDescent="0.25">
      <c r="A4438" t="s">
        <v>3019</v>
      </c>
      <c r="B4438" t="s">
        <v>91</v>
      </c>
      <c r="C4438" t="s">
        <v>14</v>
      </c>
      <c r="D4438" t="s">
        <v>33</v>
      </c>
      <c r="E4438">
        <v>41</v>
      </c>
      <c r="F4438">
        <v>0.75</v>
      </c>
      <c r="G4438">
        <v>34</v>
      </c>
      <c r="H4438" s="1">
        <v>43916</v>
      </c>
      <c r="I4438">
        <v>2020</v>
      </c>
      <c r="J4438">
        <v>3</v>
      </c>
      <c r="K4438" t="s">
        <v>30</v>
      </c>
      <c r="L4438">
        <v>0</v>
      </c>
      <c r="M4438">
        <v>1</v>
      </c>
    </row>
    <row r="4439" spans="1:13" x14ac:dyDescent="0.25">
      <c r="A4439" t="s">
        <v>3020</v>
      </c>
      <c r="B4439" t="s">
        <v>24</v>
      </c>
      <c r="C4439" t="s">
        <v>14</v>
      </c>
      <c r="D4439" t="s">
        <v>33</v>
      </c>
      <c r="E4439">
        <v>23</v>
      </c>
      <c r="F4439">
        <v>0.2</v>
      </c>
      <c r="G4439">
        <v>47</v>
      </c>
      <c r="H4439" s="1">
        <v>43916</v>
      </c>
      <c r="I4439">
        <v>2020</v>
      </c>
      <c r="J4439">
        <v>3</v>
      </c>
      <c r="K4439" t="s">
        <v>30</v>
      </c>
      <c r="L4439">
        <v>0</v>
      </c>
      <c r="M4439">
        <v>1</v>
      </c>
    </row>
    <row r="4440" spans="1:13" x14ac:dyDescent="0.25">
      <c r="A4440" t="s">
        <v>3021</v>
      </c>
      <c r="B4440" t="s">
        <v>13</v>
      </c>
      <c r="C4440" t="s">
        <v>14</v>
      </c>
      <c r="D4440" t="s">
        <v>49</v>
      </c>
      <c r="E4440">
        <v>13</v>
      </c>
      <c r="F4440">
        <v>1</v>
      </c>
      <c r="G4440">
        <v>5</v>
      </c>
      <c r="H4440" s="1">
        <v>43916</v>
      </c>
      <c r="I4440">
        <v>2020</v>
      </c>
      <c r="J4440">
        <v>3</v>
      </c>
      <c r="K4440" t="s">
        <v>16</v>
      </c>
      <c r="L4440">
        <v>1</v>
      </c>
      <c r="M4440">
        <v>1</v>
      </c>
    </row>
    <row r="4441" spans="1:13" x14ac:dyDescent="0.25">
      <c r="A4441" t="s">
        <v>3022</v>
      </c>
      <c r="B4441" t="s">
        <v>54</v>
      </c>
      <c r="C4441" t="s">
        <v>14</v>
      </c>
      <c r="D4441" t="s">
        <v>33</v>
      </c>
      <c r="E4441" t="s">
        <v>21</v>
      </c>
      <c r="F4441">
        <v>0.4</v>
      </c>
      <c r="G4441">
        <v>35</v>
      </c>
      <c r="H4441" s="1">
        <v>43916</v>
      </c>
      <c r="I4441">
        <v>2020</v>
      </c>
      <c r="J4441">
        <v>3</v>
      </c>
      <c r="K4441" t="s">
        <v>30</v>
      </c>
      <c r="L4441">
        <v>0</v>
      </c>
      <c r="M4441">
        <v>1</v>
      </c>
    </row>
    <row r="4442" spans="1:13" x14ac:dyDescent="0.25">
      <c r="A4442" t="s">
        <v>3023</v>
      </c>
      <c r="B4442" t="s">
        <v>73</v>
      </c>
      <c r="C4442" t="s">
        <v>14</v>
      </c>
      <c r="D4442" t="s">
        <v>55</v>
      </c>
      <c r="E4442">
        <v>300</v>
      </c>
      <c r="F4442">
        <v>0.25</v>
      </c>
      <c r="G4442">
        <v>981</v>
      </c>
      <c r="H4442" s="1">
        <v>43915</v>
      </c>
      <c r="I4442">
        <v>2020</v>
      </c>
      <c r="J4442">
        <v>3</v>
      </c>
      <c r="K4442" t="s">
        <v>36</v>
      </c>
      <c r="L4442">
        <v>0</v>
      </c>
      <c r="M4442">
        <v>1</v>
      </c>
    </row>
    <row r="4443" spans="1:13" x14ac:dyDescent="0.25">
      <c r="A4443" t="s">
        <v>3024</v>
      </c>
      <c r="B4443" t="s">
        <v>91</v>
      </c>
      <c r="C4443" t="s">
        <v>14</v>
      </c>
      <c r="D4443" t="s">
        <v>33</v>
      </c>
      <c r="E4443">
        <v>100</v>
      </c>
      <c r="F4443" t="s">
        <v>21</v>
      </c>
      <c r="G4443">
        <v>179.1</v>
      </c>
      <c r="H4443" s="1">
        <v>43915</v>
      </c>
      <c r="I4443">
        <v>2020</v>
      </c>
      <c r="J4443">
        <v>3</v>
      </c>
      <c r="K4443" t="s">
        <v>36</v>
      </c>
      <c r="L4443" t="s">
        <v>21</v>
      </c>
      <c r="M4443">
        <v>1</v>
      </c>
    </row>
    <row r="4444" spans="1:13" x14ac:dyDescent="0.25">
      <c r="A4444" t="s">
        <v>3025</v>
      </c>
      <c r="B4444" t="s">
        <v>114</v>
      </c>
      <c r="C4444" t="s">
        <v>174</v>
      </c>
      <c r="D4444" t="s">
        <v>22</v>
      </c>
      <c r="E4444">
        <v>78</v>
      </c>
      <c r="F4444">
        <v>0.3</v>
      </c>
      <c r="G4444" t="s">
        <v>21</v>
      </c>
      <c r="H4444" s="1">
        <v>43915</v>
      </c>
      <c r="I4444">
        <v>2020</v>
      </c>
      <c r="J4444">
        <v>3</v>
      </c>
      <c r="K4444" t="s">
        <v>22</v>
      </c>
      <c r="L4444">
        <v>0</v>
      </c>
      <c r="M4444">
        <v>1</v>
      </c>
    </row>
    <row r="4445" spans="1:13" x14ac:dyDescent="0.25">
      <c r="A4445" t="s">
        <v>3026</v>
      </c>
      <c r="B4445" t="s">
        <v>32</v>
      </c>
      <c r="C4445" t="s">
        <v>14</v>
      </c>
      <c r="D4445" t="s">
        <v>22</v>
      </c>
      <c r="E4445">
        <v>75</v>
      </c>
      <c r="F4445">
        <v>0.15</v>
      </c>
      <c r="G4445" t="s">
        <v>21</v>
      </c>
      <c r="H4445" s="1">
        <v>43915</v>
      </c>
      <c r="I4445">
        <v>2020</v>
      </c>
      <c r="J4445">
        <v>3</v>
      </c>
      <c r="K4445" t="s">
        <v>22</v>
      </c>
      <c r="L4445">
        <v>0</v>
      </c>
      <c r="M4445">
        <v>1</v>
      </c>
    </row>
    <row r="4446" spans="1:13" x14ac:dyDescent="0.25">
      <c r="A4446" t="s">
        <v>2448</v>
      </c>
      <c r="B4446" t="s">
        <v>73</v>
      </c>
      <c r="C4446" t="s">
        <v>14</v>
      </c>
      <c r="D4446" t="s">
        <v>33</v>
      </c>
      <c r="E4446">
        <v>56</v>
      </c>
      <c r="F4446">
        <v>0.23</v>
      </c>
      <c r="G4446">
        <v>26</v>
      </c>
      <c r="H4446" s="1">
        <v>43915</v>
      </c>
      <c r="I4446">
        <v>2020</v>
      </c>
      <c r="J4446">
        <v>3</v>
      </c>
      <c r="K4446" t="s">
        <v>30</v>
      </c>
      <c r="L4446">
        <v>0</v>
      </c>
      <c r="M4446">
        <v>1</v>
      </c>
    </row>
    <row r="4447" spans="1:13" x14ac:dyDescent="0.25">
      <c r="A4447" t="s">
        <v>3027</v>
      </c>
      <c r="B4447" t="s">
        <v>54</v>
      </c>
      <c r="C4447" t="s">
        <v>14</v>
      </c>
      <c r="D4447" t="s">
        <v>46</v>
      </c>
      <c r="E4447">
        <v>52</v>
      </c>
      <c r="F4447">
        <v>0.28000000000000003</v>
      </c>
      <c r="G4447">
        <v>48</v>
      </c>
      <c r="H4447" s="1">
        <v>43915</v>
      </c>
      <c r="I4447">
        <v>2020</v>
      </c>
      <c r="J4447">
        <v>3</v>
      </c>
      <c r="K4447" t="s">
        <v>30</v>
      </c>
      <c r="L4447">
        <v>0</v>
      </c>
      <c r="M4447">
        <v>1</v>
      </c>
    </row>
    <row r="4448" spans="1:13" x14ac:dyDescent="0.25">
      <c r="A4448" t="s">
        <v>1705</v>
      </c>
      <c r="B4448" t="s">
        <v>106</v>
      </c>
      <c r="C4448" t="s">
        <v>14</v>
      </c>
      <c r="D4448" t="s">
        <v>68</v>
      </c>
      <c r="E4448">
        <v>50</v>
      </c>
      <c r="F4448">
        <v>0.75</v>
      </c>
      <c r="G4448">
        <v>24</v>
      </c>
      <c r="H4448" s="1">
        <v>43915</v>
      </c>
      <c r="I4448">
        <v>2020</v>
      </c>
      <c r="J4448">
        <v>3</v>
      </c>
      <c r="K4448" t="s">
        <v>30</v>
      </c>
      <c r="L4448">
        <v>0</v>
      </c>
      <c r="M4448">
        <v>1</v>
      </c>
    </row>
    <row r="4449" spans="1:13" x14ac:dyDescent="0.25">
      <c r="A4449" t="s">
        <v>3028</v>
      </c>
      <c r="B4449" t="s">
        <v>32</v>
      </c>
      <c r="C4449" t="s">
        <v>14</v>
      </c>
      <c r="D4449" t="s">
        <v>33</v>
      </c>
      <c r="E4449">
        <v>30</v>
      </c>
      <c r="F4449">
        <v>0.23</v>
      </c>
      <c r="G4449">
        <v>35</v>
      </c>
      <c r="H4449" s="1">
        <v>43915</v>
      </c>
      <c r="I4449">
        <v>2020</v>
      </c>
      <c r="J4449">
        <v>3</v>
      </c>
      <c r="K4449" t="s">
        <v>30</v>
      </c>
      <c r="L4449">
        <v>0</v>
      </c>
      <c r="M4449">
        <v>1</v>
      </c>
    </row>
    <row r="4450" spans="1:13" x14ac:dyDescent="0.25">
      <c r="A4450" t="s">
        <v>3029</v>
      </c>
      <c r="B4450" t="s">
        <v>114</v>
      </c>
      <c r="C4450" t="s">
        <v>14</v>
      </c>
      <c r="D4450" t="s">
        <v>22</v>
      </c>
      <c r="E4450">
        <v>12</v>
      </c>
      <c r="F4450">
        <v>0.05</v>
      </c>
      <c r="G4450">
        <v>233</v>
      </c>
      <c r="H4450" s="1">
        <v>43915</v>
      </c>
      <c r="I4450">
        <v>2020</v>
      </c>
      <c r="J4450">
        <v>3</v>
      </c>
      <c r="K4450" t="s">
        <v>36</v>
      </c>
      <c r="L4450">
        <v>0</v>
      </c>
      <c r="M4450">
        <v>1</v>
      </c>
    </row>
    <row r="4451" spans="1:13" x14ac:dyDescent="0.25">
      <c r="A4451" t="s">
        <v>3030</v>
      </c>
      <c r="B4451" t="s">
        <v>38</v>
      </c>
      <c r="C4451" t="s">
        <v>14</v>
      </c>
      <c r="D4451" t="s">
        <v>68</v>
      </c>
      <c r="E4451">
        <v>10</v>
      </c>
      <c r="F4451" t="s">
        <v>21</v>
      </c>
      <c r="G4451">
        <v>22</v>
      </c>
      <c r="H4451" s="1">
        <v>43915</v>
      </c>
      <c r="I4451">
        <v>2020</v>
      </c>
      <c r="J4451">
        <v>3</v>
      </c>
      <c r="K4451" t="s">
        <v>30</v>
      </c>
      <c r="L4451" t="s">
        <v>21</v>
      </c>
      <c r="M4451">
        <v>1</v>
      </c>
    </row>
    <row r="4452" spans="1:13" x14ac:dyDescent="0.25">
      <c r="A4452" t="s">
        <v>2183</v>
      </c>
      <c r="B4452" t="s">
        <v>91</v>
      </c>
      <c r="C4452" t="s">
        <v>14</v>
      </c>
      <c r="D4452" t="s">
        <v>68</v>
      </c>
      <c r="E4452" t="s">
        <v>21</v>
      </c>
      <c r="F4452" t="s">
        <v>21</v>
      </c>
      <c r="G4452">
        <v>5</v>
      </c>
      <c r="H4452" s="1">
        <v>43915</v>
      </c>
      <c r="I4452">
        <v>2020</v>
      </c>
      <c r="J4452">
        <v>3</v>
      </c>
      <c r="K4452" t="s">
        <v>16</v>
      </c>
      <c r="L4452" t="s">
        <v>21</v>
      </c>
      <c r="M4452">
        <v>0</v>
      </c>
    </row>
    <row r="4453" spans="1:13" x14ac:dyDescent="0.25">
      <c r="A4453" t="s">
        <v>3031</v>
      </c>
      <c r="B4453" t="s">
        <v>18</v>
      </c>
      <c r="C4453" t="s">
        <v>14</v>
      </c>
      <c r="D4453" t="s">
        <v>55</v>
      </c>
      <c r="E4453" t="s">
        <v>21</v>
      </c>
      <c r="F4453">
        <v>0.3</v>
      </c>
      <c r="G4453">
        <v>296</v>
      </c>
      <c r="H4453" s="1">
        <v>43915</v>
      </c>
      <c r="I4453">
        <v>2020</v>
      </c>
      <c r="J4453">
        <v>3</v>
      </c>
      <c r="K4453" t="s">
        <v>36</v>
      </c>
      <c r="L4453">
        <v>0</v>
      </c>
      <c r="M4453">
        <v>1</v>
      </c>
    </row>
    <row r="4454" spans="1:13" x14ac:dyDescent="0.25">
      <c r="A4454" t="s">
        <v>1174</v>
      </c>
      <c r="B4454" t="s">
        <v>91</v>
      </c>
      <c r="C4454" t="s">
        <v>14</v>
      </c>
      <c r="D4454" t="s">
        <v>33</v>
      </c>
      <c r="E4454" t="s">
        <v>21</v>
      </c>
      <c r="F4454">
        <v>0.08</v>
      </c>
      <c r="G4454">
        <v>180</v>
      </c>
      <c r="H4454" s="1">
        <v>43915</v>
      </c>
      <c r="I4454">
        <v>2020</v>
      </c>
      <c r="J4454">
        <v>3</v>
      </c>
      <c r="K4454" t="s">
        <v>36</v>
      </c>
      <c r="L4454">
        <v>0</v>
      </c>
      <c r="M4454">
        <v>1</v>
      </c>
    </row>
    <row r="4455" spans="1:13" x14ac:dyDescent="0.25">
      <c r="A4455" t="s">
        <v>3032</v>
      </c>
      <c r="B4455" t="s">
        <v>24</v>
      </c>
      <c r="C4455" t="s">
        <v>14</v>
      </c>
      <c r="D4455" t="s">
        <v>68</v>
      </c>
      <c r="E4455" t="s">
        <v>21</v>
      </c>
      <c r="F4455" t="s">
        <v>21</v>
      </c>
      <c r="G4455">
        <v>8</v>
      </c>
      <c r="H4455" s="1">
        <v>43915</v>
      </c>
      <c r="I4455">
        <v>2020</v>
      </c>
      <c r="J4455">
        <v>3</v>
      </c>
      <c r="K4455" t="s">
        <v>16</v>
      </c>
      <c r="L4455" t="s">
        <v>21</v>
      </c>
      <c r="M4455">
        <v>0</v>
      </c>
    </row>
    <row r="4456" spans="1:13" x14ac:dyDescent="0.25">
      <c r="A4456" t="s">
        <v>331</v>
      </c>
      <c r="B4456" t="s">
        <v>73</v>
      </c>
      <c r="C4456" t="s">
        <v>14</v>
      </c>
      <c r="D4456" t="s">
        <v>55</v>
      </c>
      <c r="E4456">
        <v>400</v>
      </c>
      <c r="F4456">
        <v>0.33</v>
      </c>
      <c r="G4456">
        <v>359</v>
      </c>
      <c r="H4456" s="1">
        <v>43914</v>
      </c>
      <c r="I4456">
        <v>2020</v>
      </c>
      <c r="J4456">
        <v>3</v>
      </c>
      <c r="K4456" t="s">
        <v>36</v>
      </c>
      <c r="L4456">
        <v>0</v>
      </c>
      <c r="M4456">
        <v>1</v>
      </c>
    </row>
    <row r="4457" spans="1:13" x14ac:dyDescent="0.25">
      <c r="A4457" t="s">
        <v>3033</v>
      </c>
      <c r="B4457" t="s">
        <v>18</v>
      </c>
      <c r="C4457" t="s">
        <v>14</v>
      </c>
      <c r="D4457" t="s">
        <v>22</v>
      </c>
      <c r="E4457">
        <v>130</v>
      </c>
      <c r="F4457" t="s">
        <v>21</v>
      </c>
      <c r="G4457" t="s">
        <v>21</v>
      </c>
      <c r="H4457" s="1">
        <v>43914</v>
      </c>
      <c r="I4457">
        <v>2020</v>
      </c>
      <c r="J4457">
        <v>3</v>
      </c>
      <c r="K4457" t="s">
        <v>22</v>
      </c>
      <c r="L4457" t="s">
        <v>21</v>
      </c>
      <c r="M4457">
        <v>1</v>
      </c>
    </row>
    <row r="4458" spans="1:13" x14ac:dyDescent="0.25">
      <c r="A4458" t="s">
        <v>3034</v>
      </c>
      <c r="B4458" t="s">
        <v>95</v>
      </c>
      <c r="C4458" t="s">
        <v>14</v>
      </c>
      <c r="D4458" t="s">
        <v>33</v>
      </c>
      <c r="E4458">
        <v>87</v>
      </c>
      <c r="F4458">
        <v>0.67</v>
      </c>
      <c r="G4458">
        <v>20</v>
      </c>
      <c r="H4458" s="1">
        <v>43914</v>
      </c>
      <c r="I4458">
        <v>2020</v>
      </c>
      <c r="J4458">
        <v>3</v>
      </c>
      <c r="K4458" t="s">
        <v>30</v>
      </c>
      <c r="L4458">
        <v>0</v>
      </c>
      <c r="M4458">
        <v>1</v>
      </c>
    </row>
    <row r="4459" spans="1:13" x14ac:dyDescent="0.25">
      <c r="A4459" t="s">
        <v>1074</v>
      </c>
      <c r="B4459" t="s">
        <v>91</v>
      </c>
      <c r="C4459" t="s">
        <v>14</v>
      </c>
      <c r="D4459" t="s">
        <v>33</v>
      </c>
      <c r="E4459">
        <v>80</v>
      </c>
      <c r="F4459">
        <v>0.3</v>
      </c>
      <c r="G4459">
        <v>79</v>
      </c>
      <c r="H4459" s="1">
        <v>43914</v>
      </c>
      <c r="I4459">
        <v>2020</v>
      </c>
      <c r="J4459">
        <v>3</v>
      </c>
      <c r="K4459" t="s">
        <v>30</v>
      </c>
      <c r="L4459">
        <v>0</v>
      </c>
      <c r="M4459">
        <v>1</v>
      </c>
    </row>
    <row r="4460" spans="1:13" x14ac:dyDescent="0.25">
      <c r="A4460" t="s">
        <v>3035</v>
      </c>
      <c r="B4460" t="s">
        <v>73</v>
      </c>
      <c r="C4460" t="s">
        <v>14</v>
      </c>
      <c r="D4460" t="s">
        <v>33</v>
      </c>
      <c r="E4460">
        <v>20</v>
      </c>
      <c r="F4460" t="s">
        <v>21</v>
      </c>
      <c r="G4460">
        <v>35</v>
      </c>
      <c r="H4460" s="1">
        <v>43914</v>
      </c>
      <c r="I4460">
        <v>2020</v>
      </c>
      <c r="J4460">
        <v>3</v>
      </c>
      <c r="K4460" t="s">
        <v>30</v>
      </c>
      <c r="L4460" t="s">
        <v>21</v>
      </c>
      <c r="M4460">
        <v>1</v>
      </c>
    </row>
    <row r="4461" spans="1:13" x14ac:dyDescent="0.25">
      <c r="A4461" t="s">
        <v>3036</v>
      </c>
      <c r="B4461" t="s">
        <v>24</v>
      </c>
      <c r="C4461" t="s">
        <v>174</v>
      </c>
      <c r="D4461" t="s">
        <v>22</v>
      </c>
      <c r="E4461" t="s">
        <v>21</v>
      </c>
      <c r="F4461">
        <v>0.25</v>
      </c>
      <c r="G4461" t="s">
        <v>21</v>
      </c>
      <c r="H4461" s="1">
        <v>43914</v>
      </c>
      <c r="I4461">
        <v>2020</v>
      </c>
      <c r="J4461">
        <v>3</v>
      </c>
      <c r="K4461" t="s">
        <v>22</v>
      </c>
      <c r="L4461">
        <v>0</v>
      </c>
      <c r="M4461">
        <v>1</v>
      </c>
    </row>
    <row r="4462" spans="1:13" x14ac:dyDescent="0.25">
      <c r="A4462" t="s">
        <v>3037</v>
      </c>
      <c r="B4462" t="s">
        <v>40</v>
      </c>
      <c r="C4462" t="s">
        <v>14</v>
      </c>
      <c r="D4462" t="s">
        <v>22</v>
      </c>
      <c r="E4462" t="s">
        <v>21</v>
      </c>
      <c r="F4462">
        <v>0.4</v>
      </c>
      <c r="G4462">
        <v>47</v>
      </c>
      <c r="H4462" s="1">
        <v>43914</v>
      </c>
      <c r="I4462">
        <v>2020</v>
      </c>
      <c r="J4462">
        <v>3</v>
      </c>
      <c r="K4462" t="s">
        <v>30</v>
      </c>
      <c r="L4462">
        <v>0</v>
      </c>
      <c r="M4462">
        <v>1</v>
      </c>
    </row>
    <row r="4463" spans="1:13" x14ac:dyDescent="0.25">
      <c r="A4463" t="s">
        <v>2743</v>
      </c>
      <c r="B4463" t="s">
        <v>66</v>
      </c>
      <c r="C4463" t="s">
        <v>14</v>
      </c>
      <c r="D4463" t="s">
        <v>55</v>
      </c>
      <c r="E4463" t="s">
        <v>21</v>
      </c>
      <c r="F4463" t="s">
        <v>21</v>
      </c>
      <c r="G4463">
        <v>117</v>
      </c>
      <c r="H4463" s="1">
        <v>43914</v>
      </c>
      <c r="I4463">
        <v>2020</v>
      </c>
      <c r="J4463">
        <v>3</v>
      </c>
      <c r="K4463" t="s">
        <v>36</v>
      </c>
      <c r="L4463" t="s">
        <v>21</v>
      </c>
      <c r="M4463">
        <v>0</v>
      </c>
    </row>
    <row r="4464" spans="1:13" x14ac:dyDescent="0.25">
      <c r="A4464" t="s">
        <v>1916</v>
      </c>
      <c r="B4464" t="s">
        <v>91</v>
      </c>
      <c r="C4464" t="s">
        <v>14</v>
      </c>
      <c r="D4464" t="s">
        <v>194</v>
      </c>
      <c r="E4464">
        <v>375</v>
      </c>
      <c r="F4464">
        <v>0.15</v>
      </c>
      <c r="G4464">
        <v>1600</v>
      </c>
      <c r="H4464" s="1">
        <v>43913</v>
      </c>
      <c r="I4464">
        <v>2020</v>
      </c>
      <c r="J4464">
        <v>3</v>
      </c>
      <c r="K4464" t="s">
        <v>26</v>
      </c>
      <c r="L4464">
        <v>0</v>
      </c>
      <c r="M4464">
        <v>1</v>
      </c>
    </row>
    <row r="4465" spans="1:13" x14ac:dyDescent="0.25">
      <c r="A4465" t="s">
        <v>1960</v>
      </c>
      <c r="B4465" t="s">
        <v>91</v>
      </c>
      <c r="C4465" t="s">
        <v>14</v>
      </c>
      <c r="D4465" t="s">
        <v>55</v>
      </c>
      <c r="E4465">
        <v>150</v>
      </c>
      <c r="F4465">
        <v>0.18</v>
      </c>
      <c r="G4465">
        <v>280</v>
      </c>
      <c r="H4465" s="1">
        <v>43913</v>
      </c>
      <c r="I4465">
        <v>2020</v>
      </c>
      <c r="J4465">
        <v>3</v>
      </c>
      <c r="K4465" t="s">
        <v>36</v>
      </c>
      <c r="L4465">
        <v>0</v>
      </c>
      <c r="M4465">
        <v>1</v>
      </c>
    </row>
    <row r="4466" spans="1:13" x14ac:dyDescent="0.25">
      <c r="A4466" t="s">
        <v>1602</v>
      </c>
      <c r="B4466" t="s">
        <v>24</v>
      </c>
      <c r="C4466" t="s">
        <v>14</v>
      </c>
      <c r="D4466" t="s">
        <v>20</v>
      </c>
      <c r="E4466">
        <v>91</v>
      </c>
      <c r="F4466">
        <v>0.5</v>
      </c>
      <c r="G4466">
        <v>2</v>
      </c>
      <c r="H4466" s="1">
        <v>43913</v>
      </c>
      <c r="I4466">
        <v>2020</v>
      </c>
      <c r="J4466">
        <v>3</v>
      </c>
      <c r="K4466" t="s">
        <v>16</v>
      </c>
      <c r="L4466">
        <v>0</v>
      </c>
      <c r="M4466">
        <v>1</v>
      </c>
    </row>
    <row r="4467" spans="1:13" x14ac:dyDescent="0.25">
      <c r="A4467" t="s">
        <v>3038</v>
      </c>
      <c r="B4467" t="s">
        <v>73</v>
      </c>
      <c r="C4467" t="s">
        <v>14</v>
      </c>
      <c r="D4467" t="s">
        <v>33</v>
      </c>
      <c r="E4467">
        <v>38</v>
      </c>
      <c r="F4467">
        <v>0.22</v>
      </c>
      <c r="G4467">
        <v>36</v>
      </c>
      <c r="H4467" s="1">
        <v>43913</v>
      </c>
      <c r="I4467">
        <v>2020</v>
      </c>
      <c r="J4467">
        <v>3</v>
      </c>
      <c r="K4467" t="s">
        <v>30</v>
      </c>
      <c r="L4467">
        <v>0</v>
      </c>
      <c r="M4467">
        <v>1</v>
      </c>
    </row>
    <row r="4468" spans="1:13" x14ac:dyDescent="0.25">
      <c r="A4468" t="s">
        <v>3039</v>
      </c>
      <c r="B4468" t="s">
        <v>54</v>
      </c>
      <c r="C4468" t="s">
        <v>14</v>
      </c>
      <c r="D4468" t="s">
        <v>20</v>
      </c>
      <c r="E4468">
        <v>20</v>
      </c>
      <c r="F4468" t="s">
        <v>21</v>
      </c>
      <c r="G4468" t="s">
        <v>21</v>
      </c>
      <c r="H4468" s="1">
        <v>43913</v>
      </c>
      <c r="I4468">
        <v>2020</v>
      </c>
      <c r="J4468">
        <v>3</v>
      </c>
      <c r="K4468" t="s">
        <v>22</v>
      </c>
      <c r="L4468" t="s">
        <v>21</v>
      </c>
      <c r="M4468">
        <v>1</v>
      </c>
    </row>
    <row r="4469" spans="1:13" x14ac:dyDescent="0.25">
      <c r="A4469" t="s">
        <v>3040</v>
      </c>
      <c r="B4469" t="s">
        <v>38</v>
      </c>
      <c r="C4469" t="s">
        <v>14</v>
      </c>
      <c r="D4469" t="s">
        <v>22</v>
      </c>
      <c r="E4469">
        <v>20</v>
      </c>
      <c r="F4469">
        <v>0.4</v>
      </c>
      <c r="G4469">
        <v>7</v>
      </c>
      <c r="H4469" s="1">
        <v>43913</v>
      </c>
      <c r="I4469">
        <v>2020</v>
      </c>
      <c r="J4469">
        <v>3</v>
      </c>
      <c r="K4469" t="s">
        <v>16</v>
      </c>
      <c r="L4469">
        <v>0</v>
      </c>
      <c r="M4469">
        <v>1</v>
      </c>
    </row>
    <row r="4470" spans="1:13" x14ac:dyDescent="0.25">
      <c r="A4470" t="s">
        <v>3041</v>
      </c>
      <c r="B4470" t="s">
        <v>45</v>
      </c>
      <c r="C4470" t="s">
        <v>14</v>
      </c>
      <c r="D4470" t="s">
        <v>33</v>
      </c>
      <c r="E4470">
        <v>15</v>
      </c>
      <c r="F4470">
        <v>0.17</v>
      </c>
      <c r="G4470">
        <v>48</v>
      </c>
      <c r="H4470" s="1">
        <v>43913</v>
      </c>
      <c r="I4470">
        <v>2020</v>
      </c>
      <c r="J4470">
        <v>3</v>
      </c>
      <c r="K4470" t="s">
        <v>30</v>
      </c>
      <c r="L4470">
        <v>0</v>
      </c>
      <c r="M4470">
        <v>1</v>
      </c>
    </row>
    <row r="4471" spans="1:13" x14ac:dyDescent="0.25">
      <c r="A4471" t="s">
        <v>3042</v>
      </c>
      <c r="B4471" t="s">
        <v>77</v>
      </c>
      <c r="C4471" t="s">
        <v>14</v>
      </c>
      <c r="D4471" t="s">
        <v>46</v>
      </c>
      <c r="E4471">
        <v>13</v>
      </c>
      <c r="F4471">
        <v>0.25</v>
      </c>
      <c r="G4471">
        <v>94</v>
      </c>
      <c r="H4471" s="1">
        <v>43913</v>
      </c>
      <c r="I4471">
        <v>2020</v>
      </c>
      <c r="J4471">
        <v>3</v>
      </c>
      <c r="K4471" t="s">
        <v>30</v>
      </c>
      <c r="L4471">
        <v>0</v>
      </c>
      <c r="M4471">
        <v>1</v>
      </c>
    </row>
    <row r="4472" spans="1:13" x14ac:dyDescent="0.25">
      <c r="A4472" t="s">
        <v>3043</v>
      </c>
      <c r="B4472" t="s">
        <v>73</v>
      </c>
      <c r="C4472" t="s">
        <v>14</v>
      </c>
      <c r="D4472" t="s">
        <v>49</v>
      </c>
      <c r="E4472" t="s">
        <v>21</v>
      </c>
      <c r="F4472">
        <v>0.2</v>
      </c>
      <c r="G4472">
        <v>3</v>
      </c>
      <c r="H4472" s="1">
        <v>43913</v>
      </c>
      <c r="I4472">
        <v>2020</v>
      </c>
      <c r="J4472">
        <v>3</v>
      </c>
      <c r="K4472" t="s">
        <v>16</v>
      </c>
      <c r="L4472">
        <v>0</v>
      </c>
      <c r="M4472">
        <v>1</v>
      </c>
    </row>
    <row r="4473" spans="1:13" x14ac:dyDescent="0.25">
      <c r="A4473" t="s">
        <v>3044</v>
      </c>
      <c r="B4473" t="s">
        <v>24</v>
      </c>
      <c r="C4473" t="s">
        <v>14</v>
      </c>
      <c r="D4473" t="s">
        <v>46</v>
      </c>
      <c r="E4473" t="s">
        <v>21</v>
      </c>
      <c r="F4473">
        <v>0.2</v>
      </c>
      <c r="G4473">
        <v>70</v>
      </c>
      <c r="H4473" s="1">
        <v>43913</v>
      </c>
      <c r="I4473">
        <v>2020</v>
      </c>
      <c r="J4473">
        <v>3</v>
      </c>
      <c r="K4473" t="s">
        <v>30</v>
      </c>
      <c r="L4473">
        <v>0</v>
      </c>
      <c r="M4473">
        <v>1</v>
      </c>
    </row>
    <row r="4474" spans="1:13" x14ac:dyDescent="0.25">
      <c r="A4474" t="s">
        <v>911</v>
      </c>
      <c r="B4474" t="s">
        <v>207</v>
      </c>
      <c r="C4474" t="s">
        <v>14</v>
      </c>
      <c r="D4474" t="s">
        <v>33</v>
      </c>
      <c r="E4474" t="s">
        <v>21</v>
      </c>
      <c r="F4474" t="s">
        <v>21</v>
      </c>
      <c r="G4474">
        <v>164</v>
      </c>
      <c r="H4474" s="1">
        <v>43913</v>
      </c>
      <c r="I4474">
        <v>2020</v>
      </c>
      <c r="J4474">
        <v>3</v>
      </c>
      <c r="K4474" t="s">
        <v>36</v>
      </c>
      <c r="L4474" t="s">
        <v>21</v>
      </c>
      <c r="M4474">
        <v>0</v>
      </c>
    </row>
    <row r="4475" spans="1:13" x14ac:dyDescent="0.25">
      <c r="A4475" t="s">
        <v>3045</v>
      </c>
      <c r="B4475" t="s">
        <v>207</v>
      </c>
      <c r="C4475" t="s">
        <v>14</v>
      </c>
      <c r="D4475" t="s">
        <v>20</v>
      </c>
      <c r="E4475">
        <v>784</v>
      </c>
      <c r="F4475">
        <v>0.98</v>
      </c>
      <c r="G4475">
        <v>120</v>
      </c>
      <c r="H4475" s="1">
        <v>43910</v>
      </c>
      <c r="I4475">
        <v>2020</v>
      </c>
      <c r="J4475">
        <v>3</v>
      </c>
      <c r="K4475" t="s">
        <v>36</v>
      </c>
      <c r="L4475">
        <v>0</v>
      </c>
      <c r="M4475">
        <v>1</v>
      </c>
    </row>
    <row r="4476" spans="1:13" x14ac:dyDescent="0.25">
      <c r="A4476" t="s">
        <v>3046</v>
      </c>
      <c r="B4476" t="s">
        <v>73</v>
      </c>
      <c r="C4476" t="s">
        <v>14</v>
      </c>
      <c r="D4476" t="s">
        <v>33</v>
      </c>
      <c r="E4476">
        <v>45</v>
      </c>
      <c r="F4476" t="s">
        <v>21</v>
      </c>
      <c r="G4476">
        <v>39</v>
      </c>
      <c r="H4476" s="1">
        <v>43910</v>
      </c>
      <c r="I4476">
        <v>2020</v>
      </c>
      <c r="J4476">
        <v>3</v>
      </c>
      <c r="K4476" t="s">
        <v>30</v>
      </c>
      <c r="L4476" t="s">
        <v>21</v>
      </c>
      <c r="M4476">
        <v>1</v>
      </c>
    </row>
    <row r="4477" spans="1:13" x14ac:dyDescent="0.25">
      <c r="A4477" t="s">
        <v>3047</v>
      </c>
      <c r="B4477" t="s">
        <v>140</v>
      </c>
      <c r="C4477" t="s">
        <v>174</v>
      </c>
      <c r="D4477" t="s">
        <v>49</v>
      </c>
      <c r="E4477">
        <v>30</v>
      </c>
      <c r="F4477">
        <v>0.5</v>
      </c>
      <c r="G4477">
        <v>7</v>
      </c>
      <c r="H4477" s="1">
        <v>43910</v>
      </c>
      <c r="I4477">
        <v>2020</v>
      </c>
      <c r="J4477">
        <v>3</v>
      </c>
      <c r="K4477" t="s">
        <v>16</v>
      </c>
      <c r="L4477">
        <v>0</v>
      </c>
      <c r="M4477">
        <v>1</v>
      </c>
    </row>
    <row r="4478" spans="1:13" x14ac:dyDescent="0.25">
      <c r="A4478" t="s">
        <v>3048</v>
      </c>
      <c r="B4478" t="s">
        <v>32</v>
      </c>
      <c r="C4478" t="s">
        <v>14</v>
      </c>
      <c r="D4478" t="s">
        <v>68</v>
      </c>
      <c r="E4478">
        <v>18</v>
      </c>
      <c r="F4478" t="s">
        <v>21</v>
      </c>
      <c r="G4478">
        <v>16</v>
      </c>
      <c r="H4478" s="1">
        <v>43910</v>
      </c>
      <c r="I4478">
        <v>2020</v>
      </c>
      <c r="J4478">
        <v>3</v>
      </c>
      <c r="K4478" t="s">
        <v>30</v>
      </c>
      <c r="L4478" t="s">
        <v>21</v>
      </c>
      <c r="M4478">
        <v>1</v>
      </c>
    </row>
    <row r="4479" spans="1:13" x14ac:dyDescent="0.25">
      <c r="A4479" t="s">
        <v>3049</v>
      </c>
      <c r="B4479" t="s">
        <v>73</v>
      </c>
      <c r="C4479" t="s">
        <v>14</v>
      </c>
      <c r="D4479" t="s">
        <v>49</v>
      </c>
      <c r="E4479" t="s">
        <v>21</v>
      </c>
      <c r="F4479">
        <v>1</v>
      </c>
      <c r="G4479">
        <v>5</v>
      </c>
      <c r="H4479" s="1">
        <v>43910</v>
      </c>
      <c r="I4479">
        <v>2020</v>
      </c>
      <c r="J4479">
        <v>3</v>
      </c>
      <c r="K4479" t="s">
        <v>16</v>
      </c>
      <c r="L4479">
        <v>1</v>
      </c>
      <c r="M4479">
        <v>1</v>
      </c>
    </row>
    <row r="4480" spans="1:13" x14ac:dyDescent="0.25">
      <c r="A4480" t="s">
        <v>774</v>
      </c>
      <c r="B4480" t="s">
        <v>73</v>
      </c>
      <c r="C4480" t="s">
        <v>14</v>
      </c>
      <c r="D4480" t="s">
        <v>46</v>
      </c>
      <c r="E4480" t="s">
        <v>21</v>
      </c>
      <c r="F4480" t="s">
        <v>21</v>
      </c>
      <c r="G4480">
        <v>526</v>
      </c>
      <c r="H4480" s="1">
        <v>43910</v>
      </c>
      <c r="I4480">
        <v>2020</v>
      </c>
      <c r="J4480">
        <v>3</v>
      </c>
      <c r="K4480" t="s">
        <v>36</v>
      </c>
      <c r="L4480" t="s">
        <v>21</v>
      </c>
      <c r="M4480">
        <v>0</v>
      </c>
    </row>
    <row r="4481" spans="1:13" x14ac:dyDescent="0.25">
      <c r="A4481" t="s">
        <v>1899</v>
      </c>
      <c r="B4481" t="s">
        <v>66</v>
      </c>
      <c r="C4481" t="s">
        <v>48</v>
      </c>
      <c r="D4481" t="s">
        <v>55</v>
      </c>
      <c r="E4481">
        <v>120</v>
      </c>
      <c r="F4481" t="s">
        <v>21</v>
      </c>
      <c r="G4481">
        <v>214</v>
      </c>
      <c r="H4481" s="1">
        <v>43909</v>
      </c>
      <c r="I4481">
        <v>2020</v>
      </c>
      <c r="J4481">
        <v>3</v>
      </c>
      <c r="K4481" t="s">
        <v>36</v>
      </c>
      <c r="L4481" t="s">
        <v>21</v>
      </c>
      <c r="M4481">
        <v>1</v>
      </c>
    </row>
    <row r="4482" spans="1:13" x14ac:dyDescent="0.25">
      <c r="A4482" t="s">
        <v>3050</v>
      </c>
      <c r="B4482" t="s">
        <v>45</v>
      </c>
      <c r="C4482" t="s">
        <v>14</v>
      </c>
      <c r="D4482" t="s">
        <v>22</v>
      </c>
      <c r="E4482">
        <v>84</v>
      </c>
      <c r="F4482">
        <v>1</v>
      </c>
      <c r="G4482" t="s">
        <v>21</v>
      </c>
      <c r="H4482" s="1">
        <v>43909</v>
      </c>
      <c r="I4482">
        <v>2020</v>
      </c>
      <c r="J4482">
        <v>3</v>
      </c>
      <c r="K4482" t="s">
        <v>22</v>
      </c>
      <c r="L4482">
        <v>1</v>
      </c>
      <c r="M4482">
        <v>1</v>
      </c>
    </row>
    <row r="4483" spans="1:13" x14ac:dyDescent="0.25">
      <c r="A4483" t="s">
        <v>3051</v>
      </c>
      <c r="B4483" t="s">
        <v>73</v>
      </c>
      <c r="C4483" t="s">
        <v>14</v>
      </c>
      <c r="D4483" t="s">
        <v>33</v>
      </c>
      <c r="E4483">
        <v>50</v>
      </c>
      <c r="F4483">
        <v>0.5</v>
      </c>
      <c r="G4483">
        <v>17</v>
      </c>
      <c r="H4483" s="1">
        <v>43909</v>
      </c>
      <c r="I4483">
        <v>2020</v>
      </c>
      <c r="J4483">
        <v>3</v>
      </c>
      <c r="K4483" t="s">
        <v>30</v>
      </c>
      <c r="L4483">
        <v>0</v>
      </c>
      <c r="M4483">
        <v>1</v>
      </c>
    </row>
    <row r="4484" spans="1:13" x14ac:dyDescent="0.25">
      <c r="A4484" t="s">
        <v>3052</v>
      </c>
      <c r="B4484" t="s">
        <v>73</v>
      </c>
      <c r="C4484" t="s">
        <v>14</v>
      </c>
      <c r="D4484" t="s">
        <v>46</v>
      </c>
      <c r="E4484">
        <v>34</v>
      </c>
      <c r="F4484" t="s">
        <v>21</v>
      </c>
      <c r="G4484">
        <v>81</v>
      </c>
      <c r="H4484" s="1">
        <v>43909</v>
      </c>
      <c r="I4484">
        <v>2020</v>
      </c>
      <c r="J4484">
        <v>3</v>
      </c>
      <c r="K4484" t="s">
        <v>30</v>
      </c>
      <c r="L4484" t="s">
        <v>21</v>
      </c>
      <c r="M4484">
        <v>1</v>
      </c>
    </row>
    <row r="4485" spans="1:13" x14ac:dyDescent="0.25">
      <c r="A4485" t="s">
        <v>3053</v>
      </c>
      <c r="B4485" t="s">
        <v>28</v>
      </c>
      <c r="C4485" t="s">
        <v>29</v>
      </c>
      <c r="D4485" t="s">
        <v>68</v>
      </c>
      <c r="E4485" t="s">
        <v>21</v>
      </c>
      <c r="F4485" t="s">
        <v>21</v>
      </c>
      <c r="G4485">
        <v>74</v>
      </c>
      <c r="H4485" s="1">
        <v>43909</v>
      </c>
      <c r="I4485">
        <v>2020</v>
      </c>
      <c r="J4485">
        <v>3</v>
      </c>
      <c r="K4485" t="s">
        <v>30</v>
      </c>
      <c r="L4485" t="s">
        <v>21</v>
      </c>
      <c r="M4485">
        <v>0</v>
      </c>
    </row>
    <row r="4486" spans="1:13" x14ac:dyDescent="0.25">
      <c r="A4486" t="s">
        <v>3054</v>
      </c>
      <c r="B4486" t="s">
        <v>207</v>
      </c>
      <c r="C4486" t="s">
        <v>14</v>
      </c>
      <c r="D4486" t="s">
        <v>22</v>
      </c>
      <c r="E4486" t="s">
        <v>21</v>
      </c>
      <c r="F4486">
        <v>1</v>
      </c>
      <c r="G4486">
        <v>13</v>
      </c>
      <c r="H4486" s="1">
        <v>43909</v>
      </c>
      <c r="I4486">
        <v>2020</v>
      </c>
      <c r="J4486">
        <v>3</v>
      </c>
      <c r="K4486" t="s">
        <v>30</v>
      </c>
      <c r="L4486">
        <v>1</v>
      </c>
      <c r="M4486">
        <v>1</v>
      </c>
    </row>
    <row r="4487" spans="1:13" x14ac:dyDescent="0.25">
      <c r="A4487" t="s">
        <v>3055</v>
      </c>
      <c r="B4487" t="s">
        <v>24</v>
      </c>
      <c r="C4487" t="s">
        <v>14</v>
      </c>
      <c r="D4487" t="s">
        <v>20</v>
      </c>
      <c r="E4487" t="s">
        <v>21</v>
      </c>
      <c r="F4487" t="s">
        <v>21</v>
      </c>
      <c r="G4487" t="s">
        <v>21</v>
      </c>
      <c r="H4487" s="1">
        <v>43909</v>
      </c>
      <c r="I4487">
        <v>2020</v>
      </c>
      <c r="J4487">
        <v>3</v>
      </c>
      <c r="K4487" t="s">
        <v>22</v>
      </c>
      <c r="L4487" t="s">
        <v>21</v>
      </c>
      <c r="M4487">
        <v>0</v>
      </c>
    </row>
    <row r="4488" spans="1:13" x14ac:dyDescent="0.25">
      <c r="A4488" t="s">
        <v>3056</v>
      </c>
      <c r="B4488" t="s">
        <v>54</v>
      </c>
      <c r="C4488" t="s">
        <v>14</v>
      </c>
      <c r="D4488" t="s">
        <v>49</v>
      </c>
      <c r="E4488">
        <v>4</v>
      </c>
      <c r="F4488">
        <v>0.2</v>
      </c>
      <c r="G4488">
        <v>4</v>
      </c>
      <c r="H4488" s="1">
        <v>43908</v>
      </c>
      <c r="I4488">
        <v>2020</v>
      </c>
      <c r="J4488">
        <v>3</v>
      </c>
      <c r="K4488" t="s">
        <v>16</v>
      </c>
      <c r="L4488">
        <v>0</v>
      </c>
      <c r="M4488">
        <v>1</v>
      </c>
    </row>
    <row r="4489" spans="1:13" x14ac:dyDescent="0.25">
      <c r="A4489" t="s">
        <v>1307</v>
      </c>
      <c r="B4489" t="s">
        <v>73</v>
      </c>
      <c r="C4489" t="s">
        <v>14</v>
      </c>
      <c r="D4489" t="s">
        <v>46</v>
      </c>
      <c r="E4489">
        <v>130</v>
      </c>
      <c r="F4489">
        <v>0.22</v>
      </c>
      <c r="G4489">
        <v>79</v>
      </c>
      <c r="H4489" s="1">
        <v>43906</v>
      </c>
      <c r="I4489">
        <v>2020</v>
      </c>
      <c r="J4489">
        <v>3</v>
      </c>
      <c r="K4489" t="s">
        <v>30</v>
      </c>
      <c r="L4489">
        <v>0</v>
      </c>
      <c r="M4489">
        <v>1</v>
      </c>
    </row>
    <row r="4490" spans="1:13" x14ac:dyDescent="0.25">
      <c r="A4490" t="s">
        <v>3057</v>
      </c>
      <c r="B4490" t="s">
        <v>89</v>
      </c>
      <c r="C4490" t="s">
        <v>14</v>
      </c>
      <c r="D4490" t="s">
        <v>49</v>
      </c>
      <c r="E4490">
        <v>16</v>
      </c>
      <c r="F4490">
        <v>1</v>
      </c>
      <c r="G4490">
        <v>6</v>
      </c>
      <c r="H4490" s="1">
        <v>43906</v>
      </c>
      <c r="I4490">
        <v>2020</v>
      </c>
      <c r="J4490">
        <v>3</v>
      </c>
      <c r="K4490" t="s">
        <v>16</v>
      </c>
      <c r="L4490">
        <v>1</v>
      </c>
      <c r="M4490">
        <v>1</v>
      </c>
    </row>
    <row r="4491" spans="1:13" x14ac:dyDescent="0.25">
      <c r="A4491" t="s">
        <v>3049</v>
      </c>
      <c r="B4491" t="s">
        <v>73</v>
      </c>
      <c r="C4491" t="s">
        <v>14</v>
      </c>
      <c r="D4491" t="s">
        <v>49</v>
      </c>
      <c r="E4491" t="s">
        <v>21</v>
      </c>
      <c r="F4491">
        <v>1</v>
      </c>
      <c r="G4491">
        <v>5.0999999999999996</v>
      </c>
      <c r="H4491" s="1">
        <v>43906</v>
      </c>
      <c r="I4491">
        <v>2020</v>
      </c>
      <c r="J4491">
        <v>3</v>
      </c>
      <c r="K4491" t="s">
        <v>16</v>
      </c>
      <c r="L4491">
        <v>1</v>
      </c>
      <c r="M4491">
        <v>1</v>
      </c>
    </row>
    <row r="4492" spans="1:13" x14ac:dyDescent="0.25">
      <c r="A4492" t="s">
        <v>2698</v>
      </c>
      <c r="B4492" t="s">
        <v>66</v>
      </c>
      <c r="C4492" t="s">
        <v>14</v>
      </c>
      <c r="D4492" t="s">
        <v>22</v>
      </c>
      <c r="E4492">
        <v>8</v>
      </c>
      <c r="F4492">
        <v>0.1</v>
      </c>
      <c r="G4492">
        <v>45</v>
      </c>
      <c r="H4492" s="1">
        <v>43903</v>
      </c>
      <c r="I4492">
        <v>2020</v>
      </c>
      <c r="J4492">
        <v>3</v>
      </c>
      <c r="K4492" t="s">
        <v>30</v>
      </c>
      <c r="L4492">
        <v>0</v>
      </c>
      <c r="M4492">
        <v>1</v>
      </c>
    </row>
    <row r="4493" spans="1:13" x14ac:dyDescent="0.25">
      <c r="A4493" t="s">
        <v>3058</v>
      </c>
      <c r="B4493" t="s">
        <v>18</v>
      </c>
      <c r="C4493" t="s">
        <v>14</v>
      </c>
      <c r="D4493" t="s">
        <v>49</v>
      </c>
      <c r="E4493">
        <v>6</v>
      </c>
      <c r="F4493">
        <v>0.75</v>
      </c>
      <c r="G4493">
        <v>1</v>
      </c>
      <c r="H4493" s="1">
        <v>43903</v>
      </c>
      <c r="I4493">
        <v>2020</v>
      </c>
      <c r="J4493">
        <v>3</v>
      </c>
      <c r="K4493" t="s">
        <v>16</v>
      </c>
      <c r="L4493">
        <v>0</v>
      </c>
      <c r="M4493">
        <v>1</v>
      </c>
    </row>
    <row r="4494" spans="1:13" x14ac:dyDescent="0.25">
      <c r="A4494" t="s">
        <v>3059</v>
      </c>
      <c r="B4494" t="s">
        <v>24</v>
      </c>
      <c r="C4494" t="s">
        <v>14</v>
      </c>
      <c r="D4494" t="s">
        <v>46</v>
      </c>
      <c r="E4494">
        <v>20</v>
      </c>
      <c r="F4494">
        <v>0.4</v>
      </c>
      <c r="G4494">
        <v>90</v>
      </c>
      <c r="H4494" s="1">
        <v>43902</v>
      </c>
      <c r="I4494">
        <v>2020</v>
      </c>
      <c r="J4494">
        <v>3</v>
      </c>
      <c r="K4494" t="s">
        <v>30</v>
      </c>
      <c r="L4494">
        <v>0</v>
      </c>
      <c r="M4494">
        <v>1</v>
      </c>
    </row>
    <row r="4495" spans="1:13" x14ac:dyDescent="0.25">
      <c r="A4495" t="s">
        <v>2881</v>
      </c>
      <c r="B4495" t="s">
        <v>117</v>
      </c>
      <c r="C4495" t="s">
        <v>14</v>
      </c>
      <c r="D4495" t="s">
        <v>68</v>
      </c>
      <c r="E4495">
        <v>75</v>
      </c>
      <c r="F4495" t="s">
        <v>21</v>
      </c>
      <c r="G4495">
        <v>12</v>
      </c>
      <c r="H4495" s="1">
        <v>43901</v>
      </c>
      <c r="I4495">
        <v>2020</v>
      </c>
      <c r="J4495">
        <v>3</v>
      </c>
      <c r="K4495" t="s">
        <v>30</v>
      </c>
      <c r="L4495" t="s">
        <v>21</v>
      </c>
      <c r="M449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468C-6CED-48DB-BD1C-89C5252BBC32}">
  <dimension ref="A2:I191"/>
  <sheetViews>
    <sheetView topLeftCell="A127" workbookViewId="0">
      <selection activeCell="I189" sqref="I189"/>
    </sheetView>
  </sheetViews>
  <sheetFormatPr defaultRowHeight="15" x14ac:dyDescent="0.25"/>
  <cols>
    <col min="1" max="1" width="24.7109375" bestFit="1" customWidth="1"/>
    <col min="2" max="2" width="27.5703125" bestFit="1" customWidth="1"/>
    <col min="3" max="3" width="25.5703125" bestFit="1" customWidth="1"/>
    <col min="5" max="5" width="34.28515625" bestFit="1" customWidth="1"/>
    <col min="7" max="7" width="26" bestFit="1" customWidth="1"/>
    <col min="8" max="8" width="13.42578125" bestFit="1" customWidth="1"/>
    <col min="9" max="9" width="17.7109375" bestFit="1" customWidth="1"/>
    <col min="13" max="13" width="28.85546875" bestFit="1" customWidth="1"/>
  </cols>
  <sheetData>
    <row r="2" spans="1:2" x14ac:dyDescent="0.25">
      <c r="A2" t="s">
        <v>3060</v>
      </c>
    </row>
    <row r="3" spans="1:2" x14ac:dyDescent="0.25">
      <c r="A3" s="2" t="s">
        <v>3061</v>
      </c>
      <c r="B3" t="s">
        <v>3063</v>
      </c>
    </row>
    <row r="4" spans="1:2" x14ac:dyDescent="0.25">
      <c r="A4" s="3" t="s">
        <v>18</v>
      </c>
      <c r="B4" s="8">
        <v>605</v>
      </c>
    </row>
    <row r="5" spans="1:2" x14ac:dyDescent="0.25">
      <c r="A5" s="3" t="s">
        <v>106</v>
      </c>
      <c r="B5" s="8">
        <v>420</v>
      </c>
    </row>
    <row r="6" spans="1:2" x14ac:dyDescent="0.25">
      <c r="A6" s="3" t="s">
        <v>95</v>
      </c>
      <c r="B6" s="8">
        <v>350</v>
      </c>
    </row>
    <row r="7" spans="1:2" x14ac:dyDescent="0.25">
      <c r="A7" s="3" t="s">
        <v>533</v>
      </c>
      <c r="B7" s="8">
        <v>140</v>
      </c>
    </row>
    <row r="8" spans="1:2" x14ac:dyDescent="0.25">
      <c r="A8" s="3" t="s">
        <v>35</v>
      </c>
      <c r="B8" s="8">
        <v>109</v>
      </c>
    </row>
    <row r="9" spans="1:2" x14ac:dyDescent="0.25">
      <c r="A9" s="3" t="s">
        <v>28</v>
      </c>
      <c r="B9" s="8">
        <v>100</v>
      </c>
    </row>
    <row r="10" spans="1:2" x14ac:dyDescent="0.25">
      <c r="A10" s="3" t="s">
        <v>40</v>
      </c>
      <c r="B10" s="8">
        <v>72</v>
      </c>
    </row>
    <row r="11" spans="1:2" x14ac:dyDescent="0.25">
      <c r="A11" s="3" t="s">
        <v>89</v>
      </c>
      <c r="B11" s="8">
        <v>49</v>
      </c>
    </row>
    <row r="12" spans="1:2" x14ac:dyDescent="0.25">
      <c r="A12" s="3" t="s">
        <v>114</v>
      </c>
      <c r="B12" s="8">
        <v>43</v>
      </c>
    </row>
    <row r="13" spans="1:2" x14ac:dyDescent="0.25">
      <c r="A13" s="3" t="s">
        <v>54</v>
      </c>
      <c r="B13" s="8">
        <v>39</v>
      </c>
    </row>
    <row r="14" spans="1:2" x14ac:dyDescent="0.25">
      <c r="A14" s="3" t="s">
        <v>77</v>
      </c>
      <c r="B14" s="8">
        <v>34</v>
      </c>
    </row>
    <row r="15" spans="1:2" x14ac:dyDescent="0.25">
      <c r="A15" s="3" t="s">
        <v>52</v>
      </c>
      <c r="B15" s="8">
        <v>30</v>
      </c>
    </row>
    <row r="16" spans="1:2" x14ac:dyDescent="0.25">
      <c r="A16" s="3" t="s">
        <v>140</v>
      </c>
      <c r="B16" s="8">
        <v>30</v>
      </c>
    </row>
    <row r="17" spans="1:2" x14ac:dyDescent="0.25">
      <c r="A17" s="3" t="s">
        <v>13</v>
      </c>
      <c r="B17" s="8">
        <v>28</v>
      </c>
    </row>
    <row r="18" spans="1:2" x14ac:dyDescent="0.25">
      <c r="A18" s="3" t="s">
        <v>24</v>
      </c>
      <c r="B18" s="8">
        <v>23</v>
      </c>
    </row>
    <row r="19" spans="1:2" x14ac:dyDescent="0.25">
      <c r="A19" s="3" t="s">
        <v>73</v>
      </c>
      <c r="B19" s="8">
        <v>0</v>
      </c>
    </row>
    <row r="20" spans="1:2" x14ac:dyDescent="0.25">
      <c r="A20" s="3" t="s">
        <v>32</v>
      </c>
      <c r="B20" s="8">
        <v>0</v>
      </c>
    </row>
    <row r="21" spans="1:2" x14ac:dyDescent="0.25">
      <c r="A21" s="3" t="s">
        <v>99</v>
      </c>
      <c r="B21" s="8">
        <v>0</v>
      </c>
    </row>
    <row r="22" spans="1:2" x14ac:dyDescent="0.25">
      <c r="A22" s="3" t="s">
        <v>66</v>
      </c>
      <c r="B22" s="8">
        <v>0</v>
      </c>
    </row>
    <row r="23" spans="1:2" x14ac:dyDescent="0.25">
      <c r="A23" s="3" t="s">
        <v>207</v>
      </c>
      <c r="B23" s="8">
        <v>0</v>
      </c>
    </row>
    <row r="24" spans="1:2" x14ac:dyDescent="0.25">
      <c r="A24" s="3" t="s">
        <v>91</v>
      </c>
      <c r="B24" s="8">
        <v>0</v>
      </c>
    </row>
    <row r="25" spans="1:2" x14ac:dyDescent="0.25">
      <c r="A25" s="3" t="s">
        <v>45</v>
      </c>
      <c r="B25" s="8">
        <v>0</v>
      </c>
    </row>
    <row r="26" spans="1:2" x14ac:dyDescent="0.25">
      <c r="A26" s="3" t="s">
        <v>490</v>
      </c>
      <c r="B26" s="8">
        <v>0</v>
      </c>
    </row>
    <row r="27" spans="1:2" x14ac:dyDescent="0.25">
      <c r="A27" s="3" t="s">
        <v>342</v>
      </c>
      <c r="B27" s="8">
        <v>0</v>
      </c>
    </row>
    <row r="28" spans="1:2" x14ac:dyDescent="0.25">
      <c r="A28" s="3" t="s">
        <v>3062</v>
      </c>
      <c r="B28" s="8">
        <v>2072</v>
      </c>
    </row>
    <row r="41" spans="1:2" x14ac:dyDescent="0.25">
      <c r="A41" t="s">
        <v>3064</v>
      </c>
    </row>
    <row r="42" spans="1:2" x14ac:dyDescent="0.25">
      <c r="A42" s="2" t="s">
        <v>3061</v>
      </c>
      <c r="B42" t="s">
        <v>3063</v>
      </c>
    </row>
    <row r="43" spans="1:2" x14ac:dyDescent="0.25">
      <c r="A43" s="3">
        <v>2020</v>
      </c>
      <c r="B43" s="8">
        <v>156</v>
      </c>
    </row>
    <row r="44" spans="1:2" x14ac:dyDescent="0.25">
      <c r="A44" s="4">
        <v>3</v>
      </c>
      <c r="B44" s="8">
        <v>69</v>
      </c>
    </row>
    <row r="45" spans="1:2" x14ac:dyDescent="0.25">
      <c r="A45" s="4">
        <v>4</v>
      </c>
      <c r="B45" s="8">
        <v>53</v>
      </c>
    </row>
    <row r="46" spans="1:2" x14ac:dyDescent="0.25">
      <c r="A46" s="4">
        <v>5</v>
      </c>
      <c r="B46" s="8">
        <v>0</v>
      </c>
    </row>
    <row r="47" spans="1:2" x14ac:dyDescent="0.25">
      <c r="A47" s="4">
        <v>6</v>
      </c>
      <c r="B47" s="8">
        <v>9</v>
      </c>
    </row>
    <row r="48" spans="1:2" x14ac:dyDescent="0.25">
      <c r="A48" s="4">
        <v>8</v>
      </c>
      <c r="B48" s="8">
        <v>20</v>
      </c>
    </row>
    <row r="49" spans="1:2" x14ac:dyDescent="0.25">
      <c r="A49" s="4">
        <v>11</v>
      </c>
      <c r="B49" s="8">
        <v>5</v>
      </c>
    </row>
    <row r="50" spans="1:2" x14ac:dyDescent="0.25">
      <c r="A50" s="3">
        <v>2022</v>
      </c>
      <c r="B50" s="8">
        <v>1078</v>
      </c>
    </row>
    <row r="51" spans="1:2" x14ac:dyDescent="0.25">
      <c r="A51" s="4">
        <v>1</v>
      </c>
      <c r="B51" s="8">
        <v>0</v>
      </c>
    </row>
    <row r="52" spans="1:2" x14ac:dyDescent="0.25">
      <c r="A52" s="4">
        <v>5</v>
      </c>
      <c r="B52" s="8">
        <v>300</v>
      </c>
    </row>
    <row r="53" spans="1:2" x14ac:dyDescent="0.25">
      <c r="A53" s="4">
        <v>6</v>
      </c>
      <c r="B53" s="8">
        <v>440</v>
      </c>
    </row>
    <row r="54" spans="1:2" x14ac:dyDescent="0.25">
      <c r="A54" s="4">
        <v>7</v>
      </c>
      <c r="B54" s="8">
        <v>35</v>
      </c>
    </row>
    <row r="55" spans="1:2" x14ac:dyDescent="0.25">
      <c r="A55" s="4">
        <v>8</v>
      </c>
      <c r="B55" s="8">
        <v>129</v>
      </c>
    </row>
    <row r="56" spans="1:2" x14ac:dyDescent="0.25">
      <c r="A56" s="4">
        <v>9</v>
      </c>
      <c r="B56" s="8">
        <v>109</v>
      </c>
    </row>
    <row r="57" spans="1:2" x14ac:dyDescent="0.25">
      <c r="A57" s="4">
        <v>10</v>
      </c>
      <c r="B57" s="8">
        <v>35</v>
      </c>
    </row>
    <row r="58" spans="1:2" x14ac:dyDescent="0.25">
      <c r="A58" s="4">
        <v>11</v>
      </c>
      <c r="B58" s="8">
        <v>30</v>
      </c>
    </row>
    <row r="59" spans="1:2" x14ac:dyDescent="0.25">
      <c r="A59" s="3">
        <v>2023</v>
      </c>
      <c r="B59" s="8">
        <v>246</v>
      </c>
    </row>
    <row r="60" spans="1:2" x14ac:dyDescent="0.25">
      <c r="A60" s="4">
        <v>2</v>
      </c>
      <c r="B60" s="8">
        <v>0</v>
      </c>
    </row>
    <row r="61" spans="1:2" x14ac:dyDescent="0.25">
      <c r="A61" s="4">
        <v>3</v>
      </c>
      <c r="B61" s="8">
        <v>0</v>
      </c>
    </row>
    <row r="62" spans="1:2" x14ac:dyDescent="0.25">
      <c r="A62" s="4">
        <v>4</v>
      </c>
      <c r="B62" s="8">
        <v>179</v>
      </c>
    </row>
    <row r="63" spans="1:2" x14ac:dyDescent="0.25">
      <c r="A63" s="4">
        <v>6</v>
      </c>
      <c r="B63" s="8">
        <v>0</v>
      </c>
    </row>
    <row r="64" spans="1:2" x14ac:dyDescent="0.25">
      <c r="A64" s="4">
        <v>7</v>
      </c>
      <c r="B64" s="8">
        <v>0</v>
      </c>
    </row>
    <row r="65" spans="1:2" x14ac:dyDescent="0.25">
      <c r="A65" s="4">
        <v>8</v>
      </c>
      <c r="B65" s="8">
        <v>67</v>
      </c>
    </row>
    <row r="66" spans="1:2" x14ac:dyDescent="0.25">
      <c r="A66" s="4">
        <v>9</v>
      </c>
      <c r="B66" s="8">
        <v>0</v>
      </c>
    </row>
    <row r="67" spans="1:2" x14ac:dyDescent="0.25">
      <c r="A67" s="4">
        <v>10</v>
      </c>
      <c r="B67" s="8">
        <v>0</v>
      </c>
    </row>
    <row r="68" spans="1:2" x14ac:dyDescent="0.25">
      <c r="A68" s="4">
        <v>11</v>
      </c>
      <c r="B68" s="8">
        <v>0</v>
      </c>
    </row>
    <row r="69" spans="1:2" x14ac:dyDescent="0.25">
      <c r="A69" s="4">
        <v>12</v>
      </c>
      <c r="B69" s="8">
        <v>0</v>
      </c>
    </row>
    <row r="70" spans="1:2" x14ac:dyDescent="0.25">
      <c r="A70" s="3">
        <v>2024</v>
      </c>
      <c r="B70" s="8">
        <v>0</v>
      </c>
    </row>
    <row r="71" spans="1:2" x14ac:dyDescent="0.25">
      <c r="A71" s="4">
        <v>1</v>
      </c>
      <c r="B71" s="8">
        <v>0</v>
      </c>
    </row>
    <row r="72" spans="1:2" x14ac:dyDescent="0.25">
      <c r="A72" s="4">
        <v>2</v>
      </c>
      <c r="B72" s="8">
        <v>0</v>
      </c>
    </row>
    <row r="73" spans="1:2" x14ac:dyDescent="0.25">
      <c r="A73" s="4">
        <v>4</v>
      </c>
      <c r="B73" s="8">
        <v>0</v>
      </c>
    </row>
    <row r="74" spans="1:2" x14ac:dyDescent="0.25">
      <c r="A74" s="4">
        <v>7</v>
      </c>
      <c r="B74" s="8">
        <v>0</v>
      </c>
    </row>
    <row r="75" spans="1:2" x14ac:dyDescent="0.25">
      <c r="A75" s="4">
        <v>9</v>
      </c>
      <c r="B75" s="8">
        <v>0</v>
      </c>
    </row>
    <row r="76" spans="1:2" x14ac:dyDescent="0.25">
      <c r="A76" s="4">
        <v>10</v>
      </c>
      <c r="B76" s="8">
        <v>0</v>
      </c>
    </row>
    <row r="77" spans="1:2" x14ac:dyDescent="0.25">
      <c r="A77" s="4">
        <v>11</v>
      </c>
      <c r="B77" s="8">
        <v>0</v>
      </c>
    </row>
    <row r="78" spans="1:2" x14ac:dyDescent="0.25">
      <c r="A78" s="4">
        <v>12</v>
      </c>
      <c r="B78" s="8">
        <v>0</v>
      </c>
    </row>
    <row r="79" spans="1:2" x14ac:dyDescent="0.25">
      <c r="A79" s="3">
        <v>2025</v>
      </c>
      <c r="B79" s="8">
        <v>372</v>
      </c>
    </row>
    <row r="80" spans="1:2" x14ac:dyDescent="0.25">
      <c r="A80" s="4">
        <v>1</v>
      </c>
      <c r="B80" s="8">
        <v>0</v>
      </c>
    </row>
    <row r="81" spans="1:2" x14ac:dyDescent="0.25">
      <c r="A81" s="4">
        <v>4</v>
      </c>
      <c r="B81" s="8">
        <v>7</v>
      </c>
    </row>
    <row r="82" spans="1:2" x14ac:dyDescent="0.25">
      <c r="A82" s="4">
        <v>5</v>
      </c>
      <c r="B82" s="8">
        <v>15</v>
      </c>
    </row>
    <row r="83" spans="1:2" x14ac:dyDescent="0.25">
      <c r="A83" s="4">
        <v>7</v>
      </c>
      <c r="B83" s="8">
        <v>0</v>
      </c>
    </row>
    <row r="84" spans="1:2" x14ac:dyDescent="0.25">
      <c r="A84" s="4">
        <v>9</v>
      </c>
      <c r="B84" s="8">
        <v>0</v>
      </c>
    </row>
    <row r="85" spans="1:2" x14ac:dyDescent="0.25">
      <c r="A85" s="4">
        <v>11</v>
      </c>
      <c r="B85" s="8">
        <v>350</v>
      </c>
    </row>
    <row r="86" spans="1:2" x14ac:dyDescent="0.25">
      <c r="A86" s="4">
        <v>12</v>
      </c>
      <c r="B86" s="8">
        <v>0</v>
      </c>
    </row>
    <row r="87" spans="1:2" x14ac:dyDescent="0.25">
      <c r="A87" s="3">
        <v>2026</v>
      </c>
      <c r="B87" s="8">
        <v>220</v>
      </c>
    </row>
    <row r="88" spans="1:2" x14ac:dyDescent="0.25">
      <c r="A88" s="4">
        <v>1</v>
      </c>
      <c r="B88" s="8">
        <v>220</v>
      </c>
    </row>
    <row r="89" spans="1:2" x14ac:dyDescent="0.25">
      <c r="A89" s="4">
        <v>3</v>
      </c>
      <c r="B89" s="8">
        <v>0</v>
      </c>
    </row>
    <row r="90" spans="1:2" x14ac:dyDescent="0.25">
      <c r="A90" s="4">
        <v>4</v>
      </c>
      <c r="B90" s="8">
        <v>0</v>
      </c>
    </row>
    <row r="91" spans="1:2" x14ac:dyDescent="0.25">
      <c r="A91" s="3" t="s">
        <v>3062</v>
      </c>
      <c r="B91" s="8">
        <v>2072</v>
      </c>
    </row>
    <row r="135" spans="1:2" x14ac:dyDescent="0.25">
      <c r="A135" t="s">
        <v>3065</v>
      </c>
    </row>
    <row r="136" spans="1:2" x14ac:dyDescent="0.25">
      <c r="A136" s="2" t="s">
        <v>3061</v>
      </c>
      <c r="B136" t="s">
        <v>3066</v>
      </c>
    </row>
    <row r="137" spans="1:2" x14ac:dyDescent="0.25">
      <c r="A137" s="3" t="s">
        <v>16</v>
      </c>
      <c r="B137" s="8">
        <v>0.84337662337662334</v>
      </c>
    </row>
    <row r="138" spans="1:2" x14ac:dyDescent="0.25">
      <c r="A138" s="3" t="s">
        <v>3062</v>
      </c>
      <c r="B138" s="8">
        <v>0.84337662337662334</v>
      </c>
    </row>
    <row r="150" spans="1:2" x14ac:dyDescent="0.25">
      <c r="A150" t="s">
        <v>3068</v>
      </c>
    </row>
    <row r="151" spans="1:2" x14ac:dyDescent="0.25">
      <c r="A151" s="2" t="s">
        <v>3061</v>
      </c>
      <c r="B151" t="s">
        <v>3069</v>
      </c>
    </row>
    <row r="152" spans="1:2" x14ac:dyDescent="0.25">
      <c r="A152" s="3" t="s">
        <v>49</v>
      </c>
      <c r="B152" s="8">
        <v>0.75324675324675328</v>
      </c>
    </row>
    <row r="153" spans="1:2" x14ac:dyDescent="0.25">
      <c r="A153" s="3" t="s">
        <v>3062</v>
      </c>
      <c r="B153" s="8">
        <v>0.75324675324675328</v>
      </c>
    </row>
    <row r="182" spans="1:9" x14ac:dyDescent="0.25">
      <c r="A182" t="s">
        <v>3071</v>
      </c>
      <c r="C182" t="s">
        <v>3072</v>
      </c>
      <c r="E182" t="s">
        <v>3073</v>
      </c>
      <c r="G182" t="s">
        <v>3074</v>
      </c>
    </row>
    <row r="183" spans="1:9" x14ac:dyDescent="0.25">
      <c r="A183">
        <f>SUM(layoffs_final!E2:E4495)</f>
        <v>924702</v>
      </c>
      <c r="C183" cm="1">
        <f t="array" ref="C183">SUMPRODUCT((layoffs_final!A2:A4495&lt;&gt;"")/COUNTIF(layoffs_final!A2:A4495,layoffs_final!A2:A4495&amp;""))</f>
        <v>2925</v>
      </c>
      <c r="E183" s="6">
        <f>AVERAGE(layoffs_final!F2:F4495)</f>
        <v>0.29250177179305448</v>
      </c>
      <c r="G183">
        <f>COUNTIF(layoffs_final!M2:M4495,0)</f>
        <v>731</v>
      </c>
    </row>
    <row r="188" spans="1:9" x14ac:dyDescent="0.25">
      <c r="H188" s="2" t="s">
        <v>3061</v>
      </c>
      <c r="I188" t="s">
        <v>3075</v>
      </c>
    </row>
    <row r="189" spans="1:9" x14ac:dyDescent="0.25">
      <c r="A189" t="s">
        <v>3063</v>
      </c>
      <c r="E189" t="s">
        <v>3066</v>
      </c>
      <c r="H189" s="3">
        <v>0</v>
      </c>
      <c r="I189" s="8">
        <v>13</v>
      </c>
    </row>
    <row r="190" spans="1:9" x14ac:dyDescent="0.25">
      <c r="A190" s="8">
        <v>2072</v>
      </c>
      <c r="E190" s="7">
        <v>0.84337662337662334</v>
      </c>
      <c r="H190" s="3">
        <v>1</v>
      </c>
      <c r="I190" s="8">
        <v>86</v>
      </c>
    </row>
    <row r="191" spans="1:9" x14ac:dyDescent="0.25">
      <c r="H191" s="3" t="s">
        <v>3062</v>
      </c>
      <c r="I191" s="8">
        <v>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66012-1999-41DF-B09F-2697C135495C}">
  <dimension ref="A1:AM67"/>
  <sheetViews>
    <sheetView tabSelected="1" workbookViewId="0">
      <selection activeCell="AC19" sqref="AC19"/>
    </sheetView>
  </sheetViews>
  <sheetFormatPr defaultRowHeight="15" x14ac:dyDescent="0.25"/>
  <sheetData>
    <row r="1" spans="1:26" x14ac:dyDescent="0.25">
      <c r="A1" s="5"/>
      <c r="B1" s="5"/>
      <c r="C1" s="5"/>
      <c r="D1" s="5"/>
      <c r="E1" s="10" t="s">
        <v>3076</v>
      </c>
      <c r="F1" s="9"/>
      <c r="G1" s="9"/>
      <c r="H1" s="9"/>
      <c r="I1" s="9"/>
      <c r="J1" s="9"/>
      <c r="K1" s="9"/>
      <c r="L1" s="9"/>
      <c r="M1" s="9"/>
      <c r="N1" s="9"/>
      <c r="O1" s="9"/>
      <c r="P1" s="9"/>
      <c r="Q1" s="9"/>
      <c r="R1" s="9"/>
      <c r="S1" s="9"/>
      <c r="T1" s="9"/>
      <c r="U1" s="9"/>
      <c r="V1" s="9"/>
      <c r="W1" s="5"/>
      <c r="X1" s="5"/>
      <c r="Y1" s="5"/>
      <c r="Z1" s="5"/>
    </row>
    <row r="2" spans="1:26" x14ac:dyDescent="0.25">
      <c r="A2" s="5"/>
      <c r="B2" s="5"/>
      <c r="C2" s="5"/>
      <c r="D2" s="5"/>
      <c r="E2" s="9"/>
      <c r="F2" s="9"/>
      <c r="G2" s="9"/>
      <c r="H2" s="9"/>
      <c r="I2" s="9"/>
      <c r="J2" s="9"/>
      <c r="K2" s="9"/>
      <c r="L2" s="9"/>
      <c r="M2" s="9"/>
      <c r="N2" s="9"/>
      <c r="O2" s="9"/>
      <c r="P2" s="9"/>
      <c r="Q2" s="9"/>
      <c r="R2" s="9"/>
      <c r="S2" s="9"/>
      <c r="T2" s="9"/>
      <c r="U2" s="9"/>
      <c r="V2" s="9"/>
      <c r="W2" s="5"/>
      <c r="X2" s="5"/>
      <c r="Y2" s="5"/>
      <c r="Z2" s="5"/>
    </row>
    <row r="3" spans="1:26" x14ac:dyDescent="0.25">
      <c r="A3" s="5"/>
      <c r="B3" s="5"/>
      <c r="C3" s="5"/>
      <c r="D3" s="5"/>
      <c r="E3" s="9"/>
      <c r="F3" s="9"/>
      <c r="G3" s="9"/>
      <c r="H3" s="9"/>
      <c r="I3" s="9"/>
      <c r="J3" s="9"/>
      <c r="K3" s="9"/>
      <c r="L3" s="9"/>
      <c r="M3" s="9"/>
      <c r="N3" s="9"/>
      <c r="O3" s="9"/>
      <c r="P3" s="9"/>
      <c r="Q3" s="9"/>
      <c r="R3" s="9"/>
      <c r="S3" s="9"/>
      <c r="T3" s="9"/>
      <c r="U3" s="9"/>
      <c r="V3" s="9"/>
      <c r="W3" s="5"/>
      <c r="X3" s="5"/>
      <c r="Y3" s="5"/>
      <c r="Z3" s="5"/>
    </row>
    <row r="67" spans="39:39" x14ac:dyDescent="0.25">
      <c r="AM67" t="s">
        <v>3070</v>
      </c>
    </row>
  </sheetData>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Pivot_CompaniesCount</vt:lpstr>
      <vt:lpstr>layoffs_final</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dc:creator>
  <cp:lastModifiedBy>Cristian Garcia</cp:lastModifiedBy>
  <dcterms:created xsi:type="dcterms:W3CDTF">2026-08-18T05:11:45Z</dcterms:created>
  <dcterms:modified xsi:type="dcterms:W3CDTF">2026-08-18T23:26:47Z</dcterms:modified>
</cp:coreProperties>
</file>